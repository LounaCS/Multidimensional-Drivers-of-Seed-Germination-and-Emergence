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riel Marchi\Desktop\Doc_Recherche\Recherche\PPR_SUCSEED\WP3\Collaboration avec Louna\"/>
    </mc:Choice>
  </mc:AlternateContent>
  <xr:revisionPtr revIDLastSave="0" documentId="13_ncr:1_{DCBFECD7-32AA-4141-A604-C4CB774581F0}" xr6:coauthVersionLast="47" xr6:coauthVersionMax="47" xr10:uidLastSave="{00000000-0000-0000-0000-000000000000}"/>
  <bookViews>
    <workbookView xWindow="-110" yWindow="-110" windowWidth="25820" windowHeight="13900" tabRatio="650" firstSheet="4" activeTab="7" xr2:uid="{00000000-000D-0000-FFFF-FFFF00000000}"/>
  </bookViews>
  <sheets>
    <sheet name="Summary" sheetId="1" r:id="rId1"/>
    <sheet name="abund ASV isolat in microbiote" sheetId="11" r:id="rId2"/>
    <sheet name="itol" sheetId="13" r:id="rId3"/>
    <sheet name="Sheet1" sheetId="12" r:id="rId4"/>
    <sheet name="asvMicrobioteTaxPreAbsIsolats" sheetId="2" r:id="rId5"/>
    <sheet name="asvIsolatsTaxAbsPreMicrobiote" sheetId="3" r:id="rId6"/>
    <sheet name="ASVMicrobiotePresentIsolats" sheetId="4" r:id="rId7"/>
    <sheet name="Feuil1" sheetId="14" r:id="rId8"/>
    <sheet name="ASVMicrobioteAbsentIsolats" sheetId="5" r:id="rId9"/>
    <sheet name="ASVIsolatsPresentMicrobiote" sheetId="6" r:id="rId10"/>
    <sheet name="ASVIsolatsAbsentMicrobiote" sheetId="7" r:id="rId11"/>
    <sheet name="ASVEchMicrobiote" sheetId="8" r:id="rId12"/>
    <sheet name="Allmd5Isolats" sheetId="9" r:id="rId13"/>
    <sheet name="microbioteMd5Haplotype160" sheetId="10" r:id="rId14"/>
  </sheets>
  <definedNames>
    <definedName name="_xlnm._FilterDatabase" localSheetId="1" hidden="1">'abund ASV isolat in microbiote'!$D$1:$N$237</definedName>
    <definedName name="_xlnm._FilterDatabase" localSheetId="6" hidden="1">ASVMicrobiotePresentIsolats!$A$1:$L$798</definedName>
    <definedName name="_xlnm._FilterDatabase" localSheetId="13" hidden="1">microbioteMd5Haplotype160!$A$1:$C$237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I25" i="13" l="1"/>
  <c r="J25" i="13" s="1"/>
  <c r="I26" i="13"/>
  <c r="J26" i="13" s="1"/>
  <c r="I27" i="13"/>
  <c r="J27" i="13" s="1"/>
  <c r="I28" i="13"/>
  <c r="J28" i="13" s="1"/>
  <c r="I29" i="13"/>
  <c r="J29" i="13" s="1"/>
  <c r="I30" i="13"/>
  <c r="J30" i="13" s="1"/>
  <c r="I31" i="13"/>
  <c r="J31" i="13" s="1"/>
  <c r="I32" i="13"/>
  <c r="J32" i="13" s="1"/>
  <c r="I33" i="13"/>
  <c r="J33" i="13" s="1"/>
  <c r="I34" i="13"/>
  <c r="J34" i="13" s="1"/>
  <c r="I35" i="13"/>
  <c r="J35" i="13" s="1"/>
  <c r="I36" i="13"/>
  <c r="J36" i="13" s="1"/>
  <c r="I37" i="13"/>
  <c r="J37" i="13" s="1"/>
  <c r="I38" i="13"/>
  <c r="J38" i="13" s="1"/>
  <c r="I39" i="13"/>
  <c r="J39" i="13" s="1"/>
  <c r="I40" i="13"/>
  <c r="J40" i="13" s="1"/>
  <c r="I41" i="13"/>
  <c r="J41" i="13" s="1"/>
  <c r="I42" i="13"/>
  <c r="J42" i="13" s="1"/>
  <c r="I43" i="13"/>
  <c r="J43" i="13" s="1"/>
  <c r="I44" i="13"/>
  <c r="J44" i="13" s="1"/>
  <c r="I45" i="13"/>
  <c r="J45" i="13" s="1"/>
  <c r="I46" i="13"/>
  <c r="J46" i="13" s="1"/>
  <c r="I47" i="13"/>
  <c r="J47" i="13" s="1"/>
  <c r="I48" i="13"/>
  <c r="J48" i="13" s="1"/>
  <c r="I49" i="13"/>
  <c r="J49" i="13" s="1"/>
  <c r="I50" i="13"/>
  <c r="J50" i="13" s="1"/>
  <c r="I51" i="13"/>
  <c r="J51" i="13" s="1"/>
  <c r="I52" i="13"/>
  <c r="J52" i="13" s="1"/>
  <c r="I53" i="13"/>
  <c r="J53" i="13" s="1"/>
  <c r="I54" i="13"/>
  <c r="J54" i="13" s="1"/>
  <c r="I55" i="13"/>
  <c r="J55" i="13" s="1"/>
  <c r="I56" i="13"/>
  <c r="J56" i="13" s="1"/>
  <c r="I57" i="13"/>
  <c r="J57" i="13" s="1"/>
  <c r="I58" i="13"/>
  <c r="J58" i="13" s="1"/>
  <c r="I59" i="13"/>
  <c r="J59" i="13" s="1"/>
  <c r="I60" i="13"/>
  <c r="J60" i="13" s="1"/>
  <c r="I61" i="13"/>
  <c r="J61" i="13" s="1"/>
  <c r="I62" i="13"/>
  <c r="J62" i="13" s="1"/>
  <c r="I63" i="13"/>
  <c r="J63" i="13" s="1"/>
  <c r="I64" i="13"/>
  <c r="J64" i="13" s="1"/>
  <c r="I65" i="13"/>
  <c r="J65" i="13" s="1"/>
  <c r="I66" i="13"/>
  <c r="J66" i="13" s="1"/>
  <c r="I67" i="13"/>
  <c r="J67" i="13" s="1"/>
  <c r="I68" i="13"/>
  <c r="J68" i="13" s="1"/>
  <c r="I69" i="13"/>
  <c r="J69" i="13" s="1"/>
  <c r="I70" i="13"/>
  <c r="J70" i="13" s="1"/>
  <c r="I71" i="13"/>
  <c r="J71" i="13" s="1"/>
  <c r="I72" i="13"/>
  <c r="J72" i="13" s="1"/>
  <c r="I73" i="13"/>
  <c r="J73" i="13" s="1"/>
  <c r="I74" i="13"/>
  <c r="J74" i="13" s="1"/>
  <c r="I75" i="13"/>
  <c r="J75" i="13" s="1"/>
  <c r="I76" i="13"/>
  <c r="J76" i="13" s="1"/>
  <c r="I77" i="13"/>
  <c r="J77" i="13" s="1"/>
  <c r="I78" i="13"/>
  <c r="J78" i="13" s="1"/>
  <c r="I79" i="13"/>
  <c r="J79" i="13" s="1"/>
  <c r="I80" i="13"/>
  <c r="J80" i="13" s="1"/>
  <c r="I81" i="13"/>
  <c r="J81" i="13" s="1"/>
  <c r="I82" i="13"/>
  <c r="J82" i="13" s="1"/>
  <c r="I83" i="13"/>
  <c r="J83" i="13" s="1"/>
  <c r="I231" i="13"/>
  <c r="J231" i="13" s="1"/>
  <c r="I84" i="13"/>
  <c r="J84" i="13" s="1"/>
  <c r="I85" i="13"/>
  <c r="J85" i="13" s="1"/>
  <c r="I86" i="13"/>
  <c r="J86" i="13" s="1"/>
  <c r="I87" i="13"/>
  <c r="J87" i="13" s="1"/>
  <c r="I88" i="13"/>
  <c r="J88" i="13" s="1"/>
  <c r="I89" i="13"/>
  <c r="J89" i="13" s="1"/>
  <c r="I90" i="13"/>
  <c r="J90" i="13" s="1"/>
  <c r="I91" i="13"/>
  <c r="J91" i="13" s="1"/>
  <c r="I92" i="13"/>
  <c r="J92" i="13" s="1"/>
  <c r="I93" i="13"/>
  <c r="J93" i="13" s="1"/>
  <c r="I94" i="13"/>
  <c r="J94" i="13" s="1"/>
  <c r="I95" i="13"/>
  <c r="J95" i="13" s="1"/>
  <c r="I96" i="13"/>
  <c r="J96" i="13" s="1"/>
  <c r="I97" i="13"/>
  <c r="J97" i="13" s="1"/>
  <c r="I98" i="13"/>
  <c r="J98" i="13" s="1"/>
  <c r="I99" i="13"/>
  <c r="J99" i="13" s="1"/>
  <c r="I100" i="13"/>
  <c r="J100" i="13" s="1"/>
  <c r="I101" i="13"/>
  <c r="J101" i="13" s="1"/>
  <c r="I102" i="13"/>
  <c r="J102" i="13" s="1"/>
  <c r="I103" i="13"/>
  <c r="J103" i="13" s="1"/>
  <c r="I104" i="13"/>
  <c r="J104" i="13" s="1"/>
  <c r="I105" i="13"/>
  <c r="J105" i="13" s="1"/>
  <c r="I106" i="13"/>
  <c r="J106" i="13" s="1"/>
  <c r="I107" i="13"/>
  <c r="J107" i="13" s="1"/>
  <c r="I108" i="13"/>
  <c r="J108" i="13" s="1"/>
  <c r="I109" i="13"/>
  <c r="J109" i="13" s="1"/>
  <c r="I110" i="13"/>
  <c r="J110" i="13" s="1"/>
  <c r="I111" i="13"/>
  <c r="J111" i="13" s="1"/>
  <c r="I112" i="13"/>
  <c r="J112" i="13" s="1"/>
  <c r="I113" i="13"/>
  <c r="J113" i="13" s="1"/>
  <c r="I114" i="13"/>
  <c r="J114" i="13" s="1"/>
  <c r="I115" i="13"/>
  <c r="J115" i="13" s="1"/>
  <c r="I116" i="13"/>
  <c r="J116" i="13" s="1"/>
  <c r="I117" i="13"/>
  <c r="J117" i="13" s="1"/>
  <c r="I118" i="13"/>
  <c r="J118" i="13" s="1"/>
  <c r="I119" i="13"/>
  <c r="J119" i="13" s="1"/>
  <c r="I120" i="13"/>
  <c r="J120" i="13" s="1"/>
  <c r="I121" i="13"/>
  <c r="J121" i="13" s="1"/>
  <c r="I122" i="13"/>
  <c r="J122" i="13" s="1"/>
  <c r="I123" i="13"/>
  <c r="J123" i="13" s="1"/>
  <c r="I124" i="13"/>
  <c r="J124" i="13" s="1"/>
  <c r="I125" i="13"/>
  <c r="J125" i="13" s="1"/>
  <c r="I126" i="13"/>
  <c r="J126" i="13" s="1"/>
  <c r="I127" i="13"/>
  <c r="J127" i="13" s="1"/>
  <c r="I128" i="13"/>
  <c r="J128" i="13" s="1"/>
  <c r="I129" i="13"/>
  <c r="J129" i="13" s="1"/>
  <c r="I130" i="13"/>
  <c r="J130" i="13" s="1"/>
  <c r="I131" i="13"/>
  <c r="J131" i="13" s="1"/>
  <c r="I132" i="13"/>
  <c r="J132" i="13" s="1"/>
  <c r="I133" i="13"/>
  <c r="J133" i="13" s="1"/>
  <c r="I134" i="13"/>
  <c r="J134" i="13" s="1"/>
  <c r="I135" i="13"/>
  <c r="J135" i="13" s="1"/>
  <c r="I136" i="13"/>
  <c r="J136" i="13" s="1"/>
  <c r="I137" i="13"/>
  <c r="J137" i="13" s="1"/>
  <c r="I138" i="13"/>
  <c r="J138" i="13" s="1"/>
  <c r="I139" i="13"/>
  <c r="J139" i="13" s="1"/>
  <c r="I140" i="13"/>
  <c r="J140" i="13" s="1"/>
  <c r="I141" i="13"/>
  <c r="J141" i="13" s="1"/>
  <c r="I142" i="13"/>
  <c r="J142" i="13" s="1"/>
  <c r="I143" i="13"/>
  <c r="J143" i="13" s="1"/>
  <c r="I144" i="13"/>
  <c r="J144" i="13" s="1"/>
  <c r="I145" i="13"/>
  <c r="J145" i="13" s="1"/>
  <c r="I146" i="13"/>
  <c r="J146" i="13" s="1"/>
  <c r="I147" i="13"/>
  <c r="J147" i="13" s="1"/>
  <c r="I148" i="13"/>
  <c r="J148" i="13" s="1"/>
  <c r="I149" i="13"/>
  <c r="J149" i="13" s="1"/>
  <c r="I150" i="13"/>
  <c r="J150" i="13" s="1"/>
  <c r="I151" i="13"/>
  <c r="J151" i="13" s="1"/>
  <c r="I152" i="13"/>
  <c r="J152" i="13" s="1"/>
  <c r="I153" i="13"/>
  <c r="J153" i="13" s="1"/>
  <c r="I154" i="13"/>
  <c r="J154" i="13" s="1"/>
  <c r="I155" i="13"/>
  <c r="J155" i="13" s="1"/>
  <c r="I156" i="13"/>
  <c r="J156" i="13" s="1"/>
  <c r="I157" i="13"/>
  <c r="J157" i="13" s="1"/>
  <c r="I158" i="13"/>
  <c r="J158" i="13" s="1"/>
  <c r="I159" i="13"/>
  <c r="J159" i="13" s="1"/>
  <c r="I160" i="13"/>
  <c r="J160" i="13" s="1"/>
  <c r="I161" i="13"/>
  <c r="J161" i="13" s="1"/>
  <c r="I162" i="13"/>
  <c r="J162" i="13" s="1"/>
  <c r="I163" i="13"/>
  <c r="J163" i="13" s="1"/>
  <c r="I164" i="13"/>
  <c r="J164" i="13" s="1"/>
  <c r="I165" i="13"/>
  <c r="J165" i="13" s="1"/>
  <c r="I166" i="13"/>
  <c r="J166" i="13" s="1"/>
  <c r="I167" i="13"/>
  <c r="J167" i="13" s="1"/>
  <c r="I168" i="13"/>
  <c r="J168" i="13" s="1"/>
  <c r="I169" i="13"/>
  <c r="J169" i="13" s="1"/>
  <c r="I170" i="13"/>
  <c r="J170" i="13" s="1"/>
  <c r="I171" i="13"/>
  <c r="J171" i="13" s="1"/>
  <c r="I172" i="13"/>
  <c r="J172" i="13" s="1"/>
  <c r="I173" i="13"/>
  <c r="J173" i="13" s="1"/>
  <c r="I174" i="13"/>
  <c r="J174" i="13" s="1"/>
  <c r="I175" i="13"/>
  <c r="J175" i="13" s="1"/>
  <c r="I176" i="13"/>
  <c r="J176" i="13" s="1"/>
  <c r="I177" i="13"/>
  <c r="J177" i="13" s="1"/>
  <c r="I178" i="13"/>
  <c r="J178" i="13" s="1"/>
  <c r="I179" i="13"/>
  <c r="J179" i="13" s="1"/>
  <c r="I180" i="13"/>
  <c r="J180" i="13" s="1"/>
  <c r="I181" i="13"/>
  <c r="J181" i="13" s="1"/>
  <c r="I182" i="13"/>
  <c r="J182" i="13" s="1"/>
  <c r="I183" i="13"/>
  <c r="J183" i="13" s="1"/>
  <c r="I184" i="13"/>
  <c r="J184" i="13" s="1"/>
  <c r="I185" i="13"/>
  <c r="J185" i="13" s="1"/>
  <c r="I186" i="13"/>
  <c r="J186" i="13" s="1"/>
  <c r="I187" i="13"/>
  <c r="J187" i="13" s="1"/>
  <c r="I188" i="13"/>
  <c r="J188" i="13" s="1"/>
  <c r="I189" i="13"/>
  <c r="J189" i="13" s="1"/>
  <c r="I190" i="13"/>
  <c r="J190" i="13" s="1"/>
  <c r="I191" i="13"/>
  <c r="J191" i="13" s="1"/>
  <c r="I192" i="13"/>
  <c r="J192" i="13" s="1"/>
  <c r="I193" i="13"/>
  <c r="J193" i="13" s="1"/>
  <c r="I194" i="13"/>
  <c r="J194" i="13" s="1"/>
  <c r="I195" i="13"/>
  <c r="J195" i="13" s="1"/>
  <c r="I196" i="13"/>
  <c r="J196" i="13" s="1"/>
  <c r="I197" i="13"/>
  <c r="J197" i="13" s="1"/>
  <c r="I198" i="13"/>
  <c r="J198" i="13" s="1"/>
  <c r="I199" i="13"/>
  <c r="J199" i="13" s="1"/>
  <c r="I200" i="13"/>
  <c r="J200" i="13" s="1"/>
  <c r="I201" i="13"/>
  <c r="J201" i="13" s="1"/>
  <c r="I202" i="13"/>
  <c r="J202" i="13" s="1"/>
  <c r="I203" i="13"/>
  <c r="J203" i="13" s="1"/>
  <c r="I204" i="13"/>
  <c r="J204" i="13" s="1"/>
  <c r="I205" i="13"/>
  <c r="J205" i="13" s="1"/>
  <c r="I206" i="13"/>
  <c r="J206" i="13" s="1"/>
  <c r="I207" i="13"/>
  <c r="J207" i="13" s="1"/>
  <c r="I208" i="13"/>
  <c r="J208" i="13" s="1"/>
  <c r="I209" i="13"/>
  <c r="J209" i="13" s="1"/>
  <c r="I210" i="13"/>
  <c r="J210" i="13" s="1"/>
  <c r="I211" i="13"/>
  <c r="J211" i="13" s="1"/>
  <c r="I212" i="13"/>
  <c r="J212" i="13" s="1"/>
  <c r="I213" i="13"/>
  <c r="J213" i="13" s="1"/>
  <c r="I214" i="13"/>
  <c r="J214" i="13" s="1"/>
  <c r="I215" i="13"/>
  <c r="J215" i="13" s="1"/>
  <c r="I216" i="13"/>
  <c r="J216" i="13" s="1"/>
  <c r="I217" i="13"/>
  <c r="J217" i="13" s="1"/>
  <c r="I218" i="13"/>
  <c r="J218" i="13" s="1"/>
  <c r="I219" i="13"/>
  <c r="J219" i="13" s="1"/>
  <c r="I220" i="13"/>
  <c r="J220" i="13" s="1"/>
  <c r="I221" i="13"/>
  <c r="J221" i="13" s="1"/>
  <c r="I222" i="13"/>
  <c r="J222" i="13" s="1"/>
  <c r="I223" i="13"/>
  <c r="J223" i="13" s="1"/>
  <c r="I224" i="13"/>
  <c r="J224" i="13" s="1"/>
  <c r="I225" i="13"/>
  <c r="J225" i="13" s="1"/>
  <c r="I226" i="13"/>
  <c r="J226" i="13" s="1"/>
  <c r="I227" i="13"/>
  <c r="J227" i="13" s="1"/>
  <c r="I228" i="13"/>
  <c r="J228" i="13" s="1"/>
  <c r="I229" i="13"/>
  <c r="J229" i="13" s="1"/>
  <c r="I230" i="13"/>
  <c r="J230" i="13" s="1"/>
  <c r="I236" i="13"/>
  <c r="J236" i="13" s="1"/>
  <c r="I237" i="13"/>
  <c r="J237" i="13" s="1"/>
  <c r="I232" i="13"/>
  <c r="J232" i="13" s="1"/>
  <c r="I233" i="13"/>
  <c r="J233" i="13" s="1"/>
  <c r="I234" i="13"/>
  <c r="J234" i="13" s="1"/>
  <c r="I235" i="13"/>
  <c r="J235" i="13" s="1"/>
  <c r="I3" i="13"/>
  <c r="J3" i="13" s="1"/>
  <c r="I4" i="13"/>
  <c r="J4" i="13" s="1"/>
  <c r="I5" i="13"/>
  <c r="J5" i="13" s="1"/>
  <c r="I6" i="13"/>
  <c r="J6" i="13" s="1"/>
  <c r="I7" i="13"/>
  <c r="J7" i="13" s="1"/>
  <c r="I8" i="13"/>
  <c r="J8" i="13" s="1"/>
  <c r="I9" i="13"/>
  <c r="J9" i="13" s="1"/>
  <c r="I10" i="13"/>
  <c r="J10" i="13" s="1"/>
  <c r="I11" i="13"/>
  <c r="J11" i="13" s="1"/>
  <c r="I12" i="13"/>
  <c r="J12" i="13" s="1"/>
  <c r="I13" i="13"/>
  <c r="J13" i="13" s="1"/>
  <c r="I14" i="13"/>
  <c r="J14" i="13" s="1"/>
  <c r="I15" i="13"/>
  <c r="J15" i="13" s="1"/>
  <c r="I16" i="13"/>
  <c r="J16" i="13" s="1"/>
  <c r="I17" i="13"/>
  <c r="J17" i="13" s="1"/>
  <c r="I18" i="13"/>
  <c r="J18" i="13" s="1"/>
  <c r="I19" i="13"/>
  <c r="J19" i="13" s="1"/>
  <c r="I20" i="13"/>
  <c r="J20" i="13" s="1"/>
  <c r="I21" i="13"/>
  <c r="J21" i="13" s="1"/>
  <c r="I22" i="13"/>
  <c r="J22" i="13" s="1"/>
  <c r="I23" i="13"/>
  <c r="J23" i="13" s="1"/>
  <c r="I24" i="13"/>
  <c r="J24" i="13" s="1"/>
  <c r="I2" i="13"/>
  <c r="J2" i="13" s="1"/>
  <c r="AB24" i="13"/>
  <c r="AB23" i="13"/>
  <c r="AB22" i="13"/>
  <c r="AB21" i="13"/>
  <c r="S21" i="13"/>
  <c r="AB20" i="13"/>
  <c r="S20" i="13"/>
  <c r="AB19" i="13"/>
  <c r="S19" i="13"/>
  <c r="AB18" i="13"/>
  <c r="S18" i="13"/>
  <c r="AB17" i="13"/>
  <c r="S17" i="13"/>
  <c r="AB16" i="13"/>
  <c r="S16" i="13"/>
  <c r="AB15" i="13"/>
  <c r="S15" i="13"/>
  <c r="AB14" i="13"/>
  <c r="S14" i="13"/>
  <c r="AB13" i="13"/>
  <c r="V13" i="13"/>
  <c r="S13" i="13"/>
  <c r="AB12" i="13"/>
  <c r="V12" i="13"/>
  <c r="S12" i="13"/>
  <c r="AB11" i="13"/>
  <c r="V11" i="13"/>
  <c r="S11" i="13"/>
  <c r="AB10" i="13"/>
  <c r="V10" i="13"/>
  <c r="S10" i="13"/>
  <c r="AB9" i="13"/>
  <c r="V9" i="13"/>
  <c r="S9" i="13"/>
  <c r="AB8" i="13"/>
  <c r="V8" i="13"/>
  <c r="S8" i="13"/>
  <c r="AB7" i="13"/>
  <c r="V7" i="13"/>
  <c r="S7" i="13"/>
  <c r="AB6" i="13"/>
  <c r="V6" i="13"/>
  <c r="S6" i="13"/>
  <c r="AB5" i="13"/>
  <c r="V5" i="13"/>
  <c r="S5" i="13"/>
  <c r="AB4" i="13"/>
  <c r="V4" i="13"/>
  <c r="S4" i="13"/>
  <c r="AB3" i="13"/>
  <c r="V3" i="13"/>
  <c r="S3" i="13"/>
  <c r="AB2" i="13"/>
  <c r="V2" i="13"/>
  <c r="S2" i="13"/>
  <c r="B7" i="11" l="1"/>
  <c r="B6" i="11"/>
  <c r="N18" i="11"/>
  <c r="N17" i="11"/>
  <c r="N16" i="11"/>
  <c r="N15" i="11"/>
  <c r="N5" i="11"/>
  <c r="N8" i="11"/>
  <c r="N21" i="11"/>
  <c r="N13" i="11"/>
  <c r="N6" i="11"/>
  <c r="N7" i="11"/>
  <c r="N11" i="11"/>
  <c r="N12" i="11"/>
  <c r="N22" i="11"/>
  <c r="N20" i="11"/>
  <c r="N23" i="11"/>
  <c r="N19" i="11"/>
  <c r="N9" i="11"/>
  <c r="N14" i="11"/>
  <c r="N4" i="11"/>
  <c r="N2" i="11"/>
  <c r="N3" i="11"/>
  <c r="N159" i="11"/>
  <c r="N171" i="11"/>
  <c r="N198" i="11"/>
  <c r="N59" i="11"/>
  <c r="N65" i="11"/>
  <c r="N100" i="11"/>
  <c r="N229" i="11"/>
  <c r="N181" i="11"/>
  <c r="N104" i="11"/>
  <c r="N173" i="11"/>
  <c r="N25" i="11"/>
  <c r="N163" i="11"/>
  <c r="N155" i="11"/>
  <c r="N37" i="11"/>
  <c r="N119" i="11"/>
  <c r="N149" i="11"/>
  <c r="N234" i="11"/>
  <c r="N109" i="11"/>
  <c r="N51" i="11"/>
  <c r="N67" i="11"/>
  <c r="N110" i="11"/>
  <c r="N80" i="11"/>
  <c r="N221" i="11"/>
  <c r="N216" i="11"/>
  <c r="N56" i="11"/>
  <c r="N174" i="11"/>
  <c r="N214" i="11"/>
  <c r="N117" i="11"/>
  <c r="N153" i="11"/>
  <c r="N138" i="11"/>
  <c r="N47" i="11"/>
  <c r="N74" i="11"/>
  <c r="N32" i="11"/>
  <c r="N87" i="11"/>
  <c r="N144" i="11"/>
  <c r="N226" i="11"/>
  <c r="N66" i="11"/>
  <c r="N75" i="11"/>
  <c r="N29" i="11"/>
  <c r="N26" i="11"/>
  <c r="N199" i="11"/>
  <c r="N205" i="11"/>
  <c r="N81" i="11"/>
  <c r="N76" i="11"/>
  <c r="N58" i="11"/>
  <c r="N70" i="11"/>
  <c r="N143" i="11"/>
  <c r="N158" i="11"/>
  <c r="N40" i="11"/>
  <c r="N92" i="11"/>
  <c r="N208" i="11"/>
  <c r="N123" i="11"/>
  <c r="N182" i="11"/>
  <c r="N225" i="11"/>
  <c r="N132" i="11"/>
  <c r="N55" i="11"/>
  <c r="N102" i="11"/>
  <c r="N195" i="11"/>
  <c r="N73" i="11"/>
  <c r="N77" i="11"/>
  <c r="N27" i="11"/>
  <c r="N68" i="11"/>
  <c r="N48" i="11"/>
  <c r="N217" i="11"/>
  <c r="N106" i="11"/>
  <c r="N237" i="11"/>
  <c r="N54" i="11"/>
  <c r="N227" i="11"/>
  <c r="N172" i="11"/>
  <c r="N204" i="11"/>
  <c r="N136" i="11"/>
  <c r="N170" i="11"/>
  <c r="N57" i="11"/>
  <c r="N96" i="11"/>
  <c r="N64" i="11"/>
  <c r="N33" i="11"/>
  <c r="N131" i="11"/>
  <c r="N160" i="11"/>
  <c r="N126" i="11"/>
  <c r="N128" i="11"/>
  <c r="N166" i="11"/>
  <c r="N233" i="11"/>
  <c r="N231" i="11"/>
  <c r="N62" i="11"/>
  <c r="N107" i="11"/>
  <c r="N44" i="11"/>
  <c r="N53" i="11"/>
  <c r="N215" i="11"/>
  <c r="N187" i="11"/>
  <c r="N91" i="11"/>
  <c r="N189" i="11"/>
  <c r="N184" i="11"/>
  <c r="N161" i="11"/>
  <c r="N35" i="11"/>
  <c r="N90" i="11"/>
  <c r="N130" i="11"/>
  <c r="N167" i="11"/>
  <c r="N140" i="11"/>
  <c r="N105" i="11"/>
  <c r="N186" i="11"/>
  <c r="N228" i="11"/>
  <c r="N178" i="11"/>
  <c r="N42" i="11"/>
  <c r="N108" i="11"/>
  <c r="N224" i="11"/>
  <c r="N112" i="11"/>
  <c r="N78" i="11"/>
  <c r="N103" i="11"/>
  <c r="N94" i="11"/>
  <c r="N52" i="11"/>
  <c r="N88" i="11"/>
  <c r="N61" i="11"/>
  <c r="N207" i="11"/>
  <c r="N219" i="11"/>
  <c r="N122" i="11"/>
  <c r="N169" i="11"/>
  <c r="N45" i="11"/>
  <c r="N137" i="11"/>
  <c r="N116" i="11"/>
  <c r="N197" i="11"/>
  <c r="N115" i="11"/>
  <c r="N49" i="11"/>
  <c r="N168" i="11"/>
  <c r="N97" i="11"/>
  <c r="N84" i="11"/>
  <c r="N203" i="11"/>
  <c r="N177" i="11"/>
  <c r="N142" i="11"/>
  <c r="N193" i="11"/>
  <c r="N46" i="11"/>
  <c r="N69" i="11"/>
  <c r="N157" i="11"/>
  <c r="N85" i="11"/>
  <c r="N127" i="11"/>
  <c r="N114" i="11"/>
  <c r="N133" i="11"/>
  <c r="N179" i="11"/>
  <c r="N30" i="11"/>
  <c r="N191" i="11"/>
  <c r="N211" i="11"/>
  <c r="N98" i="11"/>
  <c r="N111" i="11"/>
  <c r="N113" i="11"/>
  <c r="N101" i="11"/>
  <c r="N82" i="11"/>
  <c r="N148" i="11"/>
  <c r="N146" i="11"/>
  <c r="N156" i="11"/>
  <c r="N72" i="11"/>
  <c r="N223" i="11"/>
  <c r="N192" i="11"/>
  <c r="N139" i="11"/>
  <c r="N164" i="11"/>
  <c r="N210" i="11"/>
  <c r="N180" i="11"/>
  <c r="N150" i="11"/>
  <c r="N175" i="11"/>
  <c r="N129" i="11"/>
  <c r="N232" i="11"/>
  <c r="N206" i="11"/>
  <c r="N162" i="11"/>
  <c r="N95" i="11"/>
  <c r="N188" i="11"/>
  <c r="N34" i="11"/>
  <c r="N220" i="11"/>
  <c r="N147" i="11"/>
  <c r="N36" i="11"/>
  <c r="N196" i="11"/>
  <c r="N24" i="11"/>
  <c r="N201" i="11"/>
  <c r="N118" i="11"/>
  <c r="N31" i="11"/>
  <c r="N134" i="11"/>
  <c r="N71" i="11"/>
  <c r="N235" i="11"/>
  <c r="N176" i="11"/>
  <c r="N154" i="11"/>
  <c r="N183" i="11"/>
  <c r="N152" i="11"/>
  <c r="N236" i="11"/>
  <c r="N60" i="11"/>
  <c r="N145" i="11"/>
  <c r="N135" i="11"/>
  <c r="N63" i="11"/>
  <c r="N99" i="11"/>
  <c r="N209" i="11"/>
  <c r="N185" i="11"/>
  <c r="N50" i="11"/>
  <c r="N213" i="11"/>
  <c r="N83" i="11"/>
  <c r="N125" i="11"/>
  <c r="N190" i="11"/>
  <c r="N230" i="11"/>
  <c r="N218" i="11"/>
  <c r="N28" i="11"/>
  <c r="N165" i="11"/>
  <c r="N120" i="11"/>
  <c r="N38" i="11"/>
  <c r="N194" i="11"/>
  <c r="N43" i="11"/>
  <c r="N202" i="11"/>
  <c r="N212" i="11"/>
  <c r="N124" i="11"/>
  <c r="N79" i="11"/>
  <c r="N39" i="11"/>
  <c r="N121" i="11"/>
  <c r="N151" i="11"/>
  <c r="N89" i="11"/>
  <c r="N93" i="11"/>
  <c r="N222" i="11"/>
  <c r="N41" i="11"/>
  <c r="N200" i="11"/>
  <c r="N86" i="11"/>
  <c r="N141" i="11"/>
  <c r="N10" i="11"/>
  <c r="H18" i="11"/>
  <c r="L18" i="11" s="1"/>
  <c r="H17" i="11"/>
  <c r="L17" i="11" s="1"/>
  <c r="H16" i="11"/>
  <c r="L16" i="11" s="1"/>
  <c r="H15" i="11"/>
  <c r="H5" i="11"/>
  <c r="H8" i="11"/>
  <c r="L8" i="11" s="1"/>
  <c r="H21" i="11"/>
  <c r="H13" i="11"/>
  <c r="L13" i="11" s="1"/>
  <c r="H6" i="11"/>
  <c r="L6" i="11" s="1"/>
  <c r="H7" i="11"/>
  <c r="L7" i="11" s="1"/>
  <c r="H11" i="11"/>
  <c r="L11" i="11" s="1"/>
  <c r="H12" i="11"/>
  <c r="L12" i="11" s="1"/>
  <c r="H22" i="11"/>
  <c r="L22" i="11" s="1"/>
  <c r="H20" i="11"/>
  <c r="L20" i="11" s="1"/>
  <c r="H23" i="11"/>
  <c r="L23" i="11" s="1"/>
  <c r="H19" i="11"/>
  <c r="L19" i="11" s="1"/>
  <c r="H9" i="11"/>
  <c r="L9" i="11" s="1"/>
  <c r="H14" i="11"/>
  <c r="L14" i="11" s="1"/>
  <c r="H4" i="11"/>
  <c r="L4" i="11" s="1"/>
  <c r="H2" i="11"/>
  <c r="L2" i="11" s="1"/>
  <c r="H3" i="11"/>
  <c r="L3" i="11" s="1"/>
  <c r="H159" i="11"/>
  <c r="L159" i="11" s="1"/>
  <c r="H171" i="11"/>
  <c r="L171" i="11" s="1"/>
  <c r="H198" i="11"/>
  <c r="L198" i="11" s="1"/>
  <c r="H59" i="11"/>
  <c r="L59" i="11" s="1"/>
  <c r="H65" i="11"/>
  <c r="L65" i="11" s="1"/>
  <c r="H100" i="11"/>
  <c r="L100" i="11" s="1"/>
  <c r="H229" i="11"/>
  <c r="L229" i="11" s="1"/>
  <c r="H181" i="11"/>
  <c r="L181" i="11" s="1"/>
  <c r="H104" i="11"/>
  <c r="L104" i="11" s="1"/>
  <c r="H173" i="11"/>
  <c r="L173" i="11" s="1"/>
  <c r="H25" i="11"/>
  <c r="L25" i="11" s="1"/>
  <c r="H163" i="11"/>
  <c r="L163" i="11" s="1"/>
  <c r="H155" i="11"/>
  <c r="L155" i="11" s="1"/>
  <c r="H37" i="11"/>
  <c r="L37" i="11" s="1"/>
  <c r="H119" i="11"/>
  <c r="L119" i="11" s="1"/>
  <c r="H149" i="11"/>
  <c r="L149" i="11" s="1"/>
  <c r="H234" i="11"/>
  <c r="L234" i="11" s="1"/>
  <c r="H109" i="11"/>
  <c r="L109" i="11" s="1"/>
  <c r="H51" i="11"/>
  <c r="L51" i="11" s="1"/>
  <c r="H67" i="11"/>
  <c r="L67" i="11" s="1"/>
  <c r="H110" i="11"/>
  <c r="L110" i="11" s="1"/>
  <c r="H80" i="11"/>
  <c r="L80" i="11" s="1"/>
  <c r="H221" i="11"/>
  <c r="L221" i="11" s="1"/>
  <c r="H216" i="11"/>
  <c r="L216" i="11" s="1"/>
  <c r="H56" i="11"/>
  <c r="L56" i="11" s="1"/>
  <c r="H174" i="11"/>
  <c r="L174" i="11" s="1"/>
  <c r="H214" i="11"/>
  <c r="L214" i="11" s="1"/>
  <c r="H117" i="11"/>
  <c r="L117" i="11" s="1"/>
  <c r="H153" i="11"/>
  <c r="L153" i="11" s="1"/>
  <c r="H138" i="11"/>
  <c r="L138" i="11" s="1"/>
  <c r="H47" i="11"/>
  <c r="L47" i="11" s="1"/>
  <c r="H74" i="11"/>
  <c r="L74" i="11" s="1"/>
  <c r="H32" i="11"/>
  <c r="L32" i="11" s="1"/>
  <c r="H87" i="11"/>
  <c r="L87" i="11" s="1"/>
  <c r="H144" i="11"/>
  <c r="L144" i="11" s="1"/>
  <c r="H226" i="11"/>
  <c r="L226" i="11" s="1"/>
  <c r="H66" i="11"/>
  <c r="L66" i="11" s="1"/>
  <c r="H75" i="11"/>
  <c r="L75" i="11" s="1"/>
  <c r="H29" i="11"/>
  <c r="L29" i="11" s="1"/>
  <c r="H26" i="11"/>
  <c r="L26" i="11" s="1"/>
  <c r="H199" i="11"/>
  <c r="L199" i="11" s="1"/>
  <c r="H205" i="11"/>
  <c r="H81" i="11"/>
  <c r="H76" i="11"/>
  <c r="L76" i="11" s="1"/>
  <c r="H58" i="11"/>
  <c r="L58" i="11" s="1"/>
  <c r="H70" i="11"/>
  <c r="L70" i="11" s="1"/>
  <c r="H143" i="11"/>
  <c r="L143" i="11" s="1"/>
  <c r="H158" i="11"/>
  <c r="L158" i="11" s="1"/>
  <c r="H40" i="11"/>
  <c r="L40" i="11" s="1"/>
  <c r="H92" i="11"/>
  <c r="L92" i="11" s="1"/>
  <c r="H208" i="11"/>
  <c r="L208" i="11" s="1"/>
  <c r="H123" i="11"/>
  <c r="L123" i="11" s="1"/>
  <c r="H182" i="11"/>
  <c r="L182" i="11" s="1"/>
  <c r="H225" i="11"/>
  <c r="L225" i="11" s="1"/>
  <c r="H132" i="11"/>
  <c r="H55" i="11"/>
  <c r="L55" i="11" s="1"/>
  <c r="H102" i="11"/>
  <c r="L102" i="11" s="1"/>
  <c r="H195" i="11"/>
  <c r="L195" i="11" s="1"/>
  <c r="H73" i="11"/>
  <c r="L73" i="11" s="1"/>
  <c r="H77" i="11"/>
  <c r="L77" i="11" s="1"/>
  <c r="H27" i="11"/>
  <c r="L27" i="11" s="1"/>
  <c r="H68" i="11"/>
  <c r="L68" i="11" s="1"/>
  <c r="H48" i="11"/>
  <c r="L48" i="11" s="1"/>
  <c r="H217" i="11"/>
  <c r="L217" i="11" s="1"/>
  <c r="H106" i="11"/>
  <c r="L106" i="11" s="1"/>
  <c r="H237" i="11"/>
  <c r="L237" i="11" s="1"/>
  <c r="H54" i="11"/>
  <c r="L54" i="11" s="1"/>
  <c r="H227" i="11"/>
  <c r="L227" i="11" s="1"/>
  <c r="H172" i="11"/>
  <c r="L172" i="11" s="1"/>
  <c r="H204" i="11"/>
  <c r="L204" i="11" s="1"/>
  <c r="H136" i="11"/>
  <c r="L136" i="11" s="1"/>
  <c r="H170" i="11"/>
  <c r="L170" i="11" s="1"/>
  <c r="H57" i="11"/>
  <c r="L57" i="11" s="1"/>
  <c r="H96" i="11"/>
  <c r="L96" i="11" s="1"/>
  <c r="H64" i="11"/>
  <c r="L64" i="11" s="1"/>
  <c r="H33" i="11"/>
  <c r="L33" i="11" s="1"/>
  <c r="H131" i="11"/>
  <c r="L131" i="11" s="1"/>
  <c r="H160" i="11"/>
  <c r="L160" i="11" s="1"/>
  <c r="H126" i="11"/>
  <c r="H128" i="11"/>
  <c r="H166" i="11"/>
  <c r="H233" i="11"/>
  <c r="L233" i="11" s="1"/>
  <c r="H231" i="11"/>
  <c r="L231" i="11" s="1"/>
  <c r="H62" i="11"/>
  <c r="L62" i="11" s="1"/>
  <c r="H107" i="11"/>
  <c r="L107" i="11" s="1"/>
  <c r="H44" i="11"/>
  <c r="L44" i="11" s="1"/>
  <c r="H53" i="11"/>
  <c r="L53" i="11" s="1"/>
  <c r="H215" i="11"/>
  <c r="L215" i="11" s="1"/>
  <c r="H187" i="11"/>
  <c r="L187" i="11" s="1"/>
  <c r="H91" i="11"/>
  <c r="H189" i="11"/>
  <c r="L189" i="11" s="1"/>
  <c r="H184" i="11"/>
  <c r="L184" i="11" s="1"/>
  <c r="H161" i="11"/>
  <c r="L161" i="11" s="1"/>
  <c r="H35" i="11"/>
  <c r="L35" i="11" s="1"/>
  <c r="H90" i="11"/>
  <c r="H130" i="11"/>
  <c r="L130" i="11" s="1"/>
  <c r="H167" i="11"/>
  <c r="L167" i="11" s="1"/>
  <c r="H140" i="11"/>
  <c r="L140" i="11" s="1"/>
  <c r="H105" i="11"/>
  <c r="L105" i="11" s="1"/>
  <c r="H186" i="11"/>
  <c r="L186" i="11" s="1"/>
  <c r="H228" i="11"/>
  <c r="L228" i="11" s="1"/>
  <c r="H178" i="11"/>
  <c r="L178" i="11" s="1"/>
  <c r="H42" i="11"/>
  <c r="L42" i="11" s="1"/>
  <c r="H108" i="11"/>
  <c r="L108" i="11" s="1"/>
  <c r="H224" i="11"/>
  <c r="L224" i="11" s="1"/>
  <c r="H112" i="11"/>
  <c r="L112" i="11" s="1"/>
  <c r="H78" i="11"/>
  <c r="L78" i="11" s="1"/>
  <c r="H103" i="11"/>
  <c r="L103" i="11" s="1"/>
  <c r="H94" i="11"/>
  <c r="L94" i="11" s="1"/>
  <c r="H52" i="11"/>
  <c r="L52" i="11" s="1"/>
  <c r="H88" i="11"/>
  <c r="L88" i="11" s="1"/>
  <c r="H61" i="11"/>
  <c r="L61" i="11" s="1"/>
  <c r="H207" i="11"/>
  <c r="L207" i="11" s="1"/>
  <c r="H219" i="11"/>
  <c r="H122" i="11"/>
  <c r="L122" i="11" s="1"/>
  <c r="H169" i="11"/>
  <c r="H45" i="11"/>
  <c r="L45" i="11" s="1"/>
  <c r="H137" i="11"/>
  <c r="L137" i="11" s="1"/>
  <c r="H116" i="11"/>
  <c r="L116" i="11" s="1"/>
  <c r="H197" i="11"/>
  <c r="L197" i="11" s="1"/>
  <c r="H115" i="11"/>
  <c r="L115" i="11" s="1"/>
  <c r="H49" i="11"/>
  <c r="L49" i="11" s="1"/>
  <c r="H168" i="11"/>
  <c r="L168" i="11" s="1"/>
  <c r="H97" i="11"/>
  <c r="L97" i="11" s="1"/>
  <c r="H84" i="11"/>
  <c r="L84" i="11" s="1"/>
  <c r="H203" i="11"/>
  <c r="L203" i="11" s="1"/>
  <c r="H177" i="11"/>
  <c r="L177" i="11" s="1"/>
  <c r="H142" i="11"/>
  <c r="L142" i="11" s="1"/>
  <c r="H193" i="11"/>
  <c r="L193" i="11" s="1"/>
  <c r="H46" i="11"/>
  <c r="L46" i="11" s="1"/>
  <c r="H69" i="11"/>
  <c r="L69" i="11" s="1"/>
  <c r="H157" i="11"/>
  <c r="L157" i="11" s="1"/>
  <c r="H85" i="11"/>
  <c r="L85" i="11" s="1"/>
  <c r="H127" i="11"/>
  <c r="L127" i="11" s="1"/>
  <c r="H114" i="11"/>
  <c r="L114" i="11" s="1"/>
  <c r="H133" i="11"/>
  <c r="L133" i="11" s="1"/>
  <c r="H179" i="11"/>
  <c r="L179" i="11" s="1"/>
  <c r="H30" i="11"/>
  <c r="H191" i="11"/>
  <c r="H211" i="11"/>
  <c r="L211" i="11" s="1"/>
  <c r="H98" i="11"/>
  <c r="L98" i="11" s="1"/>
  <c r="H111" i="11"/>
  <c r="L111" i="11" s="1"/>
  <c r="H113" i="11"/>
  <c r="L113" i="11" s="1"/>
  <c r="H101" i="11"/>
  <c r="L101" i="11" s="1"/>
  <c r="H82" i="11"/>
  <c r="L82" i="11" s="1"/>
  <c r="H148" i="11"/>
  <c r="L148" i="11" s="1"/>
  <c r="H146" i="11"/>
  <c r="L146" i="11" s="1"/>
  <c r="H156" i="11"/>
  <c r="L156" i="11" s="1"/>
  <c r="H72" i="11"/>
  <c r="L72" i="11" s="1"/>
  <c r="H223" i="11"/>
  <c r="L223" i="11" s="1"/>
  <c r="H192" i="11"/>
  <c r="H139" i="11"/>
  <c r="L139" i="11" s="1"/>
  <c r="H164" i="11"/>
  <c r="L164" i="11" s="1"/>
  <c r="H210" i="11"/>
  <c r="L210" i="11" s="1"/>
  <c r="H180" i="11"/>
  <c r="L180" i="11" s="1"/>
  <c r="H150" i="11"/>
  <c r="L150" i="11" s="1"/>
  <c r="H175" i="11"/>
  <c r="L175" i="11" s="1"/>
  <c r="H129" i="11"/>
  <c r="L129" i="11" s="1"/>
  <c r="H232" i="11"/>
  <c r="L232" i="11" s="1"/>
  <c r="H206" i="11"/>
  <c r="L206" i="11" s="1"/>
  <c r="H162" i="11"/>
  <c r="L162" i="11" s="1"/>
  <c r="H95" i="11"/>
  <c r="L95" i="11" s="1"/>
  <c r="H188" i="11"/>
  <c r="L188" i="11" s="1"/>
  <c r="H34" i="11"/>
  <c r="L34" i="11" s="1"/>
  <c r="H220" i="11"/>
  <c r="L220" i="11" s="1"/>
  <c r="H147" i="11"/>
  <c r="L147" i="11" s="1"/>
  <c r="H36" i="11"/>
  <c r="L36" i="11" s="1"/>
  <c r="H196" i="11"/>
  <c r="L196" i="11" s="1"/>
  <c r="H24" i="11"/>
  <c r="L24" i="11" s="1"/>
  <c r="H201" i="11"/>
  <c r="L201" i="11" s="1"/>
  <c r="H118" i="11"/>
  <c r="L118" i="11" s="1"/>
  <c r="H31" i="11"/>
  <c r="L31" i="11" s="1"/>
  <c r="H134" i="11"/>
  <c r="L134" i="11" s="1"/>
  <c r="H71" i="11"/>
  <c r="L71" i="11" s="1"/>
  <c r="H235" i="11"/>
  <c r="H176" i="11"/>
  <c r="L176" i="11" s="1"/>
  <c r="H154" i="11"/>
  <c r="L154" i="11" s="1"/>
  <c r="H183" i="11"/>
  <c r="L183" i="11" s="1"/>
  <c r="H152" i="11"/>
  <c r="L152" i="11" s="1"/>
  <c r="H236" i="11"/>
  <c r="L236" i="11" s="1"/>
  <c r="H60" i="11"/>
  <c r="L60" i="11" s="1"/>
  <c r="H145" i="11"/>
  <c r="L145" i="11" s="1"/>
  <c r="H135" i="11"/>
  <c r="L135" i="11" s="1"/>
  <c r="H63" i="11"/>
  <c r="L63" i="11" s="1"/>
  <c r="H99" i="11"/>
  <c r="L99" i="11" s="1"/>
  <c r="H209" i="11"/>
  <c r="L209" i="11" s="1"/>
  <c r="H185" i="11"/>
  <c r="L185" i="11" s="1"/>
  <c r="H50" i="11"/>
  <c r="L50" i="11" s="1"/>
  <c r="H213" i="11"/>
  <c r="H83" i="11"/>
  <c r="L83" i="11" s="1"/>
  <c r="H125" i="11"/>
  <c r="L125" i="11" s="1"/>
  <c r="H190" i="11"/>
  <c r="L190" i="11" s="1"/>
  <c r="H230" i="11"/>
  <c r="L230" i="11" s="1"/>
  <c r="H218" i="11"/>
  <c r="L218" i="11" s="1"/>
  <c r="H28" i="11"/>
  <c r="L28" i="11" s="1"/>
  <c r="H165" i="11"/>
  <c r="L165" i="11" s="1"/>
  <c r="H120" i="11"/>
  <c r="L120" i="11" s="1"/>
  <c r="H38" i="11"/>
  <c r="H194" i="11"/>
  <c r="L194" i="11" s="1"/>
  <c r="H43" i="11"/>
  <c r="L43" i="11" s="1"/>
  <c r="H202" i="11"/>
  <c r="L202" i="11" s="1"/>
  <c r="H212" i="11"/>
  <c r="L212" i="11" s="1"/>
  <c r="H124" i="11"/>
  <c r="L124" i="11" s="1"/>
  <c r="H79" i="11"/>
  <c r="L79" i="11" s="1"/>
  <c r="H39" i="11"/>
  <c r="L39" i="11" s="1"/>
  <c r="H121" i="11"/>
  <c r="L121" i="11" s="1"/>
  <c r="H151" i="11"/>
  <c r="L151" i="11" s="1"/>
  <c r="H89" i="11"/>
  <c r="L89" i="11" s="1"/>
  <c r="H93" i="11"/>
  <c r="L93" i="11" s="1"/>
  <c r="H222" i="11"/>
  <c r="L222" i="11" s="1"/>
  <c r="H41" i="11"/>
  <c r="L41" i="11" s="1"/>
  <c r="H200" i="11"/>
  <c r="H86" i="11"/>
  <c r="H141" i="11"/>
  <c r="L141" i="11" s="1"/>
  <c r="H10" i="11"/>
  <c r="L10" i="11" s="1"/>
  <c r="I18" i="11"/>
  <c r="M18" i="11" s="1"/>
  <c r="I17" i="11"/>
  <c r="M17" i="11" s="1"/>
  <c r="I16" i="11"/>
  <c r="M16" i="11" s="1"/>
  <c r="I15" i="11"/>
  <c r="M15" i="11" s="1"/>
  <c r="I5" i="11"/>
  <c r="M5" i="11" s="1"/>
  <c r="I8" i="11"/>
  <c r="M8" i="11" s="1"/>
  <c r="I21" i="11"/>
  <c r="M21" i="11" s="1"/>
  <c r="I13" i="11"/>
  <c r="M13" i="11" s="1"/>
  <c r="I6" i="11"/>
  <c r="I7" i="11"/>
  <c r="I11" i="11"/>
  <c r="M11" i="11" s="1"/>
  <c r="I12" i="11"/>
  <c r="M12" i="11" s="1"/>
  <c r="I22" i="11"/>
  <c r="M22" i="11" s="1"/>
  <c r="I20" i="11"/>
  <c r="M20" i="11" s="1"/>
  <c r="I23" i="11"/>
  <c r="M23" i="11" s="1"/>
  <c r="I19" i="11"/>
  <c r="M19" i="11" s="1"/>
  <c r="I9" i="11"/>
  <c r="M9" i="11" s="1"/>
  <c r="I14" i="11"/>
  <c r="M14" i="11" s="1"/>
  <c r="I4" i="11"/>
  <c r="I2" i="11"/>
  <c r="M2" i="11" s="1"/>
  <c r="I3" i="11"/>
  <c r="M3" i="11" s="1"/>
  <c r="I159" i="11"/>
  <c r="M159" i="11" s="1"/>
  <c r="I171" i="11"/>
  <c r="M171" i="11" s="1"/>
  <c r="I198" i="11"/>
  <c r="M198" i="11" s="1"/>
  <c r="I59" i="11"/>
  <c r="M59" i="11" s="1"/>
  <c r="I65" i="11"/>
  <c r="M65" i="11" s="1"/>
  <c r="I100" i="11"/>
  <c r="M100" i="11" s="1"/>
  <c r="I229" i="11"/>
  <c r="M229" i="11" s="1"/>
  <c r="I181" i="11"/>
  <c r="M181" i="11" s="1"/>
  <c r="I104" i="11"/>
  <c r="M104" i="11" s="1"/>
  <c r="I173" i="11"/>
  <c r="M173" i="11" s="1"/>
  <c r="I25" i="11"/>
  <c r="M25" i="11" s="1"/>
  <c r="I163" i="11"/>
  <c r="M163" i="11" s="1"/>
  <c r="I155" i="11"/>
  <c r="I37" i="11"/>
  <c r="I119" i="11"/>
  <c r="M119" i="11" s="1"/>
  <c r="I149" i="11"/>
  <c r="M149" i="11" s="1"/>
  <c r="I234" i="11"/>
  <c r="M234" i="11" s="1"/>
  <c r="I109" i="11"/>
  <c r="M109" i="11" s="1"/>
  <c r="I51" i="11"/>
  <c r="M51" i="11" s="1"/>
  <c r="I67" i="11"/>
  <c r="M67" i="11" s="1"/>
  <c r="I110" i="11"/>
  <c r="M110" i="11" s="1"/>
  <c r="I80" i="11"/>
  <c r="M80" i="11" s="1"/>
  <c r="I221" i="11"/>
  <c r="M221" i="11" s="1"/>
  <c r="I216" i="11"/>
  <c r="M216" i="11" s="1"/>
  <c r="I56" i="11"/>
  <c r="M56" i="11" s="1"/>
  <c r="I174" i="11"/>
  <c r="M174" i="11" s="1"/>
  <c r="I214" i="11"/>
  <c r="M214" i="11" s="1"/>
  <c r="I117" i="11"/>
  <c r="M117" i="11" s="1"/>
  <c r="I153" i="11"/>
  <c r="M153" i="11" s="1"/>
  <c r="I138" i="11"/>
  <c r="M138" i="11" s="1"/>
  <c r="I47" i="11"/>
  <c r="M47" i="11" s="1"/>
  <c r="I74" i="11"/>
  <c r="M74" i="11" s="1"/>
  <c r="I32" i="11"/>
  <c r="M32" i="11" s="1"/>
  <c r="I87" i="11"/>
  <c r="M87" i="11" s="1"/>
  <c r="I144" i="11"/>
  <c r="I226" i="11"/>
  <c r="I66" i="11"/>
  <c r="M66" i="11" s="1"/>
  <c r="I75" i="11"/>
  <c r="M75" i="11" s="1"/>
  <c r="I29" i="11"/>
  <c r="M29" i="11" s="1"/>
  <c r="I26" i="11"/>
  <c r="M26" i="11" s="1"/>
  <c r="I199" i="11"/>
  <c r="M199" i="11" s="1"/>
  <c r="I205" i="11"/>
  <c r="M205" i="11" s="1"/>
  <c r="I81" i="11"/>
  <c r="M81" i="11" s="1"/>
  <c r="I76" i="11"/>
  <c r="M76" i="11" s="1"/>
  <c r="I58" i="11"/>
  <c r="M58" i="11" s="1"/>
  <c r="I70" i="11"/>
  <c r="M70" i="11" s="1"/>
  <c r="I143" i="11"/>
  <c r="M143" i="11" s="1"/>
  <c r="I158" i="11"/>
  <c r="M158" i="11" s="1"/>
  <c r="I40" i="11"/>
  <c r="M40" i="11" s="1"/>
  <c r="I92" i="11"/>
  <c r="M92" i="11" s="1"/>
  <c r="I208" i="11"/>
  <c r="M208" i="11" s="1"/>
  <c r="I123" i="11"/>
  <c r="M123" i="11" s="1"/>
  <c r="I182" i="11"/>
  <c r="M182" i="11" s="1"/>
  <c r="I225" i="11"/>
  <c r="M225" i="11" s="1"/>
  <c r="I132" i="11"/>
  <c r="M132" i="11" s="1"/>
  <c r="I55" i="11"/>
  <c r="M55" i="11" s="1"/>
  <c r="I102" i="11"/>
  <c r="M102" i="11" s="1"/>
  <c r="I195" i="11"/>
  <c r="M195" i="11" s="1"/>
  <c r="I73" i="11"/>
  <c r="M73" i="11" s="1"/>
  <c r="I77" i="11"/>
  <c r="M77" i="11" s="1"/>
  <c r="I27" i="11"/>
  <c r="M27" i="11" s="1"/>
  <c r="I68" i="11"/>
  <c r="M68" i="11" s="1"/>
  <c r="I48" i="11"/>
  <c r="M48" i="11" s="1"/>
  <c r="I217" i="11"/>
  <c r="M217" i="11" s="1"/>
  <c r="I106" i="11"/>
  <c r="M106" i="11" s="1"/>
  <c r="I237" i="11"/>
  <c r="M237" i="11" s="1"/>
  <c r="I54" i="11"/>
  <c r="M54" i="11" s="1"/>
  <c r="I227" i="11"/>
  <c r="M227" i="11" s="1"/>
  <c r="I172" i="11"/>
  <c r="M172" i="11" s="1"/>
  <c r="I204" i="11"/>
  <c r="I136" i="11"/>
  <c r="M136" i="11" s="1"/>
  <c r="I170" i="11"/>
  <c r="M170" i="11" s="1"/>
  <c r="I57" i="11"/>
  <c r="M57" i="11" s="1"/>
  <c r="I96" i="11"/>
  <c r="M96" i="11" s="1"/>
  <c r="I64" i="11"/>
  <c r="M64" i="11" s="1"/>
  <c r="I33" i="11"/>
  <c r="M33" i="11" s="1"/>
  <c r="I131" i="11"/>
  <c r="M131" i="11" s="1"/>
  <c r="I160" i="11"/>
  <c r="M160" i="11" s="1"/>
  <c r="I126" i="11"/>
  <c r="M126" i="11" s="1"/>
  <c r="I128" i="11"/>
  <c r="M128" i="11" s="1"/>
  <c r="I166" i="11"/>
  <c r="M166" i="11" s="1"/>
  <c r="I233" i="11"/>
  <c r="M233" i="11" s="1"/>
  <c r="I231" i="11"/>
  <c r="I62" i="11"/>
  <c r="M62" i="11" s="1"/>
  <c r="I107" i="11"/>
  <c r="M107" i="11" s="1"/>
  <c r="I44" i="11"/>
  <c r="M44" i="11" s="1"/>
  <c r="I53" i="11"/>
  <c r="M53" i="11" s="1"/>
  <c r="I215" i="11"/>
  <c r="M215" i="11" s="1"/>
  <c r="I187" i="11"/>
  <c r="M187" i="11" s="1"/>
  <c r="I91" i="11"/>
  <c r="M91" i="11" s="1"/>
  <c r="I189" i="11"/>
  <c r="M189" i="11" s="1"/>
  <c r="I184" i="11"/>
  <c r="M184" i="11" s="1"/>
  <c r="I161" i="11"/>
  <c r="M161" i="11" s="1"/>
  <c r="I35" i="11"/>
  <c r="M35" i="11" s="1"/>
  <c r="I90" i="11"/>
  <c r="M90" i="11" s="1"/>
  <c r="I130" i="11"/>
  <c r="M130" i="11" s="1"/>
  <c r="I167" i="11"/>
  <c r="M167" i="11" s="1"/>
  <c r="I140" i="11"/>
  <c r="M140" i="11" s="1"/>
  <c r="I105" i="11"/>
  <c r="M105" i="11" s="1"/>
  <c r="I186" i="11"/>
  <c r="M186" i="11" s="1"/>
  <c r="I228" i="11"/>
  <c r="M228" i="11" s="1"/>
  <c r="I178" i="11"/>
  <c r="M178" i="11" s="1"/>
  <c r="I42" i="11"/>
  <c r="M42" i="11" s="1"/>
  <c r="I108" i="11"/>
  <c r="M108" i="11" s="1"/>
  <c r="I224" i="11"/>
  <c r="M224" i="11" s="1"/>
  <c r="I112" i="11"/>
  <c r="M112" i="11" s="1"/>
  <c r="I78" i="11"/>
  <c r="M78" i="11" s="1"/>
  <c r="I103" i="11"/>
  <c r="M103" i="11" s="1"/>
  <c r="I94" i="11"/>
  <c r="M94" i="11" s="1"/>
  <c r="I52" i="11"/>
  <c r="M52" i="11" s="1"/>
  <c r="I88" i="11"/>
  <c r="M88" i="11" s="1"/>
  <c r="I61" i="11"/>
  <c r="M61" i="11" s="1"/>
  <c r="I207" i="11"/>
  <c r="M207" i="11" s="1"/>
  <c r="I219" i="11"/>
  <c r="M219" i="11" s="1"/>
  <c r="I122" i="11"/>
  <c r="M122" i="11" s="1"/>
  <c r="I169" i="11"/>
  <c r="M169" i="11" s="1"/>
  <c r="I45" i="11"/>
  <c r="M45" i="11" s="1"/>
  <c r="I137" i="11"/>
  <c r="M137" i="11" s="1"/>
  <c r="I116" i="11"/>
  <c r="M116" i="11" s="1"/>
  <c r="I197" i="11"/>
  <c r="M197" i="11" s="1"/>
  <c r="I115" i="11"/>
  <c r="M115" i="11" s="1"/>
  <c r="I49" i="11"/>
  <c r="M49" i="11" s="1"/>
  <c r="I168" i="11"/>
  <c r="M168" i="11" s="1"/>
  <c r="I97" i="11"/>
  <c r="M97" i="11" s="1"/>
  <c r="I84" i="11"/>
  <c r="M84" i="11" s="1"/>
  <c r="I203" i="11"/>
  <c r="M203" i="11" s="1"/>
  <c r="I177" i="11"/>
  <c r="M177" i="11" s="1"/>
  <c r="I142" i="11"/>
  <c r="M142" i="11" s="1"/>
  <c r="I193" i="11"/>
  <c r="M193" i="11" s="1"/>
  <c r="I46" i="11"/>
  <c r="M46" i="11" s="1"/>
  <c r="I69" i="11"/>
  <c r="M69" i="11" s="1"/>
  <c r="I157" i="11"/>
  <c r="M157" i="11" s="1"/>
  <c r="I85" i="11"/>
  <c r="M85" i="11" s="1"/>
  <c r="I127" i="11"/>
  <c r="M127" i="11" s="1"/>
  <c r="I114" i="11"/>
  <c r="M114" i="11" s="1"/>
  <c r="I133" i="11"/>
  <c r="M133" i="11" s="1"/>
  <c r="I179" i="11"/>
  <c r="M179" i="11" s="1"/>
  <c r="I30" i="11"/>
  <c r="M30" i="11" s="1"/>
  <c r="I191" i="11"/>
  <c r="M191" i="11" s="1"/>
  <c r="I211" i="11"/>
  <c r="M211" i="11" s="1"/>
  <c r="I98" i="11"/>
  <c r="M98" i="11" s="1"/>
  <c r="I111" i="11"/>
  <c r="M111" i="11" s="1"/>
  <c r="I113" i="11"/>
  <c r="M113" i="11" s="1"/>
  <c r="I101" i="11"/>
  <c r="M101" i="11" s="1"/>
  <c r="I82" i="11"/>
  <c r="M82" i="11" s="1"/>
  <c r="I148" i="11"/>
  <c r="M148" i="11" s="1"/>
  <c r="I146" i="11"/>
  <c r="M146" i="11" s="1"/>
  <c r="I156" i="11"/>
  <c r="M156" i="11" s="1"/>
  <c r="I72" i="11"/>
  <c r="M72" i="11" s="1"/>
  <c r="I223" i="11"/>
  <c r="M223" i="11" s="1"/>
  <c r="I192" i="11"/>
  <c r="M192" i="11" s="1"/>
  <c r="I139" i="11"/>
  <c r="M139" i="11" s="1"/>
  <c r="I164" i="11"/>
  <c r="M164" i="11" s="1"/>
  <c r="I210" i="11"/>
  <c r="M210" i="11" s="1"/>
  <c r="I180" i="11"/>
  <c r="M180" i="11" s="1"/>
  <c r="I150" i="11"/>
  <c r="M150" i="11" s="1"/>
  <c r="I175" i="11"/>
  <c r="M175" i="11" s="1"/>
  <c r="I129" i="11"/>
  <c r="M129" i="11" s="1"/>
  <c r="I232" i="11"/>
  <c r="M232" i="11" s="1"/>
  <c r="I206" i="11"/>
  <c r="M206" i="11" s="1"/>
  <c r="I162" i="11"/>
  <c r="M162" i="11" s="1"/>
  <c r="I95" i="11"/>
  <c r="M95" i="11" s="1"/>
  <c r="I188" i="11"/>
  <c r="M188" i="11" s="1"/>
  <c r="I34" i="11"/>
  <c r="M34" i="11" s="1"/>
  <c r="I220" i="11"/>
  <c r="M220" i="11" s="1"/>
  <c r="I147" i="11"/>
  <c r="M147" i="11" s="1"/>
  <c r="I36" i="11"/>
  <c r="M36" i="11" s="1"/>
  <c r="I196" i="11"/>
  <c r="M196" i="11" s="1"/>
  <c r="I24" i="11"/>
  <c r="M24" i="11" s="1"/>
  <c r="I201" i="11"/>
  <c r="M201" i="11" s="1"/>
  <c r="I118" i="11"/>
  <c r="M118" i="11" s="1"/>
  <c r="I31" i="11"/>
  <c r="M31" i="11" s="1"/>
  <c r="I134" i="11"/>
  <c r="M134" i="11" s="1"/>
  <c r="I71" i="11"/>
  <c r="M71" i="11" s="1"/>
  <c r="I235" i="11"/>
  <c r="M235" i="11" s="1"/>
  <c r="I176" i="11"/>
  <c r="M176" i="11" s="1"/>
  <c r="I154" i="11"/>
  <c r="M154" i="11" s="1"/>
  <c r="I183" i="11"/>
  <c r="M183" i="11" s="1"/>
  <c r="I152" i="11"/>
  <c r="M152" i="11" s="1"/>
  <c r="I236" i="11"/>
  <c r="M236" i="11" s="1"/>
  <c r="I60" i="11"/>
  <c r="M60" i="11" s="1"/>
  <c r="I145" i="11"/>
  <c r="M145" i="11" s="1"/>
  <c r="I135" i="11"/>
  <c r="M135" i="11" s="1"/>
  <c r="I63" i="11"/>
  <c r="M63" i="11" s="1"/>
  <c r="I99" i="11"/>
  <c r="M99" i="11" s="1"/>
  <c r="I209" i="11"/>
  <c r="M209" i="11" s="1"/>
  <c r="I185" i="11"/>
  <c r="M185" i="11" s="1"/>
  <c r="I50" i="11"/>
  <c r="M50" i="11" s="1"/>
  <c r="I213" i="11"/>
  <c r="M213" i="11" s="1"/>
  <c r="I83" i="11"/>
  <c r="M83" i="11" s="1"/>
  <c r="I125" i="11"/>
  <c r="M125" i="11" s="1"/>
  <c r="I190" i="11"/>
  <c r="M190" i="11" s="1"/>
  <c r="I230" i="11"/>
  <c r="M230" i="11" s="1"/>
  <c r="I218" i="11"/>
  <c r="M218" i="11" s="1"/>
  <c r="I28" i="11"/>
  <c r="M28" i="11" s="1"/>
  <c r="I165" i="11"/>
  <c r="M165" i="11" s="1"/>
  <c r="I120" i="11"/>
  <c r="M120" i="11" s="1"/>
  <c r="I38" i="11"/>
  <c r="M38" i="11" s="1"/>
  <c r="I194" i="11"/>
  <c r="M194" i="11" s="1"/>
  <c r="I43" i="11"/>
  <c r="M43" i="11" s="1"/>
  <c r="I202" i="11"/>
  <c r="M202" i="11" s="1"/>
  <c r="I212" i="11"/>
  <c r="M212" i="11" s="1"/>
  <c r="I124" i="11"/>
  <c r="M124" i="11" s="1"/>
  <c r="I79" i="11"/>
  <c r="M79" i="11" s="1"/>
  <c r="I39" i="11"/>
  <c r="M39" i="11" s="1"/>
  <c r="I121" i="11"/>
  <c r="M121" i="11" s="1"/>
  <c r="I151" i="11"/>
  <c r="M151" i="11" s="1"/>
  <c r="I89" i="11"/>
  <c r="M89" i="11" s="1"/>
  <c r="I93" i="11"/>
  <c r="M93" i="11" s="1"/>
  <c r="I222" i="11"/>
  <c r="M222" i="11" s="1"/>
  <c r="I41" i="11"/>
  <c r="M41" i="11" s="1"/>
  <c r="I200" i="11"/>
  <c r="M200" i="11" s="1"/>
  <c r="I86" i="11"/>
  <c r="M86" i="11" s="1"/>
  <c r="I141" i="11"/>
  <c r="M141" i="11" s="1"/>
  <c r="I10" i="11"/>
  <c r="M10" i="11" s="1"/>
  <c r="M6" i="11"/>
  <c r="M7" i="11"/>
  <c r="M4" i="11"/>
  <c r="M155" i="11"/>
  <c r="M37" i="11"/>
  <c r="M144" i="11"/>
  <c r="M226" i="11"/>
  <c r="M204" i="11"/>
  <c r="M231" i="11"/>
  <c r="L205" i="11"/>
  <c r="L81" i="11"/>
  <c r="L132" i="11"/>
  <c r="L126" i="11"/>
  <c r="L128" i="11"/>
  <c r="L166" i="11"/>
  <c r="L91" i="11"/>
  <c r="L90" i="11"/>
  <c r="L219" i="11"/>
  <c r="L169" i="11"/>
  <c r="L30" i="11"/>
  <c r="L191" i="11"/>
  <c r="L192" i="11"/>
  <c r="L235" i="11"/>
  <c r="L213" i="11"/>
  <c r="L38" i="11"/>
  <c r="L200" i="11"/>
  <c r="L86" i="11"/>
  <c r="L15" i="11"/>
  <c r="L5" i="11"/>
  <c r="L21" i="11"/>
  <c r="B3" i="11" l="1"/>
</calcChain>
</file>

<file path=xl/sharedStrings.xml><?xml version="1.0" encoding="utf-8"?>
<sst xmlns="http://schemas.openxmlformats.org/spreadsheetml/2006/main" count="28896" uniqueCount="2114">
  <si>
    <t>Ech</t>
  </si>
  <si>
    <t>Nb ASVs</t>
  </si>
  <si>
    <t>Somme count</t>
  </si>
  <si>
    <t>ASV dans isolats</t>
  </si>
  <si>
    <t>Top 5 count dans isolats</t>
  </si>
  <si>
    <t>Top 10 count dans isolats</t>
  </si>
  <si>
    <t>V8S1-D1</t>
  </si>
  <si>
    <t>V2S1-D1</t>
  </si>
  <si>
    <t>V2S1-D2</t>
  </si>
  <si>
    <t>V4S1-T3</t>
  </si>
  <si>
    <t>V4S1-D3</t>
  </si>
  <si>
    <t>V2S1-D3</t>
  </si>
  <si>
    <t>V8S1-D2</t>
  </si>
  <si>
    <t>V6S1-D2</t>
  </si>
  <si>
    <t>V6S2-T1</t>
  </si>
  <si>
    <t>V5S2-T2</t>
  </si>
  <si>
    <t>V8S2-T1</t>
  </si>
  <si>
    <t>V4S1-T1</t>
  </si>
  <si>
    <t>V3S2-T2</t>
  </si>
  <si>
    <t>V1S2-T1</t>
  </si>
  <si>
    <t>V4S1-P</t>
  </si>
  <si>
    <t>V7S2-T1</t>
  </si>
  <si>
    <t>V5S2-T3</t>
  </si>
  <si>
    <t>V7S2-P</t>
  </si>
  <si>
    <t>V6S2-T3</t>
  </si>
  <si>
    <t>V4S2-T2</t>
  </si>
  <si>
    <t>V6S1-T2</t>
  </si>
  <si>
    <t>V3S1-D1</t>
  </si>
  <si>
    <t>V2S1-T1</t>
  </si>
  <si>
    <t>V4S2-T3</t>
  </si>
  <si>
    <t>V4S2-P</t>
  </si>
  <si>
    <t>V3S1-P</t>
  </si>
  <si>
    <t>V5S1-T1</t>
  </si>
  <si>
    <t>V4S2-T1</t>
  </si>
  <si>
    <t>V3S1-T2</t>
  </si>
  <si>
    <t>V5S1-D1</t>
  </si>
  <si>
    <t>V7S1-T1</t>
  </si>
  <si>
    <t>V3S2-T1</t>
  </si>
  <si>
    <t>V8S2-T3</t>
  </si>
  <si>
    <t>V2S1-T2</t>
  </si>
  <si>
    <t>V3S1-T1</t>
  </si>
  <si>
    <t>V6S1-P</t>
  </si>
  <si>
    <t>V3S1-T3</t>
  </si>
  <si>
    <t>V2S2-T3</t>
  </si>
  <si>
    <t>V5S1-D2</t>
  </si>
  <si>
    <t>V5S2-T1</t>
  </si>
  <si>
    <t>V2S1-P</t>
  </si>
  <si>
    <t>V6S2-P</t>
  </si>
  <si>
    <t>V2S2-T2</t>
  </si>
  <si>
    <t>V6S1-D1</t>
  </si>
  <si>
    <t>V2S2-P</t>
  </si>
  <si>
    <t>V1S1-P</t>
  </si>
  <si>
    <t>V7S2-T3</t>
  </si>
  <si>
    <t>V8S1-T1</t>
  </si>
  <si>
    <t>V6S1-D3</t>
  </si>
  <si>
    <t>V6S1-T3</t>
  </si>
  <si>
    <t>V1S2-P</t>
  </si>
  <si>
    <t>V7S1-D2</t>
  </si>
  <si>
    <t>V1S1-T2</t>
  </si>
  <si>
    <t>V5S1-T3</t>
  </si>
  <si>
    <t>V7S1-T2</t>
  </si>
  <si>
    <t>V5S1-D3</t>
  </si>
  <si>
    <t>V7S1-D1</t>
  </si>
  <si>
    <t>V8S1-P</t>
  </si>
  <si>
    <t>V1S1-D2</t>
  </si>
  <si>
    <t>V5S1-T2</t>
  </si>
  <si>
    <t>V4S1-T2</t>
  </si>
  <si>
    <t>V6S2-T2</t>
  </si>
  <si>
    <t>V7S1-D3</t>
  </si>
  <si>
    <t>V1S1-D1</t>
  </si>
  <si>
    <t>V1S2-T2</t>
  </si>
  <si>
    <t>V8S2-P</t>
  </si>
  <si>
    <t>V6S1-T1</t>
  </si>
  <si>
    <t>V7S1-P</t>
  </si>
  <si>
    <t>V2S2-T1</t>
  </si>
  <si>
    <t>V2S1-T3</t>
  </si>
  <si>
    <t>V8S1-T2</t>
  </si>
  <si>
    <t>V5S2-P</t>
  </si>
  <si>
    <t>V3S1-D2</t>
  </si>
  <si>
    <t>V1S1-T3</t>
  </si>
  <si>
    <t>V3S2-P</t>
  </si>
  <si>
    <t>V5S1-P</t>
  </si>
  <si>
    <t>V8S2-T2</t>
  </si>
  <si>
    <t>V1S2-T3</t>
  </si>
  <si>
    <t>V1S1-T1</t>
  </si>
  <si>
    <t>V7S2-T2</t>
  </si>
  <si>
    <t>V3S1-D3</t>
  </si>
  <si>
    <t>V4S1-D1</t>
  </si>
  <si>
    <t>V1S1-D3</t>
  </si>
  <si>
    <t>V3S2-T3</t>
  </si>
  <si>
    <t>V8S1-T3</t>
  </si>
  <si>
    <t>V7S1-T3</t>
  </si>
  <si>
    <t>V8S1-D3</t>
  </si>
  <si>
    <t>V4S1-D2</t>
  </si>
  <si>
    <t>AbsentIsolats</t>
  </si>
  <si>
    <t>%</t>
  </si>
  <si>
    <t>PresentsIsolats</t>
  </si>
  <si>
    <t>f__Amphisphaeriaceae</t>
  </si>
  <si>
    <t>f__Aspergillaceae</t>
  </si>
  <si>
    <t>f__Aureobasidiaceae</t>
  </si>
  <si>
    <t>f__Bulleribasidiaceae</t>
  </si>
  <si>
    <t>f__Chaetomiaceae</t>
  </si>
  <si>
    <t>f__Cladosporiaceae</t>
  </si>
  <si>
    <t>f__Clavicipitaceae</t>
  </si>
  <si>
    <t>f__Davidiellaceae</t>
  </si>
  <si>
    <t>f__Diaporthaceae</t>
  </si>
  <si>
    <t>f__Didymellaceae</t>
  </si>
  <si>
    <t>f__Filobasidiaceae</t>
  </si>
  <si>
    <t>f__Hypocreales_fam_Incertae_sedis</t>
  </si>
  <si>
    <t>f__Mortierellaceae</t>
  </si>
  <si>
    <t>f__Mycosphaerellaceae</t>
  </si>
  <si>
    <t>f__Nectriaceae</t>
  </si>
  <si>
    <t>f__Phaeosphaeriaceae</t>
  </si>
  <si>
    <t>f__Plectosphaerellaceae</t>
  </si>
  <si>
    <t>f__Pleosporaceae</t>
  </si>
  <si>
    <t>f__Pleosporales_fam_Incertae_sedis</t>
  </si>
  <si>
    <t>f__Sclerotiniaceae</t>
  </si>
  <si>
    <t>f__Stereaceae</t>
  </si>
  <si>
    <t>f__Strophariaceae</t>
  </si>
  <si>
    <t>f__Symmetrosporaceae</t>
  </si>
  <si>
    <t>f__Tremellales_fam_Incertae_sedis</t>
  </si>
  <si>
    <t>f__Trichocomaceae</t>
  </si>
  <si>
    <t>f__Tricholomataceae</t>
  </si>
  <si>
    <t>f__unclassified_Sporidiobolales</t>
  </si>
  <si>
    <t>f__Xylariaceae</t>
  </si>
  <si>
    <t>NA</t>
  </si>
  <si>
    <t>AbsentMicrobiote</t>
  </si>
  <si>
    <t>PresentMicrobiote</t>
  </si>
  <si>
    <t>f__Rhizopodaceae</t>
  </si>
  <si>
    <t>f__Valsaceae</t>
  </si>
  <si>
    <t>Genus</t>
  </si>
  <si>
    <t>Species</t>
  </si>
  <si>
    <t xml:space="preserve">Isolats ITS2 « pas dans la séquence »  </t>
  </si>
  <si>
    <t>Class</t>
  </si>
  <si>
    <t>Order</t>
  </si>
  <si>
    <t>Family</t>
  </si>
  <si>
    <t>g__Botrytis</t>
  </si>
  <si>
    <t>s__cinerea</t>
  </si>
  <si>
    <t>Kingdom</t>
  </si>
  <si>
    <t>Phylum</t>
  </si>
  <si>
    <t>c__Leotiomycetes</t>
  </si>
  <si>
    <t>o__Helotiales</t>
  </si>
  <si>
    <t>g__Cryptosphaeria</t>
  </si>
  <si>
    <t>H8_E09-ITS1-3</t>
  </si>
  <si>
    <t>k__Fungi</t>
  </si>
  <si>
    <t>p__Ascomycota</t>
  </si>
  <si>
    <t>c__Sordariomycetes</t>
  </si>
  <si>
    <t>o__Diaporthales</t>
  </si>
  <si>
    <t>B5_G03-ITS1-1</t>
  </si>
  <si>
    <t>C19_C10-ITS1-1</t>
  </si>
  <si>
    <t>D4_A06-ITS1-1</t>
  </si>
  <si>
    <t>F17_H06-ITS1-2</t>
  </si>
  <si>
    <t>G17_A08-ITS1-3</t>
  </si>
  <si>
    <t>G12_D07-ITS1-3</t>
  </si>
  <si>
    <t>G13_E07-ITS1-3</t>
  </si>
  <si>
    <t>G15_G07-ITS1-3</t>
  </si>
  <si>
    <t>G8_H06-ITS1-3</t>
  </si>
  <si>
    <t>G16_H07-ITS1-3</t>
  </si>
  <si>
    <t>H1_F08-ITS1-3</t>
  </si>
  <si>
    <t>H17_F10-ITS1-3</t>
  </si>
  <si>
    <t>H3_H08-ITS1-3</t>
  </si>
  <si>
    <t>I1_A01-ITS1-3</t>
  </si>
  <si>
    <t>I6_F01-ITS1-3</t>
  </si>
  <si>
    <t>I14_F02-ITS1-3</t>
  </si>
  <si>
    <t>I16_H02-ITS1-3</t>
  </si>
  <si>
    <t>J20_H05-ITS1-3</t>
  </si>
  <si>
    <t>K1_A01-ITS1-2</t>
  </si>
  <si>
    <t>K17_A03-ITS1-2</t>
  </si>
  <si>
    <t>K11_C02-ITS1-2</t>
  </si>
  <si>
    <t>K19_C03-ITS1-2</t>
  </si>
  <si>
    <t>L13_A05-ITS1-2</t>
  </si>
  <si>
    <t>L6_B04-ITS1-2</t>
  </si>
  <si>
    <t>L9_E04-ITS1-2</t>
  </si>
  <si>
    <t>L4_H03-ITS1-2</t>
  </si>
  <si>
    <t>M5_H07-ITS1-2</t>
  </si>
  <si>
    <t>M13_H08-ITS1-2</t>
  </si>
  <si>
    <t>N5_C10-ITS1-2</t>
  </si>
  <si>
    <t>K9_A02-ITS1-2</t>
  </si>
  <si>
    <t>c__Agaricomycetes</t>
  </si>
  <si>
    <t>L7_C04-ITS1-2</t>
  </si>
  <si>
    <t>p__Basidiomycota</t>
  </si>
  <si>
    <t>ASV</t>
  </si>
  <si>
    <t>Count</t>
  </si>
  <si>
    <t>Tax</t>
  </si>
  <si>
    <t>Echs Isolats</t>
  </si>
  <si>
    <t>a247ffbc77ccaf8220b657dd214010ac</t>
  </si>
  <si>
    <t>k__Fungi p__Ascomycota c__Dothideomycetes o__Pleosporales f__Pleosporaceae g__Stemphylium s__solani</t>
  </si>
  <si>
    <t>A2_B01-ITS1-1,A16_F02-ITS1-1,B3_E03-ITS1-1,J5_A04-ITS1-3,M18_D09-ITS1-2,M20_F09-ITS1-2</t>
  </si>
  <si>
    <t>395a45f0943a8f9a80dcb334d844fc51</t>
  </si>
  <si>
    <t>k__Fungi p__Ascomycota c__Sordariomycetes o__Hypocreales f__Nectriaceae g__Gibberella s__intricans</t>
  </si>
  <si>
    <t>C2_B08-ITS1-1,C25_H10-ITS1-1,D19_H07-ITS1-1</t>
  </si>
  <si>
    <t>604fca8d7075dc3134afe241a335001f</t>
  </si>
  <si>
    <t>k__Fungi p__Ascomycota c__Dothideomycetes o__Pleosporales f__Pleosporaceae g__Alternaria NA</t>
  </si>
  <si>
    <t>A10_A02-ITS1-1,A19_A03-ITS1-1,A17_G02-ITS1-1,B10_D04-ITS1-1,B13_G04-ITS1-1,C9_A09-ITS1-1,C10_B09-ITS1-1,C18_B10-ITS1-1,C5_E08-ITS1-1,C22_F10-ITS1-1,C7_G08-ITS1-1,C8_H08-ITS1-1,D12_A07-ITS1-1,D15_D07-ITS1-1,D16_E07-ITS1-1,E3_E11-ITS1-1,E5_G11-ITS1-1,E12_G12-ITS1-1,F12_C06-ITS1-2,F15_F06-ITS1-2,F6_E12-ITS1-3,G4_D06-ITS1-3,G5_E06-ITS1-3,H16_E10-ITS1-3,H9_F09-ITS1-3,I17_A03-ITS1-3,I10_B02-ITS1-3,I5_E01-ITS1-3,J8_D04-ITS1-3,J3_G03-ITS1-3,J11_G04-ITS1-3,K18_B03-ITS1-2,L16_D05-ITS1-2,L19_G05-ITS1-2,N14_D11-ITS1-2,N15_E11-ITS1-2,N8_F10-ITS1-2,N1_G09-ITS1-2</t>
  </si>
  <si>
    <t>8f5bb9518fc1455fccc69c2bdfd754fe</t>
  </si>
  <si>
    <t>k__Fungi p__Ascomycota c__Sordariomycetes o__Hypocreales f__Nectriaceae g__Fusarium s__oxysporum</t>
  </si>
  <si>
    <t>J9_E04-ITS1-3,L10_F04-ITS1-2</t>
  </si>
  <si>
    <t>ab5646b9ddc79dcd51a5e49ffa668222</t>
  </si>
  <si>
    <t>k__Fungi p__Ascomycota c__Eurotiomycetes o__Eurotiales f__Aspergillaceae g__Penicillium s__olsonii</t>
  </si>
  <si>
    <t>A13_D02-ITS1-1</t>
  </si>
  <si>
    <t>528cffafc55911ddf9ca61c97592b54d</t>
  </si>
  <si>
    <t>k__Fungi p__Ascomycota c__Dothideomycetes o__Capnodiales f__Mycosphaerellaceae g__Mycosphaerella s__tassiana</t>
  </si>
  <si>
    <t>K3_C01-ITS1-2</t>
  </si>
  <si>
    <t>5c9a24f8c5dd134f8c44bcad71238493</t>
  </si>
  <si>
    <t>k__Fungi p__Ascomycota c__Sordariomycetes o__Glomerellales f__Plectosphaerellaceae g__Gibellulopsis s__piscis</t>
  </si>
  <si>
    <t>A11_B02-ITS1-1,A21_C03-ITS1-1,A8_G01-ITS1-1,B15_H04-ITS1-1,K13_E02-ITS1-2,L1_E03-ITS1-2</t>
  </si>
  <si>
    <t>a82490a97dcca6f719015cb79ab0e23a</t>
  </si>
  <si>
    <t>D14_C07-ITS1-1,D11_H06-ITS1-1</t>
  </si>
  <si>
    <t>aa640de9b77ba385bb3cd65c25755aa7</t>
  </si>
  <si>
    <t>k__Fungi p__Ascomycota c__Dothideomycetes o__Capnodiales f__Cladosporiaceae g__Cladosporium s__delicatulum</t>
  </si>
  <si>
    <t>A1_A01-ITS1-1,B1_D03-ITS1-1,B19_D05-ITS1-1,B20_E05-ITS1-1,C11_C09-ITS1-1,C20_D10-ITS1-1,C6_F08-ITS1-1,D8_E06-ITS1-1,D9_F06-ITS1-1,D2_G05-ITS1-1,E7_A12-ITS1-1,E8_B12-ITS1-1,E9_C12-ITS1-1,E2_D11-ITS1-1,E10_D12-ITS1-1,E4_F11-ITS1-1,E11_F12-ITS1-1,E6_H11-ITS1-1,E14_A11-ITS1-3,F13_D06-ITS1-2,F14_E06-ITS1-2,F3_B12-ITS1-3,F7_F12-ITS1-3,G11_C07-ITS1-3,H7_D09-ITS1-3,H19_H10-ITS1-3,I18_B03-ITS1-3,I3_C01-ITS1-3,I11_C02-ITS1-3,I19_C03-ITS1-3,I12_D02-ITS1-3,I13_E02-ITS1-3,I15_G02-ITS1-3,J7_C04-ITS1-3,J1_E03-ITS1-3,J17_E05-ITS1-3,J10_F04-ITS1-3,J18_F05-ITS1-3,K4_D01-ITS1-2,K12_D02-ITS1-2,K15_G02-ITS1-2,L15_C05-ITS1-2,L8_D04-ITS1-2,L17_E05-ITS1-2,L11_G04-ITS1-2,M19_E09-ITS1-2,N7_E10-ITS1-2</t>
  </si>
  <si>
    <t>c2b645d6324a5e2517fb7c6e0f6ada06</t>
  </si>
  <si>
    <t>k__Fungi p__Ascomycota c__Eurotiomycetes o__Eurotiales f__Aspergillaceae g__Penicillium s__aurantiogriseum</t>
  </si>
  <si>
    <t>A9_H01-ITS1-1,A18_H02-ITS1-1</t>
  </si>
  <si>
    <t>69a1c8b9d65c035606adf3ed75b941c8</t>
  </si>
  <si>
    <t>k__Fungi p__Ascomycota c__Sordariomycetes o__Glomerellales f__Plectosphaerellaceae g__Plectosphaerella s__oratosquillae</t>
  </si>
  <si>
    <t>K20_D03-ITS1-2,K6_F01-ITS1-2</t>
  </si>
  <si>
    <t>e53a097928d0503e323495d425ad2142</t>
  </si>
  <si>
    <t>k__Fungi p__Basidiomycota c__Cystobasidiomycetes o__Cystobasidiomycetes_ord_Incertae_sedis f__Symmetrosporaceae g__Symmetrospora s__coprosmae</t>
  </si>
  <si>
    <t>K16_H02-ITS1-2</t>
  </si>
  <si>
    <t>aa8594ba1e8cc0c44cc189ad1e1cb789</t>
  </si>
  <si>
    <t>k__Fungi p__Basidiomycota c__Tremellomycetes o__Tremellales f__Bulleribasidiaceae g__Vishniacozyma s__carnescens</t>
  </si>
  <si>
    <t>G21_E08-ITS1-3</t>
  </si>
  <si>
    <t>79c67ebcfbeeeac16dbd80a3b319a2b4</t>
  </si>
  <si>
    <t>k__Fungi p__Ascomycota c__Dothideomycetes o__Dothideales f__Aureobasidiaceae g__Aureobasidium s__pullulans</t>
  </si>
  <si>
    <t>E13_H12-ITS1-1,E16_C11-ITS1-3</t>
  </si>
  <si>
    <t>18572c5008dba202878eb22b695de3bf</t>
  </si>
  <si>
    <t>k__Fungi p__Ascomycota c__Dothideomycetes o__Capnodiales f__Cladosporiaceae g__Cladosporium s__sphaerospermum</t>
  </si>
  <si>
    <t>B12_F04-ITS1-1,D5_B06-ITS1-1</t>
  </si>
  <si>
    <t>580d5ec58c4e2abfc40173b8bad04a8f</t>
  </si>
  <si>
    <t>k__Fungi p__Ascomycota c__Eurotiomycetes o__Eurotiales f__Aspergillaceae g__Aspergillus s__ochraceus</t>
  </si>
  <si>
    <t>A20_B03-ITS1-1,A4_D01-ITS1-1,B8_B04-ITS1-1,D18_G07-ITS1-1</t>
  </si>
  <si>
    <t>dbdd0a15a2f633e53f50edafa8be209c</t>
  </si>
  <si>
    <t>J16_D05-ITS1-3</t>
  </si>
  <si>
    <t>f73810ee5995a52356c3198393eb06f9</t>
  </si>
  <si>
    <t>k__Fungi p__Ascomycota c__Sordariomycetes o__Hypocreales f__Hypocreales_fam_Incertae_sedis g__Acremonium s__hyalinulum</t>
  </si>
  <si>
    <t>D6_C06-ITS1-1</t>
  </si>
  <si>
    <t>b97763f5a0ca7f291051f919b820e326</t>
  </si>
  <si>
    <t>k__Fungi p__Ascomycota c__Dothideomycetes o__Capnodiales f__Cladosporiaceae g__Cladosporium s__langeronii</t>
  </si>
  <si>
    <t>C21_E10-ITS1-1</t>
  </si>
  <si>
    <t>22fc184dcbedb674219b23d73c06cbf7</t>
  </si>
  <si>
    <t>k__Fungi p__Ascomycota c__Eurotiomycetes o__Eurotiales f__Aspergillaceae g__Penicillium s__oxalicum</t>
  </si>
  <si>
    <t>C1_A08-ITS1-1,D17_F07-ITS1-1,D10_G06-ITS1-1</t>
  </si>
  <si>
    <t>a87683e1a9e29006fd3d907b9cc01ec2</t>
  </si>
  <si>
    <t>I4_D01-ITS1-3,J2_F03-ITS1-3</t>
  </si>
  <si>
    <t>153e6252e5701ed551a79445e4d7c058</t>
  </si>
  <si>
    <t>k__Fungi p__Ascomycota c__Sordariomycetes o__Glomerellales f__Plectosphaerellaceae g__Chordomyces s__antarcticus</t>
  </si>
  <si>
    <t>C12_D09-ITS1-1</t>
  </si>
  <si>
    <t>8e33adf7ebd3a38ea1d62c262f3b08c0</t>
  </si>
  <si>
    <t>k__Fungi NA NA NA NA NA NA NA</t>
  </si>
  <si>
    <t>a86be1d92f444ef6a699109f2a8a85f2</t>
  </si>
  <si>
    <t>091bccd1aab39f9996b2fe31b8606dab</t>
  </si>
  <si>
    <t>44670a5fc4c37e4c704d6d4b395c581f</t>
  </si>
  <si>
    <t>d80829558bbfbcacf7c93f2478216bad</t>
  </si>
  <si>
    <t>f3ebf8260f33827b0f268648a28a59d2</t>
  </si>
  <si>
    <t>a9efd1cb36f54b063d594263523ed8e1</t>
  </si>
  <si>
    <t>06ab29b74c0549d007862bc6ad81a63f</t>
  </si>
  <si>
    <t>04298de210b7070d01b888d773d6e1d6</t>
  </si>
  <si>
    <t>57597d04479d0eeecff41b3ba78f5c8c</t>
  </si>
  <si>
    <t>51caa3bb282631b7f63db0ae0e20b79b</t>
  </si>
  <si>
    <t>e9562b114287671c9bb0353451f056c3</t>
  </si>
  <si>
    <t>3f691cbd6fffafdc5f8ea36a8fa1533d</t>
  </si>
  <si>
    <t>49ab18fc35c9027c87968354ec91b394</t>
  </si>
  <si>
    <t>eb5138b5bf14de27b72ee51cad3c13b8</t>
  </si>
  <si>
    <t>57398bb4c92c7d904a3cb1f880cacb2b</t>
  </si>
  <si>
    <t>dc212da44015a754f92f0f6547076e29</t>
  </si>
  <si>
    <t>9d94bf341322b2b03444f638de3e97fa</t>
  </si>
  <si>
    <t>0d7b8ddcf6fcc7fe3731eb34250a2833</t>
  </si>
  <si>
    <t>bb3cc2eb3f4fe51292cd72f7019461e6</t>
  </si>
  <si>
    <t>bc82c7ba823e3ce09097e51359d68f69</t>
  </si>
  <si>
    <t>feb40bd3c831880302bdf15b03bebe90</t>
  </si>
  <si>
    <t>f07ef74796b14d3c73b219c13816b10b</t>
  </si>
  <si>
    <t>16ab9cb8854263c9dbf971fcca8e0f6e</t>
  </si>
  <si>
    <t>b1ee04d54b3d06fceb6e8c44d31584aa</t>
  </si>
  <si>
    <t>548c378a71d7024c687fa4f424538ed8</t>
  </si>
  <si>
    <t>bc69202d7f01fa4b46b9f2c2b3537d9f</t>
  </si>
  <si>
    <t>dd4aae4b8165bf6751b2ffd52cbe59c2</t>
  </si>
  <si>
    <t>2cf6e8b81fb9478ad810ed6be341417b</t>
  </si>
  <si>
    <t>8fd13efb1b067205692ca8e6ad902771</t>
  </si>
  <si>
    <t>2d4532b87afee79a5b84fb437c06d2c5</t>
  </si>
  <si>
    <t>d600caf310bca9c2d04840866888f258</t>
  </si>
  <si>
    <t>e88d9e5a433ee7796b41a5ffde7948dc</t>
  </si>
  <si>
    <t>9eb5ceea32473b3625fdbdae8bce981d</t>
  </si>
  <si>
    <t>12b97fb8bdb48ce19393c96b1da26dc8</t>
  </si>
  <si>
    <t>e45825caed5e428f55640e5246a46960</t>
  </si>
  <si>
    <t>ebaa01fe7109b2f3292a35b714d0b5f4</t>
  </si>
  <si>
    <t>0da91df61a20c2d29b2c71de1e77047e</t>
  </si>
  <si>
    <t>3db6965fedde062a0ded937b8c92febd</t>
  </si>
  <si>
    <t>b28486b0d139146ea6e300b2077724f1</t>
  </si>
  <si>
    <t>11209ad56cd92fec27be669374a58d86</t>
  </si>
  <si>
    <t>k__Fungi p__Ascomycota c__Dothideomycetes o__Capnodiales f__Davidiellaceae g__Cladosporium s__Cladosporium_tenuissimum Cladosporium_tenuissimum</t>
  </si>
  <si>
    <t>66c14c20b7728cf925da783ca54b2ced</t>
  </si>
  <si>
    <t>2cddd001c5e76e972c8328e0837392f7</t>
  </si>
  <si>
    <t>2788bb643866678d882d916b07573702</t>
  </si>
  <si>
    <t>k__Fungi p__Ascomycota c__Dothideomycetes o__Capnodiales f__Mycosphaerellaceae g__Mycosphaerella s__Mycosphaerella_coffeicola Mycosphaerella_coffeicola</t>
  </si>
  <si>
    <t>9d36096aa2d978b1bcba43f651548b7d</t>
  </si>
  <si>
    <t>k__Fungi p__Ascomycota c__Dothideomycetes o__Capnodiales f__Mycosphaerellaceae g__Mycosphaerella s__Mycosphaerella_henningsii Mycosphaerella_henningsii</t>
  </si>
  <si>
    <t>c4152d4822d1266f07b35dd66613588b</t>
  </si>
  <si>
    <t>k__Fungi p__Ascomycota c__Dothideomycetes o__Capnodiales NA NA NA NA</t>
  </si>
  <si>
    <t>5a28d1bcfa6b688f7604b4e8367de76f</t>
  </si>
  <si>
    <t>2b3b8a7aa26a0edcc8e97195d4a3d37f</t>
  </si>
  <si>
    <t>k__Fungi p__Ascomycota c__Dothideomycetes o__Pleosporales f__Didymellaceae g__Heterophoma s__Heterophoma_nobilis Heterophoma_nobilis</t>
  </si>
  <si>
    <t>27820010ab2f5f33d7918ec2354e8e30</t>
  </si>
  <si>
    <t>k__Fungi p__Ascomycota c__Dothideomycetes o__Pleosporales f__Phaeosphaeriaceae g__Sphaerellopsis s__Sphaerellopsis_filum Sphaerellopsis_filum</t>
  </si>
  <si>
    <t>51eb8027bdd316013b311a44f9e57fc8</t>
  </si>
  <si>
    <t>k__Fungi p__Ascomycota c__Dothideomycetes o__Pleosporales f__Phaeosphaeriaceae g__Stagonospora s__Stagonospora_chrysopyla Stagonospora_chrysopyla</t>
  </si>
  <si>
    <t>e7b5235a8b9bd9a9259b900120a405d6</t>
  </si>
  <si>
    <t>0a5e41f7672d9dbc95fb7ec56e15017a</t>
  </si>
  <si>
    <t>k__Fungi p__Ascomycota c__Dothideomycetes o__Pleosporales f__Pleosporaceae g__Alternaria NA NA</t>
  </si>
  <si>
    <t>1d5c3ee29e6652086da1d641d62ee47f</t>
  </si>
  <si>
    <t>696ffde185cee499931300d782e1a700</t>
  </si>
  <si>
    <t>k__Fungi p__Ascomycota c__Dothideomycetes o__Pleosporales f__Pleosporaceae g__Alternaria s__Alternaria_botryospora Alternaria_botryospora</t>
  </si>
  <si>
    <t>6934e9b3d6c22a6298061ac9f32a19a6</t>
  </si>
  <si>
    <t>k__Fungi p__Ascomycota c__Dothideomycetes o__Pleosporales f__Pleosporaceae g__Alternaria s__Alternaria_citrimacularis Alternaria_citrimacularis</t>
  </si>
  <si>
    <t>53bb652f5e45a91da407f87bfb3b445c</t>
  </si>
  <si>
    <t>k__Fungi p__Ascomycota c__Dothideomycetes o__Pleosporales f__Pleosporaceae g__Lewia s__Lewia_sp Lewia</t>
  </si>
  <si>
    <t>d635c2664c5949c961c79e72cdb3b7b0</t>
  </si>
  <si>
    <t>953f7a47e159e7794c5c1a1b7ef28893</t>
  </si>
  <si>
    <t>k__Fungi p__Ascomycota c__Dothideomycetes o__Pleosporales f__Pleosporaceae g__Paradendryphiella s__Paradendryphiella_salina Paradendryphiella_salina</t>
  </si>
  <si>
    <t>092c00ec8f461b0beccb7fe5c71ea206</t>
  </si>
  <si>
    <t>815ff7dc0d1802c7f6d7f9b0928836e9</t>
  </si>
  <si>
    <t>k__Fungi p__Ascomycota c__Dothideomycetes o__Pleosporales f__Pleosporaceae NA NA NA</t>
  </si>
  <si>
    <t>444785d3bc53be8e25a1d1a58501c99e</t>
  </si>
  <si>
    <t>k__Fungi p__Ascomycota c__Dothideomycetes o__Pleosporales f__Pleosporales_fam_Incertae_sedis g__Didymella NA NA</t>
  </si>
  <si>
    <t>e6c958ed0ea100417406e44a4eac6b99</t>
  </si>
  <si>
    <t>k__Fungi p__Ascomycota c__Dothideomycetes o__Pleosporales f__Pleosporales_fam_Incertae_sedis g__Didymella s__Didymella_eucalyptica Didymella_eucalyptica</t>
  </si>
  <si>
    <t>04acd0edd6aa72e0c5f78cdbbd119521</t>
  </si>
  <si>
    <t>79845e3209a3c94738d3f47412c18f41</t>
  </si>
  <si>
    <t>d17852e030a26e5875c68d6b8b5ad23e</t>
  </si>
  <si>
    <t>320019ea325880dcd5fb157ac87e2002</t>
  </si>
  <si>
    <t>85c77e8a6d9afb5276b49c2e82e5b5a4</t>
  </si>
  <si>
    <t>k__Fungi p__Ascomycota c__Dothideomycetes o__Pleosporales f__Pleosporales_fam_Incertae_sedis NA NA NA</t>
  </si>
  <si>
    <t>f8f57b04246de015e26f2512e5e8dc4b</t>
  </si>
  <si>
    <t>k__Fungi p__Ascomycota c__Dothideomycetes o__Pleosporales NA NA NA NA</t>
  </si>
  <si>
    <t>77ff3e2067c4cd27224d29b3007fbbec</t>
  </si>
  <si>
    <t>8acc8f974cac24dbbc52013ac4e24487</t>
  </si>
  <si>
    <t>k__Fungi p__Ascomycota c__Eurotiomycetes o__Eurotiales f__Trichocomaceae g__Aspergillus NA NA</t>
  </si>
  <si>
    <t>f08180d6ae41481928bbabc89e788eca</t>
  </si>
  <si>
    <t>k__Fungi p__Ascomycota c__Eurotiomycetes o__Eurotiales f__Trichocomaceae g__Aspergillus s__Aspergillus_niveoglaucus Aspergillus_niveoglaucus</t>
  </si>
  <si>
    <t>e9b0f1dabfb440838d897462dd0d958a</t>
  </si>
  <si>
    <t>4ed97ff7abffd39e2d7b2242a08d08a6</t>
  </si>
  <si>
    <t>k__Fungi p__Ascomycota c__Leotiomycetes o__Helotiales f__Sclerotiniaceae g__Botrytis s__Botrytis_sp Botrytis</t>
  </si>
  <si>
    <t>ca7f9f67b3e4bec1c1476cedaa71a9a5</t>
  </si>
  <si>
    <t>k__Fungi p__Ascomycota c__Leotiomycetes o__Helotiales f__Sclerotiniaceae NA NA NA</t>
  </si>
  <si>
    <t>851136689d528f80361420f537d34619</t>
  </si>
  <si>
    <t>6f3317652caf7598e901a38f4f8fff47</t>
  </si>
  <si>
    <t>k__Fungi p__Ascomycota c__Sordariomycetes NA NA NA NA NA</t>
  </si>
  <si>
    <t>4fa317ccb820b8ae6ad5f80f8408ec03</t>
  </si>
  <si>
    <t>1146b149937fe45829beac83c5f9eefd</t>
  </si>
  <si>
    <t>944b0f463dd01186dd1875a6f4636aec</t>
  </si>
  <si>
    <t>eabe65a188dc36450bac25d75a14f9cd</t>
  </si>
  <si>
    <t>d9c9657671bac3411c2fcdcabb834430</t>
  </si>
  <si>
    <t>k__Fungi p__Ascomycota c__Sordariomycetes o__Diaporthales f__Diaporthaceae g__Phomopsis s__Phomopsis_columnaris Phomopsis_columnaris</t>
  </si>
  <si>
    <t>39e82231540fa399e371e493acd42e1a</t>
  </si>
  <si>
    <t>k__Fungi p__Ascomycota c__Sordariomycetes o__Diaporthales f__Diaporthaceae NA NA NA</t>
  </si>
  <si>
    <t>a1ba5b8c69a457ad1ff31cfe01ca31bb</t>
  </si>
  <si>
    <t>k__Fungi p__Ascomycota c__Sordariomycetes o__Hypocreales f__Clavicipitaceae g__Aschersonia s__Aschersonia_sp Aschersonia</t>
  </si>
  <si>
    <t>1731092c8b0d063ce384fb2307789619</t>
  </si>
  <si>
    <t>012271b19771b09b19c9107718cba6ae</t>
  </si>
  <si>
    <t>a92995359fc20f052da2579d0f49f63c</t>
  </si>
  <si>
    <t>k__Fungi p__Ascomycota c__Sordariomycetes o__Hypocreales f__Nectriaceae g__Cylindrocarpon s__Cylindrocarpon_didymum Cylindrocarpon_didymum</t>
  </si>
  <si>
    <t>f79c1eaa785ca1200223c797e235cffe</t>
  </si>
  <si>
    <t>f198ed57f050d21c9baa8b6c3fea6766</t>
  </si>
  <si>
    <t>k__Fungi p__Ascomycota c__Sordariomycetes o__Hypocreales f__Nectriaceae g__Fusarium NA NA</t>
  </si>
  <si>
    <t>81333397c4e8141cc472eeee76daa720</t>
  </si>
  <si>
    <t>k__Fungi p__Ascomycota c__Sordariomycetes o__Hypocreales f__Nectriaceae g__Fusarium s__Fusarium_caeruleum Fusarium_caeruleum</t>
  </si>
  <si>
    <t>6c847c8cf32ca632f56af4ab2c0709d5</t>
  </si>
  <si>
    <t>028f8363299f976b78196d403ff69619</t>
  </si>
  <si>
    <t>e320da852d8cda2bc15108cc5f9932a0</t>
  </si>
  <si>
    <t>k__Fungi p__Ascomycota c__Sordariomycetes o__Hypocreales f__Nectriaceae g__Gibberella s__Gibberella_indica Gibberella_indica</t>
  </si>
  <si>
    <t>76f7f055236f2e1a02430272586bf623</t>
  </si>
  <si>
    <t>k__Fungi p__Ascomycota c__Sordariomycetes o__Hypocreales f__Nectriaceae g__Nectria s__Nectria_sp Nectria</t>
  </si>
  <si>
    <t>a0a5d6cfd524e9d20aa294288e974afe</t>
  </si>
  <si>
    <t>k__Fungi p__Ascomycota c__Sordariomycetes o__Hypocreales f__Nectriaceae NA NA NA</t>
  </si>
  <si>
    <t>8addec9fa8d5b8a05f566c607187a06a</t>
  </si>
  <si>
    <t>04662b05a47600ef54d84021fb5c71be</t>
  </si>
  <si>
    <t>4fa2f9790dc7eda23139869ce3cdd218</t>
  </si>
  <si>
    <t>a50dea99b4f261915064bcef929b6cd2</t>
  </si>
  <si>
    <t>86ceb7dd2b88bae9333588fc079987ba</t>
  </si>
  <si>
    <t>5bb6ca917901922252c9abb60de05723</t>
  </si>
  <si>
    <t>5b96d68c9153adf60d6699d9906ba950</t>
  </si>
  <si>
    <t>a4a9c0110db184fb9ccf1615181a80fe</t>
  </si>
  <si>
    <t>k__Fungi p__Ascomycota c__Sordariomycetes o__Hypocreales NA NA NA NA</t>
  </si>
  <si>
    <t>0c83a086206f9351224b069f91a41aef</t>
  </si>
  <si>
    <t>5095c9426047bc39f79786182363eba0</t>
  </si>
  <si>
    <t>0355ab4d8b57fb6df6c983b1eeec86ab</t>
  </si>
  <si>
    <t>k__Fungi p__Ascomycota c__Sordariomycetes o__Hypocreomycetidae_ord_Incertae_sedis f__Plectosphaerellaceae g__unclassified_Plectosphaerellaceae s__Plectosphaerellaceae_sp Plectosphaerellaceae</t>
  </si>
  <si>
    <t>06ff96c1eb229fe3a22ed28697fd751d</t>
  </si>
  <si>
    <t>k__Fungi p__Ascomycota c__Sordariomycetes o__Sordariales f__Chaetomiaceae g__Chaetomium s__Chaetomium_cupreum Chaetomium_cupreum</t>
  </si>
  <si>
    <t>d4f2331e1ca1d3d614bf6d91bcc1b198</t>
  </si>
  <si>
    <t>k__Fungi p__Ascomycota c__Sordariomycetes o__Sordariales f__Chaetomiaceae g__Chaetomium s__Chaetomium_funicola Chaetomium_funicola</t>
  </si>
  <si>
    <t>89baf0b3208234ac391aa1a813e87e7c</t>
  </si>
  <si>
    <t>k__Fungi p__Ascomycota c__Sordariomycetes o__Sordariales f__Chaetomiaceae g__Chaetomium s__Chaetomium_globosum Chaetomium_globosum</t>
  </si>
  <si>
    <t>9bff3d3a0c755c6483c2640608280fc7</t>
  </si>
  <si>
    <t>k__Fungi p__Ascomycota c__Sordariomycetes o__Xylariales f__Amphisphaeriaceae g__Bartalinia s__Bartalinia_sp Bartalinia</t>
  </si>
  <si>
    <t>3fef65bd360b3bfaec962fd8f7d37bd3</t>
  </si>
  <si>
    <t>k__Fungi p__Ascomycota c__Sordariomycetes o__Xylariales f__Xylariaceae g__Rosellinia s__Rosellinia_desmazieri Rosellinia_desmazieri</t>
  </si>
  <si>
    <t>77399e8b3d3852438c09818b76cca6c2</t>
  </si>
  <si>
    <t>54e1824e676842ef3361ac56cc6a3a39</t>
  </si>
  <si>
    <t>k__Fungi p__Ascomycota c__Sordariomycetes o__Xylariales NA NA NA NA</t>
  </si>
  <si>
    <t>6643e42ac762fe98a55d9b41ceac909d</t>
  </si>
  <si>
    <t>k__Fungi p__Ascomycota NA NA NA NA NA NA</t>
  </si>
  <si>
    <t>fde0fb20a36a949390f4f68523b1ad4a</t>
  </si>
  <si>
    <t>138426a597dd4ceaff5ac01efd6472e3</t>
  </si>
  <si>
    <t>0bab39af58dc204dc49f27c4c04b6f61</t>
  </si>
  <si>
    <t>dba9898bf74d860cddafadf5b567680d</t>
  </si>
  <si>
    <t>9745058e4aefc0b2731fefe585633d33</t>
  </si>
  <si>
    <t>351a832fe8c4c79abd0f60b0f5e20632</t>
  </si>
  <si>
    <t>d664ddeccff7f4fcedea334a405e638c</t>
  </si>
  <si>
    <t>b3bed2abac1a9805d099a6717b797b85</t>
  </si>
  <si>
    <t>390b0589ba7a0417e6b49e6703f9d714</t>
  </si>
  <si>
    <t>f439dd025fb17826b8e670e4512052d4</t>
  </si>
  <si>
    <t>71904797c3ff0134fcc58df50f9c5bf2</t>
  </si>
  <si>
    <t>36cb7eab122e06d147d00ff1ec13d6d4</t>
  </si>
  <si>
    <t>0b6094a09d99fdfbad1cc48c3de6a0ee</t>
  </si>
  <si>
    <t>a83bf72f32a842a42dab3ff850fe6a1b</t>
  </si>
  <si>
    <t>e1fd0878871cbf0d9e363afc10bc4e87</t>
  </si>
  <si>
    <t>61f88555595a78399459015abc6c028b</t>
  </si>
  <si>
    <t>25ec5539b741e50c270edc67fe97ce92</t>
  </si>
  <si>
    <t>735dfd1cc09ad0fa632071a04afba641</t>
  </si>
  <si>
    <t>564fea5d93867ca2f0a5f3953b3e9341</t>
  </si>
  <si>
    <t>e5b7fc565c0da4bfb572445439c49b40</t>
  </si>
  <si>
    <t>ca258c13e30f9fd7cbc3e00523bca351</t>
  </si>
  <si>
    <t>26175e4c179932d46cd52034e6439cd9</t>
  </si>
  <si>
    <t>5cbed0ddb180a14cef0e57d3458c0582</t>
  </si>
  <si>
    <t>55e58e408e1366619502fce5b70236b1</t>
  </si>
  <si>
    <t>024cbc7fd099440cd5993f89f971719e</t>
  </si>
  <si>
    <t>776f2943ad0b37f8f916bfe4acaf2623</t>
  </si>
  <si>
    <t>6c8e8e43c98e5eea33f9cc60a42ae97f</t>
  </si>
  <si>
    <t>0a7d195792e5aa2d16c42bf911b24698</t>
  </si>
  <si>
    <t>9d8271217c85eaf2bcce899521528b69</t>
  </si>
  <si>
    <t>0100cdc3c750c0b81e6c8307308baf76</t>
  </si>
  <si>
    <t>609bc924f96fdc4f98a5d6ec74949c65</t>
  </si>
  <si>
    <t>d743904f536c8ebae4c724265ae08fb2</t>
  </si>
  <si>
    <t>ada4f7e4ccc467ff34cf827b0b742438</t>
  </si>
  <si>
    <t>12a989f6f67dca7073d6caa81cad7c90</t>
  </si>
  <si>
    <t>e473a63f02616f3baf51f583abdd77ce</t>
  </si>
  <si>
    <t>9c01e9005f90a9d8f456b72bcda28ab2</t>
  </si>
  <si>
    <t>056971b44e68f348d39bc1f32457dae6</t>
  </si>
  <si>
    <t>53b6f0fd13b043b0f58e0bbf813f3c88</t>
  </si>
  <si>
    <t>c2f7bccf74b78df25a34991b7758a3b5</t>
  </si>
  <si>
    <t>7e0371cee5bf7d189b7abfad8c42aad8</t>
  </si>
  <si>
    <t>k__Fungi p__Basidiomycota c__Agaricomycetes NA NA NA NA NA</t>
  </si>
  <si>
    <t>77e58c221b57c5d4844da416dfa03eb6</t>
  </si>
  <si>
    <t>1139ee98e75ceac7d71e069a8354a97c</t>
  </si>
  <si>
    <t>a47ef3b9e0c3aab75b8b139f3b99337e</t>
  </si>
  <si>
    <t>2c1324c72c6dbeb065ce55119f0d9453</t>
  </si>
  <si>
    <t>857051eb5b6e5c7e4c4b662e51f59ff2</t>
  </si>
  <si>
    <t>ccf6c28b1030b05557b2074dc308de79</t>
  </si>
  <si>
    <t>74f63adb28d535a79a6247fa0b662587</t>
  </si>
  <si>
    <t>29278411111bd802af698cb85dd8f96d</t>
  </si>
  <si>
    <t>68618f8760cd67187f01ef1d9275dfff</t>
  </si>
  <si>
    <t>e74af06b33d2f404fa3c0bd8ee948961</t>
  </si>
  <si>
    <t>c443c4b3fe6cf22819c07a3cd655d01e</t>
  </si>
  <si>
    <t>df9b88d777ef6a7d390cba58f5583629</t>
  </si>
  <si>
    <t>5a4c34164c427f6a0095840c18446587</t>
  </si>
  <si>
    <t>f409137eeb65824d389ba2cacf407713</t>
  </si>
  <si>
    <t>197e59aa6045df0610449e42db8dd7d4</t>
  </si>
  <si>
    <t>894813002eed65861ce6c63cecb8e61c</t>
  </si>
  <si>
    <t>acdbd3f64958607bae6dbfd8275d8f62</t>
  </si>
  <si>
    <t>k__Fungi p__Basidiomycota c__Agaricomycetes o__Agaricales f__Strophariaceae NA NA NA</t>
  </si>
  <si>
    <t>75a72d88a056fddf091cb5b97ea29705</t>
  </si>
  <si>
    <t>k__Fungi p__Basidiomycota c__Agaricomycetes o__Agaricales f__Tricholomataceae NA NA NA</t>
  </si>
  <si>
    <t>270283546e6cbb7b9935fb0147eb85aa</t>
  </si>
  <si>
    <t>k__Fungi p__Basidiomycota c__Agaricomycetes o__Agaricales NA NA NA NA</t>
  </si>
  <si>
    <t>8607b7c6156b70e885d538a29304fbe8</t>
  </si>
  <si>
    <t>149e8fab3e5f46a277e31d9ea8b5a869</t>
  </si>
  <si>
    <t>k__Fungi p__Basidiomycota c__Agaricomycetes o__Russulales f__Stereaceae g__Xylobolus s__Xylobolus_princeps Xylobolus_princeps</t>
  </si>
  <si>
    <t>6e36e33ad0a7cdfa66180963e09b75c7</t>
  </si>
  <si>
    <t>k__Fungi p__Basidiomycota c__Microbotryomycetes o__Sporidiobolales f__unclassified_Sporidiobolales g__unclassified_Sporidiobolales s__Sporidiobolales_sp Sporidiobolales</t>
  </si>
  <si>
    <t>3f63b0264f6c6c26d0fb7ce6743fe9cb</t>
  </si>
  <si>
    <t>620984f09c3e6c88dc547b40ca8d375c</t>
  </si>
  <si>
    <t>k__Fungi p__Basidiomycota c__Tremellomycetes o__Filobasidiales f__Filobasidiaceae g__Filobasidium s__Filobasidium_sp Filobasidium</t>
  </si>
  <si>
    <t>2e293ef7fd7bc3bbc2e09129f34c31d5</t>
  </si>
  <si>
    <t>k__Fungi p__Basidiomycota c__Tremellomycetes o__Tremellales f__Tremellales_fam_Incertae_sedis g__Bulleromyces s__Bulleromyces_sp Bulleromyces</t>
  </si>
  <si>
    <t>21facd028972fec273a870d2d673166b</t>
  </si>
  <si>
    <t>k__Fungi p__Basidiomycota c__Tremellomycetes o__Tremellales f__Tremellales_fam_Incertae_sedis g__Dioszegia s__Dioszegia_sp Dioszegia</t>
  </si>
  <si>
    <t>ef662d69e80287c6ea2d6e5bc0d13771</t>
  </si>
  <si>
    <t>k__Fungi p__Basidiomycota NA NA NA NA NA NA</t>
  </si>
  <si>
    <t>61f0f09df9e0e453f0e78ffd2ed3f62f</t>
  </si>
  <si>
    <t>d9558bad981bb1b18d8853118d60da74</t>
  </si>
  <si>
    <t>d9efdee78fcaa7bfca8460e50f9a5bfb</t>
  </si>
  <si>
    <t>b9c40ccfba3f5872d83c4387717844e6</t>
  </si>
  <si>
    <t>fd2a8ccd78154d028d3fd421b2595aa2</t>
  </si>
  <si>
    <t>074a1bb7ac25c959094749672d5dce0c</t>
  </si>
  <si>
    <t>c425b2a9a427034846cf5823be3879f4</t>
  </si>
  <si>
    <t>8ef5b493018ae67f1f081a19b1735b5d</t>
  </si>
  <si>
    <t>915ed47f8d8666b7402cbc43f5515773</t>
  </si>
  <si>
    <t>k__Fungi p__Zygomycota c__Mortierellomycotina_cls_Incertae_sedis o__Mortierellales f__Mortierellaceae g__Mortierella s__Mortierella_sp Mortierella</t>
  </si>
  <si>
    <t>ffc5d2b6688ea913708d5b06a44ce9dc</t>
  </si>
  <si>
    <t>2e9e885bbfdf55a4326cc8524c2ced76</t>
  </si>
  <si>
    <t>Ech microbiotes</t>
  </si>
  <si>
    <t>A1_A01-ITS1-1</t>
  </si>
  <si>
    <t>V6S1-T2,V4S2-T2,V2S1-T1,V3S1-D1,V7S2-T1,V5S2-T3,V4S1-P,V1S2-T1,V3S2-T2,V6S2-T3,V7S2-P,V6S2-T1,V8S1-D2,V2S1-D3,V8S2-T1,V4S1-T1,V5S2-T2,V2S1-D1,V4S1-T3,V2S1-D2,V2S2-T2,V6S2-P,V2S1-P,V5S2-T1,V2S2-P,V3S1-T1,V2S1-T2,V8S2-T3,V5S1-D2,V3S1-T3,V2S2-T3,V6S1-P,V3S1-T2,V4S2-T1,V3S2-T1,V7S1-T1,V5S1-D1,V3S1-P,V4S2-P,V4S2-T3,V5S1-T1,V6S2-T2,V7S1-D3,V4S1-T2,V8S2-P,V1S2-T2,V5S1-T3,V1S1-T2,V5S1-T2,V1S1-D2,V8S1-P,V7S1-D1,V5S1-D3,V7S1-T2,V6S1-T3,V6S1-D3,V1S2-P,V7S2-T3,V1S1-P,V8S1-T1,V3S2-T3,V7S2-T2,V4S1-D1,V4S1-D2,V7S1-T3,V8S1-T3,V8S1-D3,V1S1-T1,V1S2-T3,V8S2-T2,V3S2-P,V1S1-T3,V3S1-D2,V5S2-P,V2S1-T3,V8S1-T2,V5S1-P,V7S1-P,V6S1-T1,V2S2-T1</t>
  </si>
  <si>
    <t>A10_A02-ITS1-1</t>
  </si>
  <si>
    <t>V3S1-T1,V8S2-T3,V2S1-T2,V5S1-D2,V6S1-P,V3S1-T3,V2S2-T3,V2S2-T2,V6S1-D1,V5S2-T1,V6S2-P,V2S1-P,V2S2-P,V4S2-P,V3S1-P,V4S2-T3,V5S1-T1,V3S1-T2,V4S2-T1,V3S2-T1,V7S1-T1,V5S1-D1,V4S1-P,V7S2-T1,V5S2-T3,V3S2-T2,V1S2-T1,V6S2-T3,V7S2-P,V4S2-T2,V6S1-T2,V2S1-T1,V8S1-D1,V2S1-D1,V4S1-T3,V2S1-D2,V6S2-T1,V2S1-D3,V4S1-D3,V6S1-D2,V8S2-T1,V4S1-T1,V5S2-T2,V1S1-T1,V1S2-T3,V8S2-T2,V3S2-T3,V4S1-D1,V3S1-D3,V7S2-T2,V1S1-D3,V4S1-D2,V8S1-T3,V8S1-D3,V7S1-T3,V6S1-T1,V7S1-P,V2S2-T1,V5S2-P,V1S1-T3,V3S1-D2,V3S2-P,V2S1-T3,V8S1-T2,V5S1-P,V5S1-T3,V1S1-T2,V1S1-D2,V5S1-T2,V7S1-T2,V5S1-D3,V8S1-P,V7S1-D1,V1S1-D1,V4S1-T2,V6S2-T2,V7S1-D3,V1S2-T2,V8S2-P,V7S2-T3,V1S1-P,V8S1-T1,V6S1-T3,V6S1-D3,V7S1-D2,V1S2-P</t>
  </si>
  <si>
    <t>A19_A03-ITS1-1</t>
  </si>
  <si>
    <t>V6S1-D3,V6S1-T3,V1S2-P,V7S1-D2,V1S1-P,V7S2-T3,V8S1-T1,V4S1-T2,V6S2-T2,V7S1-D3,V1S1-D1,V1S2-T2,V8S2-P,V1S1-T2,V5S1-T3,V7S1-T2,V5S1-D3,V8S1-P,V7S1-D1,V1S1-D2,V5S1-T2,V2S1-T3,V8S1-T2,V5S2-P,V3S1-D2,V1S1-T3,V3S2-P,V5S1-P,V6S1-T1,V7S1-P,V2S2-T1,V3S1-D3,V4S1-D1,V7S2-T2,V1S1-D3,V3S2-T3,V8S1-D3,V8S1-T3,V7S1-T3,V4S1-D2,V8S2-T2,V1S2-T3,V1S1-T1,V4S1-D3,V2S1-D3,V6S1-D2,V6S2-T1,V5S2-T2,V8S2-T1,V4S1-T1,V8S1-D1,V2S1-D1,V2S1-D2,V4S1-T3,V4S2-T2,V6S1-T2,V2S1-T1,V3S2-T2,V1S2-T1,V4S1-P,V5S2-T3,V7S2-T1,V7S2-P,V6S2-T3,V4S2-T1,V3S1-T2,V5S1-D1,V7S1-T1,V3S2-T1,V4S2-T3,V4S2-P,V3S1-P,V5S1-T1,V5S2-T1,V6S2-P,V2S1-P,V2S2-T2,V6S1-D1,V2S2-P,V8S2-T3,V2S1-T2,V3S1-T1,V6S1-P,V3S1-T3,V2S2-T3,V5S1-D2</t>
  </si>
  <si>
    <t>A2_B01-ITS1-1</t>
  </si>
  <si>
    <t>V1S1-T1,V1S2-T3,V8S2-T2,V4S1-D2,V7S1-T3,V8S1-D3,V8S1-T3,V3S2-T3,V7S2-T2,V4S1-D1,V1S1-D3,V2S2-T1,V6S1-T1,V7S1-P,V5S1-P,V5S2-P,V1S1-T3,V3S2-P,V2S1-T3,V8S1-T2,V1S1-D2,V5S1-T2,V7S1-T2,V7S1-D1,V8S1-P,V5S1-T3,V1S1-T2,V1S2-T2,V8S2-P,V1S1-D1,V4S1-T2,V6S2-T2,V7S1-D3,V8S1-T1,V7S2-T3,V1S1-P,V7S1-D2,V1S2-P,V6S1-T3,V6S1-D3,V6S1-P,V2S2-T3,V3S1-T3,V3S1-T1,V8S2-T3,V2S1-T2,V2S2-P,V2S2-T2,V6S1-D1,V5S2-T1,V6S2-P,V2S1-P,V5S1-T1,V4S2-P,V3S1-P,V4S2-T3,V7S1-T1,V3S2-T1,V5S1-D1,V4S2-T1,V6S2-T3,V7S2-P,V4S1-P,V5S2-T3,V7S2-T1,V3S2-T2,V1S2-T1,V2S1-T1,V4S2-T2,V6S1-T2,V4S1-T3,V2S1-D2,V8S1-D1,V2S1-D1,V4S1-T1,V8S2-T1,V5S2-T2,V6S2-T1,V2S1-D3,V4S1-D3,V6S1-D2</t>
  </si>
  <si>
    <t>A11_B02-ITS1-1</t>
  </si>
  <si>
    <t>V1S1-T1,V1S2-T3,V8S2-T2,V8S1-T3,V3S2-T3,V4S1-D1,V7S2-T2,V1S1-D3,V2S2-T1,V5S2-P,V1S1-T3,V3S2-P,V2S1-T3,V8S1-T2,V5S1-T2,V8S1-P,V5S1-T3,V1S2-T2,V8S2-P,V1S1-D1,V6S2-T2,V8S1-T1,V7S2-T3,V1S2-P,V6S1-P,V2S2-T3,V3S1-T3,V3S1-T1,V8S2-T3,V2S1-T2,V2S2-P,V2S2-T2,V5S2-T1,V2S1-P,V5S1-T1,V4S2-P,V4S2-T3,V3S2-T1,V7S1-T1,V4S2-T1,V6S2-T3,V4S1-P,V7S2-T1,V5S2-T3,V3S2-T2,V1S2-T1,V2S1-T1,V4S2-T2,V4S1-T3,V4S1-T1,V8S2-T1,V5S2-T2,V6S2-T1,V8S1-D2</t>
  </si>
  <si>
    <t>A20_B03-ITS1-1</t>
  </si>
  <si>
    <t>V1S2-P,V2S2-P,V8S2-T3,V7S2-P</t>
  </si>
  <si>
    <t>A21_C03-ITS1-1</t>
  </si>
  <si>
    <t>V6S2-T3,V3S2-T2,V1S2-T1,V4S1-P,V5S2-T3,V7S2-T1,V2S1-T1,V4S2-T2,V4S1-T3,V5S2-T2,V8S2-T1,V4S1-T1,V8S1-D2,V6S2-T1,V6S1-P,V3S1-T3,V2S2-T3,V8S2-T3,V2S1-T2,V3S1-T1,V2S2-P,V5S2-T1,V2S1-P,V2S2-T2,V5S1-T1,V4S2-T3,V4S2-P,V3S2-T1,V7S1-T1,V4S2-T1,V8S1-P,V5S1-T2,V5S1-T3,V1S2-T2,V8S2-P,V6S2-T2,V1S1-D1,V8S1-T1,V7S2-T3,V1S2-P,V8S2-T2,V1S1-T1,V1S2-T3,V8S1-T3,V7S2-T2,V4S1-D1,V1S1-D3,V3S2-T3,V2S2-T1,V8S1-T2,V2S1-T3,V5S2-P,V1S1-T3,V3S2-P</t>
  </si>
  <si>
    <t>A4_D01-ITS1-1</t>
  </si>
  <si>
    <t>V7S2-P,V2S2-P,V8S2-T3,V1S2-P</t>
  </si>
  <si>
    <t>V7S1-D1,V1S1-D1,V7S1-D3,V6S2-T2,V8S1-T1,V7S1-D2,V6S1-T3,V6S1-D3,V4S1-D2,V8S1-D3,V3S1-D3,V1S1-D3,V5S2-P,V3S1-D2,V6S2-T3,V3S1-D1,V4S2-T2,V2S1-D1,V6S2-T1,V4S1-D3,V2S1-D3,V6S1-D2,V8S1-D2,V6S1-D1,V6S2-P,V5S1-D1</t>
  </si>
  <si>
    <t>A16_F02-ITS1-1</t>
  </si>
  <si>
    <t>V7S2-P,V6S2-T3,V5S2-T3,V7S2-T1,V4S1-P,V1S2-T1,V3S2-T2,V2S1-T1,V6S1-T2,V4S2-T2,V4S1-T3,V2S1-D2,V2S1-D1,V8S1-D1,V8S2-T1,V4S1-T1,V5S2-T2,V6S2-T1,V6S1-D2,V4S1-D3,V2S1-D3,V3S1-T3,V2S2-T3,V6S1-P,V3S1-T1,V2S1-T2,V8S2-T3,V2S2-P,V6S1-D1,V2S2-T2,V6S2-P,V2S1-P,V5S2-T1,V5S1-T1,V3S1-P,V4S2-P,V4S2-T3,V7S1-T1,V3S2-T1,V5S1-D1,V4S2-T1,V5S1-T2,V1S1-D2,V7S1-D1,V8S1-P,V7S1-T2,V1S1-T2,V5S1-T3,V8S2-P,V1S2-T2,V1S1-D1,V6S2-T2,V7S1-D3,V4S1-T2,V8S1-T1,V7S2-T3,V1S1-P,V7S1-D2,V1S2-P,V6S1-T3,V6S1-D3,V1S1-T1,V1S2-T3,V8S2-T2,V4S1-D2,V7S1-T3,V8S1-D3,V8S1-T3,V3S2-T3,V1S1-D3,V4S1-D1,V7S2-T2,V2S2-T1,V7S1-P,V6S1-T1,V5S1-P,V3S2-P,V1S1-T3,V5S2-P,V2S1-T3,V8S1-T2</t>
  </si>
  <si>
    <t>A8_G01-ITS1-1</t>
  </si>
  <si>
    <t>V2S1-T1,V4S2-T2,V6S2-T3,V3S2-T2,V1S2-T1,V4S1-P,V7S2-T1,V5S2-T3,V5S2-T2,V4S1-T1,V8S2-T1,V8S1-D2,V6S2-T1,V4S1-T3,V2S2-P,V5S2-T1,V2S1-P,V2S2-T2,V6S1-P,V3S1-T3,V2S2-T3,V8S2-T3,V2S1-T2,V3S1-T1,V7S1-T1,V3S2-T1,V4S2-T1,V5S1-T1,V4S2-T3,V4S2-P,V1S2-T2,V8S2-P,V6S2-T2,V1S1-D1,V8S1-P,V5S1-T2,V5S1-T3,V1S2-P,V8S1-T1,V7S2-T3,V8S1-T3,V4S1-D1,V7S2-T2,V1S1-D3,V3S2-T3,V8S2-T2,V1S2-T3,V1S1-T1,V8S1-T2,V2S1-T3,V5S2-P,V1S1-T3,V3S2-P,V2S2-T1</t>
  </si>
  <si>
    <t>A17_G02-ITS1-1</t>
  </si>
  <si>
    <t>V4S1-D2,V8S1-T3,V8S1-D3,V7S1-T3,V3S2-T3,V1S1-D3,V4S1-D1,V3S1-D3,V7S2-T2,V1S1-T1,V1S2-T3,V8S2-T2,V5S1-P,V1S1-T3,V3S1-D2,V3S2-P,V5S2-P,V8S1-T2,V2S1-T3,V2S2-T1,V7S1-P,V6S1-T1,V8S2-P,V1S2-T2,V1S1-D1,V7S1-D3,V6S2-T2,V4S1-T2,V5S1-T2,V1S1-D2,V7S1-D1,V8S1-P,V5S1-D3,V7S1-T2,V5S1-T3,V1S1-T2,V7S1-D2,V1S2-P,V6S1-T3,V6S1-D3,V8S1-T1,V7S2-T3,V1S1-P,V2S2-P,V6S1-D1,V2S2-T2,V6S2-P,V2S1-P,V5S2-T1,V5S1-D2,V3S1-T3,V2S2-T3,V6S1-P,V3S1-T1,V2S1-T2,V8S2-T3,V7S1-T1,V3S2-T1,V5S1-D1,V3S1-T2,V4S2-T1,V5S1-T1,V3S1-P,V4S2-P,V4S2-T3,V2S1-T1,V6S1-T2,V4S2-T2,V6S2-T3,V7S2-P,V7S2-T1,V5S2-T3,V4S1-P,V1S2-T1,V3S2-T2,V4S1-T1,V8S2-T1,V5S2-T2,V6S2-T1,V6S1-D2,V4S1-D3,V2S1-D3,V4S1-T3,V2S1-D2,V2S1-D1,V8S1-D1</t>
  </si>
  <si>
    <t>A9_H01-ITS1-1</t>
  </si>
  <si>
    <t>V8S1-D1,V8S2-T3,V1S1-P,V3S1-D3</t>
  </si>
  <si>
    <t>A18_H02-ITS1-1</t>
  </si>
  <si>
    <t>V8S2-T3,V8S1-D1,V3S1-D3,V1S1-P</t>
  </si>
  <si>
    <t>B8_B04-ITS1-1</t>
  </si>
  <si>
    <t>B1_D03-ITS1-1</t>
  </si>
  <si>
    <t>V6S1-T1,V7S1-P,V2S2-T1,V8S1-T2,V2S1-T3,V5S2-P,V3S1-D2,V1S1-T3,V3S2-P,V5S1-P,V8S2-T2,V1S2-T3,V1S1-T1,V7S2-T2,V4S1-D1,V3S2-T3,V8S1-D3,V7S1-T3,V8S1-T3,V4S1-D2,V1S1-P,V7S2-T3,V8S1-T1,V6S1-D3,V6S1-T3,V1S2-P,V1S1-T2,V5S1-T3,V7S1-T2,V5S1-D3,V7S1-D1,V8S1-P,V1S1-D2,V5S1-T2,V4S1-T2,V6S2-T2,V7S1-D3,V1S2-T2,V8S2-P,V4S2-T3,V4S2-P,V3S1-P,V5S1-T1,V4S2-T1,V3S1-T2,V5S1-D1,V7S1-T1,V3S2-T1,V8S2-T3,V2S1-T2,V3S1-T1,V6S1-P,V3S1-T3,V2S2-T3,V5S1-D2,V5S2-T1,V2S1-P,V6S2-P,V2S2-T2,V2S2-P,V2S1-D1,V2S1-D2,V4S1-T3,V2S1-D3,V8S1-D2,V6S2-T1,V5S2-T2,V4S1-T1,V8S2-T1,V3S2-T2,V1S2-T1,V4S1-P,V5S2-T3,V7S2-T1,V6S2-T3,V7S2-P,V4S2-T2,V6S1-T2,V3S1-D1,V2S1-T1</t>
  </si>
  <si>
    <t>B10_D04-ITS1-1</t>
  </si>
  <si>
    <t>V6S2-T1,V6S1-D2,V2S1-D3,V4S1-D3,V8S2-T1,V4S1-T1,V5S2-T2,V2S1-D1,V8S1-D1,V4S1-T3,V2S1-D2,V6S1-T2,V4S2-T2,V2S1-T1,V7S2-T1,V5S2-T3,V4S1-P,V1S2-T1,V3S2-T2,V6S2-T3,V7S2-P,V3S1-T2,V4S2-T1,V3S2-T1,V7S1-T1,V5S1-D1,V3S1-P,V4S2-P,V4S2-T3,V5S1-T1,V6S1-D1,V2S2-T2,V2S1-P,V6S2-P,V5S2-T1,V2S2-P,V3S1-T1,V2S1-T2,V8S2-T3,V5S1-D2,V3S1-T3,V2S2-T3,V6S1-P,V6S1-T3,V6S1-D3,V7S1-D2,V1S2-P,V7S2-T3,V1S1-P,V8S1-T1,V1S1-D1,V7S1-D3,V6S2-T2,V4S1-T2,V8S2-P,V1S2-T2,V5S1-T3,V1S1-T2,V5S1-T2,V1S1-D2,V7S1-D1,V8S1-P,V5S1-D3,V7S1-T2,V1S1-T3,V3S1-D2,V3S2-P,V5S2-P,V2S1-T3,V8S1-T2,V5S1-P,V7S1-P,V6S1-T1,V2S2-T1,V3S2-T3,V1S1-D3,V7S2-T2,V3S1-D3,V4S1-D1,V4S1-D2,V7S1-T3,V8S1-D3,V8S1-T3,V1S2-T3,V1S1-T1,V8S2-T2</t>
  </si>
  <si>
    <t>B19_D05-ITS1-1</t>
  </si>
  <si>
    <t>V8S2-T2,V1S2-T3,V1S1-T1,V4S1-D1,V7S2-T2,V3S2-T3,V8S1-D3,V7S1-T3,V8S1-T3,V4S1-D2,V6S1-T1,V7S1-P,V2S2-T1,V8S1-T2,V2S1-T3,V3S1-D2,V1S1-T3,V3S2-P,V5S2-P,V5S1-P,V1S1-T2,V5S1-T3,V8S1-P,V7S1-D1,V5S1-D3,V7S1-T2,V5S1-T2,V1S1-D2,V6S2-T2,V7S1-D3,V4S1-T2,V8S2-P,V1S2-T2,V1S1-P,V7S2-T3,V8S1-T1,V6S1-D3,V6S1-T3,V1S2-P,V2S1-T2,V8S2-T3,V3S1-T1,V3S1-T3,V2S2-T3,V6S1-P,V5S1-D2,V2S1-P,V6S2-P,V5S2-T1,V2S2-T2,V2S2-P,V4S2-T3,V3S1-P,V4S2-P,V5S1-T1,V4S2-T1,V3S1-T2,V5S1-D1,V7S1-T1,V3S2-T1,V1S2-T1,V3S2-T2,V5S2-T3,V7S2-T1,V4S1-P,V7S2-P,V6S2-T3,V6S1-T2,V4S2-T2,V3S1-D1,V2S1-T1,V2S1-D1,V2S1-D2,V4S1-T3,V8S1-D2,V2S1-D3,V6S2-T1,V5S2-T2,V8S2-T1,V4S1-T1</t>
  </si>
  <si>
    <t>B3_E03-ITS1-1</t>
  </si>
  <si>
    <t>V7S1-T1,V3S2-T1,V5S1-D1,V4S2-T1,V5S1-T1,V4S2-P,V3S1-P,V4S2-T3,V2S2-P,V2S2-T2,V6S1-D1,V5S2-T1,V2S1-P,V6S2-P,V6S1-P,V3S1-T3,V2S2-T3,V3S1-T1,V8S2-T3,V2S1-T2,V8S2-T1,V4S1-T1,V5S2-T2,V6S2-T1,V2S1-D3,V4S1-D3,V6S1-D2,V4S1-T3,V2S1-D2,V8S1-D1,V2S1-D1,V2S1-T1,V4S2-T2,V6S1-T2,V6S2-T3,V7S2-P,V4S1-P,V5S2-T3,V7S2-T1,V3S2-T2,V1S2-T1,V5S1-P,V5S2-P,V3S2-P,V1S1-T3,V8S1-T2,V2S1-T3,V2S2-T1,V7S1-P,V6S1-T1,V4S1-D2,V7S1-T3,V8S1-D3,V8S1-T3,V3S2-T3,V4S1-D1,V7S2-T2,V1S1-D3,V1S1-T1,V1S2-T3,V8S2-T2,V7S1-D2,V1S2-P,V6S1-T3,V6S1-D3,V8S1-T1,V7S2-T3,V1S1-P,V1S2-T2,V8S2-P,V1S1-D1,V4S1-T2,V7S1-D3,V6S2-T2,V1S1-D2,V5S1-T2,V7S1-T2,V7S1-D1,V8S1-P,V5S1-T3,V1S1-T2</t>
  </si>
  <si>
    <t>B20_E05-ITS1-1</t>
  </si>
  <si>
    <t>V4S1-T3,V2S1-D2,V2S1-D1,V8S2-T1,V4S1-T1,V5S2-T2,V6S2-T1,V8S1-D2,V2S1-D3,V7S2-P,V6S2-T3,V5S2-T3,V7S2-T1,V4S1-P,V1S2-T1,V3S2-T2,V2S1-T1,V3S1-D1,V6S1-T2,V4S2-T2,V5S1-T1,V3S1-P,V4S2-P,V4S2-T3,V7S1-T1,V3S2-T1,V5S1-D1,V3S1-T2,V4S2-T1,V5S1-D2,V3S1-T3,V2S2-T3,V6S1-P,V3S1-T1,V2S1-T2,V8S2-T3,V2S2-P,V2S2-T2,V6S2-P,V2S1-P,V5S2-T1,V8S1-T1,V7S2-T3,V1S1-P,V1S2-P,V6S1-T3,V6S1-D3,V5S1-T2,V1S1-D2,V7S1-D1,V8S1-P,V5S1-D3,V7S1-T2,V5S1-T3,V1S1-T2,V8S2-P,V1S2-T2,V6S2-T2,V7S1-D3,V4S1-T2,V2S2-T1,V6S1-T1,V7S1-P,V5S1-P,V3S2-P,V1S1-T3,V3S1-D2,V5S2-P,V8S1-T2,V2S1-T3,V1S2-T3,V1S1-T1,V8S2-T2,V4S1-D2,V7S1-T3,V8S1-D3,V8S1-T3,V3S2-T3,V4S1-D1,V7S2-T2</t>
  </si>
  <si>
    <t>B12_F04-ITS1-1</t>
  </si>
  <si>
    <t>V6S1-D2,V8S1-D2,V5S2-T2,V2S1-D1,V4S2-T2,V3S1-D1,V3S2-T2,V6S2-T3,V7S2-P,V3S2-T1,V5S1-D1,V2S2-T2,V6S1-D1,V3S1-T1,V2S1-T2,V5S1-D2,V2S2-T3,V3S1-T3,V1S2-P,V8S1-T1,V6S2-T2,V7S1-D3,V8S2-P,V5S1-T2,V7S1-D1,V5S2-P,V1S1-T3,V8S1-T2,V3S2-T3,V7S2-T2,V8S1-D3,V8S1-T3</t>
  </si>
  <si>
    <t>B13_G04-ITS1-1</t>
  </si>
  <si>
    <t>V7S1-P,V6S1-T1,V2S2-T1,V1S1-T3,V3S2-P,V3S1-D2,V5S2-P,V2S1-T3,V8S1-T2,V5S1-P,V1S1-T1,V1S2-T3,V8S2-T2,V3S2-T3,V1S1-D3,V4S1-D1,V3S1-D3,V7S2-T2,V4S1-D2,V8S1-D3,V8S1-T3,V7S1-T3,V7S2-T3,V1S1-P,V8S1-T1,V6S1-T3,V6S1-D3,V7S1-D2,V1S2-P,V5S1-T3,V1S1-T2,V5S1-T2,V1S1-D2,V8S1-P,V7S1-D1,V7S1-T2,V5S1-D3,V1S1-D1,V6S2-T2,V7S1-D3,V4S1-T2,V8S2-P,V1S2-T2,V3S1-P,V4S2-P,V4S2-T3,V5S1-T1,V3S1-T2,V4S2-T1,V7S1-T1,V3S2-T1,V5S1-D1,V3S1-T1,V2S1-T2,V8S2-T3,V5S1-D2,V3S1-T3,V2S2-T3,V6S1-P,V6S1-D1,V2S2-T2,V2S1-P,V6S2-P,V5S2-T1,V2S2-P,V2S1-D1,V8S1-D1,V4S1-T3,V2S1-D2,V6S2-T1,V6S1-D2,V4S1-D3,V2S1-D3,V4S1-T1,V8S2-T1,V5S2-T2,V5S2-T3,V7S2-T1,V4S1-P,V1S2-T1,V3S2-T2,V6S2-T3,V7S2-P,V6S1-T2,V4S2-T2,V2S1-T1</t>
  </si>
  <si>
    <t>B15_H04-ITS1-1</t>
  </si>
  <si>
    <t>V2S1-T1,V4S2-T2,V6S2-T3,V1S2-T1,V3S2-T2,V7S2-T1,V5S2-T3,V4S1-P,V5S2-T2,V4S1-T1,V8S2-T1,V8S1-D2,V6S2-T1,V4S1-T3,V2S2-P,V2S1-P,V5S2-T1,V2S2-T2,V3S1-T3,V2S2-T3,V6S1-P,V2S1-T2,V8S2-T3,V3S1-T1,V7S1-T1,V3S2-T1,V4S2-T1,V5S1-T1,V4S2-T3,V4S2-P,V8S2-P,V1S2-T2,V6S2-T2,V1S1-D1,V8S1-P,V5S1-T2,V5S1-T3,V1S2-P,V8S1-T1,V7S2-T3,V8S1-T3,V1S1-D3,V7S2-T2,V4S1-D1,V3S2-T3,V8S2-T2,V1S2-T3,V1S1-T1,V8S1-T2,V2S1-T3,V1S1-T3,V3S2-P,V5S2-P,V2S2-T1</t>
  </si>
  <si>
    <t>C1_A08-ITS1-1</t>
  </si>
  <si>
    <t>V2S1-P,V4S1-P</t>
  </si>
  <si>
    <t>C9_A09-ITS1-1</t>
  </si>
  <si>
    <t>V2S2-P,V6S1-D1,V2S2-T2,V2S1-P,V6S2-P,V5S2-T1,V5S1-D2,V3S1-T3,V2S2-T3,V6S1-P,V3S1-T1,V2S1-T2,V8S2-T3,V3S2-T1,V7S1-T1,V5S1-D1,V3S1-T2,V4S2-T1,V5S1-T1,V3S1-P,V4S2-P,V4S2-T3,V2S1-T1,V6S1-T2,V4S2-T2,V7S2-P,V6S2-T3,V7S2-T1,V5S2-T3,V4S1-P,V1S2-T1,V3S2-T2,V8S2-T1,V4S1-T1,V5S2-T2,V6S2-T1,V6S1-D2,V4S1-D3,V2S1-D3,V4S1-T3,V2S1-D2,V2S1-D1,V8S1-D1,V4S1-D2,V8S1-T3,V8S1-D3,V7S1-T3,V3S2-T3,V1S1-D3,V4S1-D1,V3S1-D3,V7S2-T2,V1S1-T1,V1S2-T3,V8S2-T2,V5S1-P,V3S2-P,V1S1-T3,V3S1-D2,V5S2-P,V8S1-T2,V2S1-T3,V2S2-T1,V7S1-P,V6S1-T1,V8S2-P,V1S2-T2,V1S1-D1,V7S1-D3,V6S2-T2,V4S1-T2,V5S1-T2,V1S1-D2,V7S1-D1,V8S1-P,V5S1-D3,V7S1-T2,V5S1-T3,V1S1-T2,V7S1-D2,V1S2-P,V6S1-T3,V6S1-D3,V8S1-T1,V7S2-T3,V1S1-P</t>
  </si>
  <si>
    <t>C2_B08-ITS1-1</t>
  </si>
  <si>
    <t>V6S1-D3,V6S1-T3,V7S1-D2,V1S1-P,V8S1-T1,V4S1-T2,V7S1-D3,V1S1-D1,V1S2-T2,V8S2-P,V5S1-T3,V1S1-T2,V7S1-T2,V7S1-D1,V1S1-D2,V5S1-T2,V8S1-T2,V2S1-T3,V5S2-P,V3S1-D2,V3S2-P,V1S1-T3,V5S1-P,V7S1-P,V6S1-T1,V4S1-D1,V3S1-D3,V1S1-D3,V3S2-T3,V8S1-D3,V8S1-T3,V7S1-T3,V4S1-D2,V8S2-T2,V1S1-T1,V1S2-T3,V2S1-D3,V8S1-D2,V5S2-T2,V8S2-T1,V4S1-T1,V8S1-D1,V2S1-D1,V2S1-D2,V4S1-T3,V6S1-T2,V3S1-D1,V2S1-T1,V3S2-T2,V4S1-P,V7S2-P,V3S1-T2,V3S2-T1,V7S1-T1,V4S2-T3,V5S1-T1,V5S2-T1,V2S1-P,V6S2-P,V2S2-T2,V6S1-D1,V2S2-P,V8S2-T3,V2S1-T2,V3S1-T1,V6S1-P,V2S2-T3,V3S1-T3</t>
  </si>
  <si>
    <t>C10_B09-ITS1-1</t>
  </si>
  <si>
    <t>V8S2-P,V1S2-T2,V1S1-D1,V7S1-D3,V6S2-T2,V4S1-T2,V5S1-T2,V1S1-D2,V7S1-D1,V8S1-P,V7S1-T2,V5S1-D3,V5S1-T3,V1S1-T2,V7S1-D2,V1S2-P,V6S1-T3,V6S1-D3,V8S1-T1,V7S2-T3,V1S1-P,V4S1-D2,V8S1-D3,V8S1-T3,V7S1-T3,V3S2-T3,V1S1-D3,V3S1-D3,V4S1-D1,V7S2-T2,V1S1-T1,V1S2-T3,V8S2-T2,V5S1-P,V3S1-D2,V1S1-T3,V3S2-P,V5S2-P,V8S1-T2,V2S1-T3,V2S2-T1,V6S1-T1,V7S1-P,V2S1-T1,V6S1-T2,V4S2-T2,V6S2-T3,V7S2-P,V7S2-T1,V5S2-T3,V4S1-P,V1S2-T1,V3S2-T2,V4S1-T1,V8S2-T1,V5S2-T2,V6S2-T1,V6S1-D2,V2S1-D3,V4S1-D3,V4S1-T3,V2S1-D2,V2S1-D1,V8S1-D1,V2S2-P,V6S1-D1,V2S2-T2,V2S1-P,V6S2-P,V5S2-T1,V5S1-D2,V2S2-T3,V3S1-T3,V6S1-P,V3S1-T1,V2S1-T2,V8S2-T3,V7S1-T1,V3S2-T1,V5S1-D1,V3S1-T2,V4S2-T1,V5S1-T1,V3S1-P,V4S2-P,V4S2-T3</t>
  </si>
  <si>
    <t>C18_B10-ITS1-1</t>
  </si>
  <si>
    <t>V6S1-T2,V4S2-T2,V2S1-T1,V1S2-T1,V3S2-T2,V5S2-T3,V7S2-T1,V4S1-P,V7S2-P,V6S2-T3,V6S1-D2,V4S1-D3,V2S1-D3,V6S2-T1,V5S2-T2,V8S2-T1,V4S1-T1,V2S1-D1,V8S1-D1,V2S1-D2,V4S1-T3,V6S2-P,V2S1-P,V5S2-T1,V6S1-D1,V2S2-T2,V2S2-P,V2S1-T2,V8S2-T3,V3S1-T1,V3S1-T3,V2S2-T3,V6S1-P,V5S1-D2,V4S2-T1,V3S1-T2,V5S1-D1,V7S1-T1,V3S2-T1,V4S2-T3,V3S1-P,V4S2-P,V5S1-T1,V6S2-T2,V7S1-D3,V4S1-T2,V1S1-D1,V8S2-P,V1S2-T2,V5S1-T3,V1S1-T2,V7S1-D1,V8S1-P,V5S1-D3,V7S1-T2,V5S1-T2,V1S1-D2,V6S1-D3,V6S1-T3,V1S2-P,V7S1-D2,V1S1-P,V7S2-T3,V8S1-T1,V1S1-D3,V3S1-D3,V4S1-D1,V7S2-T2,V3S2-T3,V8S1-D3,V7S1-T3,V8S1-T3,V4S1-D2,V8S2-T2,V1S1-T1,V1S2-T3,V8S1-T2,V2S1-T3,V1S1-T3,V3S2-P,V3S1-D2,V5S2-P,V5S1-P,V6S1-T1,V7S1-P,V2S2-T1</t>
  </si>
  <si>
    <t>C11_C09-ITS1-1</t>
  </si>
  <si>
    <t>V4S1-D2,V8S1-D3,V7S1-T3,V8S1-T3,V3S2-T3,V4S1-D1,V7S2-T2,V1S1-T1,V1S2-T3,V8S2-T2,V5S1-P,V1S1-T3,V3S2-P,V3S1-D2,V5S2-P,V2S1-T3,V8S1-T2,V2S2-T1,V7S1-P,V6S1-T1,V8S2-P,V1S2-T2,V7S1-D3,V6S2-T2,V4S1-T2,V5S1-T2,V1S1-D2,V8S1-P,V7S1-D1,V5S1-D3,V7S1-T2,V1S1-T2,V5S1-T3,V1S2-P,V6S1-T3,V6S1-D3,V8S1-T1,V7S2-T3,V1S1-P,V2S2-P,V2S2-T2,V6S2-P,V2S1-P,V5S2-T1,V5S1-D2,V3S1-T3,V2S2-T3,V6S1-P,V3S1-T1,V2S1-T2,V8S2-T3,V3S2-T1,V7S1-T1,V5S1-D1,V3S1-T2,V4S2-T1,V5S1-T1,V3S1-P,V4S2-P,V4S2-T3,V2S1-T1,V3S1-D1,V6S1-T2,V4S2-T2,V7S2-P,V6S2-T3,V7S2-T1,V5S2-T3,V4S1-P,V1S2-T1,V3S2-T2,V4S1-T1,V8S2-T1,V5S2-T2,V6S2-T1,V8S1-D2,V2S1-D3,V4S1-T3,V2S1-D2,V2S1-D1</t>
  </si>
  <si>
    <t>V7S1-D3,V8S1-D3,V8S1-D1</t>
  </si>
  <si>
    <t>C20_D10-ITS1-1</t>
  </si>
  <si>
    <t>V5S1-P,V2S1-T3,V8S1-T2,V5S2-P,V3S1-D2,V1S1-T3,V3S2-P,V2S2-T1,V7S1-P,V6S1-T1,V7S1-T3,V8S1-T3,V8S1-D3,V4S1-D2,V4S1-D1,V7S2-T2,V3S2-T3,V8S2-T2,V1S1-T1,V1S2-T3,V1S2-P,V6S1-D3,V6S1-T3,V8S1-T1,V1S1-P,V7S2-T3,V1S2-T2,V8S2-P,V4S1-T2,V6S2-T2,V7S1-D3,V5S1-D3,V7S1-T2,V8S1-P,V7S1-D1,V1S1-D2,V5S1-T2,V1S1-T2,V5S1-T3,V5S1-D1,V3S2-T1,V7S1-T1,V4S2-T1,V3S1-T2,V5S1-T1,V4S2-T3,V4S2-P,V3S1-P,V2S2-P,V5S2-T1,V6S2-P,V2S1-P,V2S2-T2,V6S1-P,V2S2-T3,V3S1-T3,V5S1-D2,V8S2-T3,V2S1-T2,V3S1-T1,V5S2-T2,V8S2-T1,V4S1-T1,V2S1-D3,V8S1-D2,V6S2-T1,V2S1-D2,V4S1-T3,V2S1-D1,V3S1-D1,V2S1-T1,V4S2-T2,V6S1-T2,V7S2-P,V6S2-T3,V3S2-T2,V1S2-T1,V4S1-P,V5S2-T3,V7S2-T1</t>
  </si>
  <si>
    <t>C5_E08-ITS1-1</t>
  </si>
  <si>
    <t>V7S1-D2,V1S2-P,V6S1-T3,V6S1-D3,V8S1-T1,V7S2-T3,V1S1-P,V1S2-T2,V8S2-P,V1S1-D1,V4S1-T2,V7S1-D3,V6S2-T2,V1S1-D2,V5S1-T2,V7S1-T2,V5S1-D3,V8S1-P,V7S1-D1,V5S1-T3,V1S1-T2,V5S1-P,V5S2-P,V1S1-T3,V3S2-P,V3S1-D2,V2S1-T3,V8S1-T2,V2S2-T1,V7S1-P,V6S1-T1,V4S1-D2,V8S1-D3,V7S1-T3,V8S1-T3,V3S2-T3,V3S1-D3,V7S2-T2,V4S1-D1,V1S1-D3,V1S1-T1,V1S2-T3,V8S2-T2,V4S1-T1,V8S2-T1,V5S2-T2,V6S2-T1,V2S1-D3,V4S1-D3,V6S1-D2,V4S1-T3,V2S1-D2,V8S1-D1,V2S1-D1,V2S1-T1,V4S2-T2,V6S1-T2,V6S2-T3,V7S2-P,V4S1-P,V5S2-T3,V7S2-T1,V3S2-T2,V1S2-T1,V3S2-T1,V7S1-T1,V5S1-D1,V3S1-T2,V4S2-T1,V5S1-T1,V4S2-P,V3S1-P,V4S2-T3,V2S2-P,V2S2-T2,V6S1-D1,V5S2-T1,V6S2-P,V2S1-P,V5S1-D2,V6S1-P,V3S1-T3,V2S2-T3,V3S1-T1,V8S2-T3,V2S1-T2</t>
  </si>
  <si>
    <t>V3S1-D1,V2S1-D2,V6S1-D2,V5S2-T2,V3S1-T1,V4S2-T3,V5S1-T2,V8S1-T1,V6S1-T3</t>
  </si>
  <si>
    <t>C6_F08-ITS1-1</t>
  </si>
  <si>
    <t>V4S2-T1,V3S1-T2,V5S1-D1,V3S2-T1,V7S1-T1,V4S2-T3,V4S2-P,V3S1-P,V5S1-T1,V5S2-T1,V2S1-P,V6S2-P,V2S2-T2,V2S2-P,V8S2-T3,V2S1-T2,V3S1-T1,V6S1-P,V3S1-T3,V2S2-T3,V5S1-D2,V2S1-D3,V8S1-D2,V6S2-T1,V5S2-T2,V4S1-T1,V8S2-T1,V2S1-D1,V2S1-D2,V4S1-T3,V4S2-T2,V6S1-T2,V3S1-D1,V2S1-T1,V3S2-T2,V1S2-T1,V4S1-P,V7S2-T1,V5S2-T3,V6S2-T3,V7S2-P,V8S1-T2,V2S1-T3,V5S2-P,V1S1-T3,V3S2-P,V3S1-D2,V5S1-P,V7S1-P,V6S1-T1,V2S2-T1,V4S1-D1,V7S2-T2,V3S2-T3,V7S1-T3,V8S1-D3,V8S1-T3,V4S1-D2,V8S2-T2,V1S2-T3,V1S1-T1,V6S1-D3,V6S1-T3,V1S2-P,V1S1-P,V7S2-T3,V8S1-T1,V4S1-T2,V6S2-T2,V7S1-D3,V1S2-T2,V8S2-P,V1S1-T2,V5S1-T3,V7S1-T2,V5S1-D3,V8S1-P,V7S1-D1,V1S1-D2,V5S1-T2</t>
  </si>
  <si>
    <t>C22_F10-ITS1-1</t>
  </si>
  <si>
    <t>V6S1-D3,V6S1-T3,V1S2-P,V7S1-D2,V1S1-P,V7S2-T3,V8S1-T1,V6S2-T2,V7S1-D3,V4S1-T2,V1S1-D1,V8S2-P,V1S2-T2,V1S1-T2,V5S1-T3,V8S1-P,V7S1-D1,V7S1-T2,V5S1-D3,V5S1-T2,V1S1-D2,V8S1-T2,V2S1-T3,V1S1-T3,V3S2-P,V3S1-D2,V5S2-P,V5S1-P,V6S1-T1,V7S1-P,V2S2-T1,V1S1-D3,V3S1-D3,V7S2-T2,V4S1-D1,V3S2-T3,V7S1-T3,V8S1-D3,V8S1-T3,V4S1-D2,V8S2-T2,V1S1-T1,V1S2-T3,V6S1-D2,V2S1-D3,V4S1-D3,V6S2-T1,V5S2-T2,V4S1-T1,V8S2-T1,V2S1-D1,V8S1-D1,V2S1-D2,V4S1-T3,V6S1-T2,V4S2-T2,V2S1-T1,V1S2-T1,V3S2-T2,V7S2-T1,V5S2-T3,V4S1-P,V7S2-P,V6S2-T3,V4S2-T1,V3S1-T2,V5S1-D1,V3S2-T1,V7S1-T1,V4S2-T3,V3S1-P,V4S2-P,V5S1-T1,V2S1-P,V6S2-P,V5S2-T1,V6S1-D1,V2S2-T2,V2S2-P,V2S1-T2,V8S2-T3,V3S1-T1,V2S2-T3,V3S1-T3,V6S1-P,V5S1-D2</t>
  </si>
  <si>
    <t>C7_G08-ITS1-1</t>
  </si>
  <si>
    <t>V2S1-T1,V4S2-T2,V6S1-T2,V7S2-P,V6S2-T3,V4S1-P,V7S2-T1,V5S2-T3,V3S2-T2,V1S2-T1,V8S2-T1,V4S1-T1,V5S2-T2,V6S2-T1,V2S1-D3,V4S1-D3,V6S1-D2,V4S1-T3,V2S1-D2,V8S1-D1,V2S1-D1,V2S2-P,V2S2-T2,V6S1-D1,V5S2-T1,V2S1-P,V6S2-P,V5S1-D2,V6S1-P,V3S1-T3,V2S2-T3,V3S1-T1,V8S2-T3,V2S1-T2,V3S2-T1,V7S1-T1,V5S1-D1,V3S1-T2,V4S2-T1,V5S1-T1,V4S2-P,V3S1-P,V4S2-T3,V1S2-T2,V8S2-P,V1S1-D1,V4S1-T2,V7S1-D3,V6S2-T2,V1S1-D2,V5S1-T2,V7S1-T2,V5S1-D3,V8S1-P,V7S1-D1,V1S1-T2,V5S1-T3,V7S1-D2,V1S2-P,V6S1-T3,V6S1-D3,V8S1-T1,V7S2-T3,V1S1-P,V4S1-D2,V8S1-D3,V7S1-T3,V8S1-T3,V3S2-T3,V4S1-D1,V3S1-D3,V7S2-T2,V1S1-D3,V1S2-T3,V1S1-T1,V8S2-T2,V5S1-P,V5S2-P,V3S2-P,V1S1-T3,V3S1-D2,V2S1-T3,V8S1-T2,V2S2-T1,V7S1-P,V6S1-T1</t>
  </si>
  <si>
    <t>C8_H08-ITS1-1</t>
  </si>
  <si>
    <t>V5S1-D1,V7S1-T1,V3S2-T1,V4S2-T1,V3S1-T2,V5S1-T1,V4S2-T3,V3S1-P,V4S2-P,V2S2-P,V6S2-P,V2S1-P,V5S2-T1,V6S1-D1,V2S2-T2,V2S2-T3,V3S1-T3,V6S1-P,V5S1-D2,V2S1-T2,V8S2-T3,V3S1-T1,V5S2-T2,V8S2-T1,V4S1-T1,V6S1-D2,V4S1-D3,V2S1-D3,V6S2-T1,V2S1-D2,V4S1-T3,V2S1-D1,V8S1-D1,V2S1-T1,V6S1-T2,V4S2-T2,V6S2-T3,V7S2-P,V1S2-T1,V3S2-T2,V7S2-T1,V5S2-T3,V4S1-P,V5S1-P,V8S1-T2,V2S1-T3,V1S1-T3,V3S2-P,V3S1-D2,V5S2-P,V2S2-T1,V6S1-T1,V7S1-P,V8S1-D3,V7S1-T3,V8S1-T3,V4S1-D2,V1S1-D3,V4S1-D1,V3S1-D3,V7S2-T2,V3S2-T3,V8S2-T2,V1S2-T3,V1S1-T1,V1S2-P,V7S1-D2,V6S1-D3,V6S1-T3,V8S1-T1,V1S1-P,V7S2-T3,V8S2-P,V1S2-T2,V7S1-D3,V6S2-T2,V4S1-T2,V1S1-D1,V7S1-D1,V8S1-P,V5S1-D3,V7S1-T2,V5S1-T2,V1S1-D2,V1S1-T2,V5S1-T3</t>
  </si>
  <si>
    <t>C25_H10-ITS1-1</t>
  </si>
  <si>
    <t>V3S1-T2,V7S1-T1,V3S2-T1,V4S2-T3,V5S1-T1,V6S1-D1,V2S2-T2,V6S2-P,V2S1-P,V5S2-T1,V2S2-P,V3S1-T1,V2S1-T2,V8S2-T3,V3S1-T3,V2S2-T3,V6S1-P,V8S1-D2,V2S1-D3,V4S1-T1,V8S2-T1,V5S2-T2,V2S1-D1,V8S1-D1,V4S1-T3,V2S1-D2,V6S1-T2,V2S1-T1,V3S1-D1,V4S1-P,V3S2-T2,V7S2-P,V3S1-D2,V3S2-P,V1S1-T3,V5S2-P,V8S1-T2,V2S1-T3,V5S1-P,V6S1-T1,V7S1-P,V3S2-T3,V1S1-D3,V3S1-D3,V4S1-D1,V4S1-D2,V8S1-T3,V8S1-D3,V7S1-T3,V1S2-T3,V1S1-T1,V8S2-T2,V6S1-T3,V6S1-D3,V7S1-D2,V1S1-P,V8S1-T1,V1S1-D1,V7S1-D3,V4S1-T2,V8S2-P,V1S2-T2,V1S1-T2,V5S1-T3,V5S1-T2,V1S1-D2,V7S1-D1,V7S1-T2</t>
  </si>
  <si>
    <t>D12_A07-ITS1-1</t>
  </si>
  <si>
    <t>V1S1-T1,V1S2-T3,V8S2-T2,V3S2-T3,V7S2-T2,V3S1-D3,V4S1-D1,V1S1-D3,V4S1-D2,V8S1-T3,V8S1-D3,V7S1-T3,V6S1-T1,V7S1-P,V2S2-T1,V5S2-P,V1S1-T3,V3S2-P,V3S1-D2,V8S1-T2,V2S1-T3,V5S1-P,V5S1-T3,V1S1-T2,V1S1-D2,V5S1-T2,V5S1-D3,V7S1-T2,V8S1-P,V7S1-D1,V1S1-D1,V4S1-T2,V6S2-T2,V7S1-D3,V1S2-T2,V8S2-P,V7S2-T3,V1S1-P,V8S1-T1,V6S1-T3,V6S1-D3,V7S1-D2,V1S2-P,V3S1-T1,V8S2-T3,V2S1-T2,V5S1-D2,V6S1-P,V3S1-T3,V2S2-T3,V2S2-T2,V6S1-D1,V5S2-T1,V2S1-P,V6S2-P,V2S2-P,V4S2-P,V3S1-P,V4S2-T3,V5S1-T1,V3S1-T2,V4S2-T1,V7S1-T1,V3S2-T1,V5S1-D1,V4S1-P,V5S2-T3,V7S2-T1,V3S2-T2,V1S2-T1,V6S2-T3,V7S2-P,V4S2-T2,V6S1-T2,V2S1-T1,V8S1-D1,V2S1-D1,V4S1-T3,V2S1-D2,V6S2-T1,V4S1-D3,V2S1-D3,V6S1-D2,V8S2-T1,V4S1-T1,V5S2-T2</t>
  </si>
  <si>
    <t>D5_B06-ITS1-1</t>
  </si>
  <si>
    <t>V5S1-D1,V3S2-T1,V2S2-T3,V3S1-T3,V5S1-D2,V2S1-T2,V3S1-T1,V2S2-T2,V6S1-D1,V2S1-D1,V5S2-T2,V6S1-D2,V8S1-D2,V7S2-P,V6S2-T3,V3S2-T2,V3S1-D1,V4S2-T2,V8S1-T2,V5S2-P,V1S1-T3,V8S1-T3,V8S1-D3,V7S2-T2,V3S2-T3,V8S1-T1,V1S2-P,V7S1-D1,V5S1-T2,V8S2-P,V6S2-T2,V7S1-D3</t>
  </si>
  <si>
    <t>V6S2-P,V2S2-P,V6S2-T3,V6S2-T1,V8S2-T1,V8S1-P,V1S2-P</t>
  </si>
  <si>
    <t>D14_C07-ITS1-1</t>
  </si>
  <si>
    <t>V4S2-T1,V3S1-T2,V7S1-T1,V3S2-T1,V3S1-P,V5S1-T1,V2S1-P,V6S1-D1,V2S1-T2,V3S1-T1,V3S1-T3,V6S1-P,V8S1-D2,V4S1-D3,V2S1-D3,V6S2-T1,V5S2-T2,V2S1-D1,V8S1-D1,V2S1-D2,V4S1-T3,V6S1-T2,V4S2-T2,V3S1-D1,V2S1-T1,V1S2-T1,V3S2-T2,V5S2-T3,V7S2-T1,V6S2-T3,V8S1-T2,V2S1-T3,V1S1-T3,V5S1-P,V6S1-T1,V2S2-T1,V1S1-D3,V4S1-D1,V7S2-T2,V3S2-T3,V7S1-T3,V8S1-D3,V8S1-T3,V1S1-T1,V6S1-D3,V6S1-T3,V1S2-P,V7S1-D2,V1S1-P,V7S2-T3,V8S1-T1,V7S1-D3,V6S2-T2,V4S1-T2,V1S1-T2,V5S1-T3,V7S1-D1,V7S1-T2,V5S1-T2,V1S1-D2</t>
  </si>
  <si>
    <t>D15_D07-ITS1-1</t>
  </si>
  <si>
    <t>V2S2-P,V6S1-D1,V2S2-T2,V2S1-P,V6S2-P,V5S2-T1,V5S1-D2,V2S2-T3,V3S1-T3,V6S1-P,V3S1-T1,V2S1-T2,V8S2-T3,V3S2-T1,V7S1-T1,V5S1-D1,V3S1-T2,V4S2-T1,V5S1-T1,V3S1-P,V4S2-P,V4S2-T3,V2S1-T1,V6S1-T2,V4S2-T2,V6S2-T3,V7S2-P,V5S2-T3,V7S2-T1,V4S1-P,V1S2-T1,V3S2-T2,V8S2-T1,V4S1-T1,V5S2-T2,V6S2-T1,V6S1-D2,V4S1-D3,V2S1-D3,V4S1-T3,V2S1-D2,V2S1-D1,V8S1-D1,V4S1-D2,V7S1-T3,V8S1-D3,V8S1-T3,V3S2-T3,V1S1-D3,V3S1-D3,V4S1-D1,V7S2-T2,V1S2-T3,V1S1-T1,V8S2-T2,V5S1-P,V1S1-T3,V3S2-P,V3S1-D2,V5S2-P,V2S1-T3,V8S1-T2,V2S2-T1,V7S1-P,V6S1-T1,V8S2-P,V1S2-T2,V1S1-D1,V7S1-D3,V6S2-T2,V4S1-T2,V5S1-T2,V1S1-D2,V8S1-P,V7S1-D1,V5S1-D3,V7S1-T2,V5S1-T3,V1S1-T2,V7S1-D2,V1S2-P,V6S1-T3,V6S1-D3,V8S1-T1,V7S2-T3,V1S1-P</t>
  </si>
  <si>
    <t>D8_E06-ITS1-1</t>
  </si>
  <si>
    <t>V4S2-T2,V6S1-T2,V3S1-D1,V2S1-T1,V3S2-T2,V1S2-T1,V4S1-P,V7S2-T1,V5S2-T3,V6S2-T3,V7S2-P,V2S1-D3,V8S1-D2,V6S2-T1,V5S2-T2,V4S1-T1,V8S2-T1,V2S1-D1,V2S1-D2,V4S1-T3,V5S2-T1,V2S1-P,V6S2-P,V2S2-T2,V2S2-P,V8S2-T3,V2S1-T2,V3S1-T1,V6S1-P,V3S1-T3,V2S2-T3,V5S1-D2,V4S2-T1,V3S1-T2,V5S1-D1,V7S1-T1,V3S2-T1,V4S2-T3,V4S2-P,V3S1-P,V5S1-T1,V4S1-T2,V7S1-D3,V6S2-T2,V1S2-T2,V8S2-P,V5S1-T3,V1S1-T2,V5S1-D3,V7S1-T2,V7S1-D1,V8S1-P,V1S1-D2,V5S1-T2,V6S1-D3,V6S1-T3,V1S2-P,V1S1-P,V7S2-T3,V8S1-T1,V4S1-D1,V7S2-T2,V3S2-T3,V7S1-T3,V8S1-T3,V8S1-D3,V4S1-D2,V8S2-T2,V1S2-T3,V1S1-T1,V2S1-T3,V8S1-T2,V5S2-P,V1S1-T3,V3S2-P,V3S1-D2,V5S1-P,V7S1-P,V6S1-T1,V2S2-T1</t>
  </si>
  <si>
    <t>D16_E07-ITS1-1</t>
  </si>
  <si>
    <t>V2S2-P,V6S2-P,V2S1-P,V5S2-T1,V6S1-D1,V2S2-T2,V2S2-T3,V3S1-T3,V6S1-P,V5S1-D2,V2S1-T2,V8S2-T3,V3S1-T1,V5S1-D1,V7S1-T1,V3S2-T1,V4S2-T1,V3S1-T2,V5S1-T1,V4S2-T3,V3S1-P,V4S2-P,V2S1-T1,V6S1-T2,V4S2-T2,V7S2-P,V6S2-T3,V1S2-T1,V3S2-T2,V5S2-T3,V7S2-T1,V4S1-P,V5S2-T2,V8S2-T1,V4S1-T1,V6S1-D2,V2S1-D3,V4S1-D3,V6S2-T1,V2S1-D2,V4S1-T3,V2S1-D1,V8S1-D1,V8S1-D3,V8S1-T3,V7S1-T3,V4S1-D2,V1S1-D3,V3S1-D3,V4S1-D1,V7S2-T2,V3S2-T3,V8S2-T2,V1S2-T3,V1S1-T1,V5S1-P,V2S1-T3,V8S1-T2,V3S2-P,V1S1-T3,V3S1-D2,V5S2-P,V2S2-T1,V6S1-T1,V7S1-P,V8S2-P,V1S2-T2,V7S1-D3,V6S2-T2,V4S1-T2,V1S1-D1,V8S1-P,V7S1-D1,V7S1-T2,V5S1-D3,V5S1-T2,V1S1-D2,V5S1-T3,V1S1-T2,V1S2-P,V7S1-D2,V6S1-D3,V6S1-T3,V8S1-T1,V1S1-P,V7S2-T3</t>
  </si>
  <si>
    <t>D9_F06-ITS1-1</t>
  </si>
  <si>
    <t>V2S1-T3,V8S1-T2,V5S2-P,V1S1-T3,V3S1-D2,V3S2-P,V5S1-P,V6S1-T1,V7S1-P,V2S2-T1,V7S2-T2,V4S1-D1,V3S2-T3,V7S1-T3,V8S1-D3,V8S1-T3,V4S1-D2,V8S2-T2,V1S1-T1,V1S2-T3,V6S1-D3,V6S1-T3,V1S2-P,V1S1-P,V7S2-T3,V8S1-T1,V4S1-T2,V7S1-D3,V6S2-T2,V1S2-T2,V8S2-P,V1S1-T2,V5S1-T3,V5S1-D3,V7S1-T2,V8S1-P,V7S1-D1,V1S1-D2,V5S1-T2,V4S2-T1,V3S1-T2,V5S1-D1,V3S2-T1,V7S1-T1,V4S2-T3,V4S2-P,V3S1-P,V5S1-T1,V5S2-T1,V6S2-P,V2S1-P,V2S2-T2,V2S2-P,V8S2-T3,V2S1-T2,V3S1-T1,V6S1-P,V3S1-T3,V2S2-T3,V5S1-D2,V2S1-D3,V8S1-D2,V6S2-T1,V5S2-T2,V8S2-T1,V4S1-T1,V2S1-D1,V2S1-D2,V4S1-T3,V4S2-T2,V6S1-T2,V3S1-D1,V2S1-T1,V3S2-T2,V1S2-T1,V4S1-P,V7S2-T1,V5S2-T3,V6S2-T3,V7S2-P</t>
  </si>
  <si>
    <t>D17_F07-ITS1-1</t>
  </si>
  <si>
    <t>V4S1-P,V2S1-P</t>
  </si>
  <si>
    <t>D2_G05-ITS1-1</t>
  </si>
  <si>
    <t>V2S1-D2,V4S1-T3,V2S1-D1,V5S2-T2,V4S1-T1,V8S2-T1,V8S1-D2,V2S1-D3,V6S2-T1,V6S2-T3,V7S2-P,V1S2-T1,V3S2-T2,V7S2-T1,V5S2-T3,V4S1-P,V3S1-D1,V2S1-T1,V6S1-T2,V4S2-T2,V5S1-T1,V4S2-T3,V3S1-P,V4S2-P,V5S1-D1,V7S1-T1,V3S2-T1,V4S2-T1,V3S1-T2,V2S2-T3,V3S1-T3,V6S1-P,V5S1-D2,V2S1-T2,V8S2-T3,V3S1-T1,V2S2-P,V2S1-P,V6S2-P,V5S2-T1,V2S2-T2,V8S1-T1,V1S1-P,V7S2-T3,V1S2-P,V6S1-D3,V6S1-T3,V7S1-D1,V8S1-P,V5S1-D3,V7S1-T2,V5S1-T2,V1S1-D2,V5S1-T3,V1S1-T2,V8S2-P,V1S2-T2,V7S1-D3,V6S2-T2,V4S1-T2,V2S2-T1,V6S1-T1,V7S1-P,V5S1-P,V8S1-T2,V2S1-T3,V1S1-T3,V3S2-P,V3S1-D2,V5S2-P,V8S2-T2,V1S2-T3,V1S1-T1,V7S1-T3,V8S1-T3,V8S1-D3,V4S1-D2,V4S1-D1,V7S2-T2,V3S2-T3</t>
  </si>
  <si>
    <t>D10_G06-ITS1-1</t>
  </si>
  <si>
    <t>D18_G07-ITS1-1</t>
  </si>
  <si>
    <t>V1S2-P,V7S2-P,V2S2-P,V8S2-T3</t>
  </si>
  <si>
    <t>D11_H06-ITS1-1</t>
  </si>
  <si>
    <t>V4S2-T1,V3S1-T2,V7S1-T1,V3S2-T1,V3S1-P,V5S1-T1,V2S1-P,V6S1-D1,V2S1-T2,V3S1-T1,V6S1-P,V3S1-T3,V2S1-D3,V4S1-D3,V8S1-D2,V6S2-T1,V5S2-T2,V8S1-D1,V2S1-D1,V2S1-D2,V4S1-T3,V4S2-T2,V6S1-T2,V3S1-D1,V2S1-T1,V3S2-T2,V1S2-T1,V7S2-T1,V5S2-T3,V6S2-T3,V8S1-T2,V2S1-T3,V1S1-T3,V5S1-P,V6S1-T1,V2S2-T1,V4S1-D1,V7S2-T2,V1S1-D3,V3S2-T3,V8S1-D3,V8S1-T3,V7S1-T3,V1S1-T1,V6S1-D3,V6S1-T3,V1S2-P,V7S1-D2,V1S1-P,V7S2-T3,V8S1-T1,V4S1-T2,V7S1-D3,V6S2-T2,V1S1-T2,V5S1-T3,V7S1-T2,V7S1-D1,V1S1-D2,V5S1-T2</t>
  </si>
  <si>
    <t>D19_H07-ITS1-1</t>
  </si>
  <si>
    <t>V7S2-P,V3S2-T2,V4S1-P,V3S1-D1,V2S1-T1,V6S1-T2,V2S1-D2,V4S1-T3,V2S1-D1,V8S1-D1,V5S2-T2,V4S1-T1,V8S2-T1,V8S1-D2,V2S1-D3,V2S2-T3,V3S1-T3,V6S1-P,V2S1-T2,V8S2-T3,V3S1-T1,V2S2-P,V6S2-P,V2S1-P,V5S2-T1,V6S1-D1,V2S2-T2,V5S1-T1,V4S2-T3,V3S2-T1,V7S1-T1,V3S1-T2,V7S1-D1,V7S1-T2,V5S1-T2,V1S1-D2,V5S1-T3,V1S1-T2,V8S2-P,V1S2-T2,V7S1-D3,V4S1-T2,V1S1-D1,V8S1-T1,V1S1-P,V7S1-D2,V6S1-D3,V6S1-T3,V8S2-T2,V1S1-T1,V1S2-T3,V7S1-T3,V8S1-T3,V8S1-D3,V4S1-D2,V1S1-D3,V3S1-D3,V4S1-D1,V3S2-T3,V6S1-T1,V7S1-P,V5S1-P,V2S1-T3,V8S1-T2,V3S2-P,V3S1-D2,V1S1-T3,V5S2-P</t>
  </si>
  <si>
    <t>E7_A12-ITS1-1</t>
  </si>
  <si>
    <t>V1S2-T2,V8S2-P,V4S1-T2,V6S2-T2,V7S1-D3,V1S1-D2,V5S1-T2,V7S1-T2,V5S1-D3,V8S1-P,V7S1-D1,V1S1-T2,V5S1-T3,V1S2-P,V6S1-T3,V6S1-D3,V8S1-T1,V7S2-T3,V1S1-P,V4S1-D2,V8S1-T3,V7S1-T3,V8S1-D3,V3S2-T3,V7S2-T2,V4S1-D1,V1S2-T3,V1S1-T1,V8S2-T2,V5S1-P,V5S2-P,V3S1-D2,V1S1-T3,V3S2-P,V8S1-T2,V2S1-T3,V2S2-T1,V6S1-T1,V7S1-P,V2S1-T1,V3S1-D1,V4S2-T2,V6S1-T2,V7S2-P,V6S2-T3,V4S1-P,V7S2-T1,V5S2-T3,V3S2-T2,V1S2-T1,V4S1-T1,V8S2-T1,V5S2-T2,V6S2-T1,V2S1-D3,V8S1-D2,V4S1-T3,V2S1-D2,V2S1-D1,V2S2-P,V2S2-T2,V5S2-T1,V2S1-P,V6S2-P,V5S1-D2,V6S1-P,V3S1-T3,V2S2-T3,V3S1-T1,V8S2-T3,V2S1-T2,V7S1-T1,V3S2-T1,V5S1-D1,V3S1-T2,V4S2-T1,V5S1-T1,V4S2-P,V3S1-P,V4S2-T3</t>
  </si>
  <si>
    <t>E8_B12-ITS1-1</t>
  </si>
  <si>
    <t>V5S1-P,V3S2-P,V1S1-T3,V3S1-D2,V5S2-P,V2S1-T3,V8S1-T2,V2S2-T1,V6S1-T1,V7S1-P,V4S1-D2,V7S1-T3,V8S1-T3,V8S1-D3,V3S2-T3,V7S2-T2,V4S1-D1,V1S1-T1,V1S2-T3,V8S2-T2,V1S2-P,V6S1-T3,V6S1-D3,V8S1-T1,V7S2-T3,V1S1-P,V8S2-P,V1S2-T2,V6S2-T2,V7S1-D3,V4S1-T2,V5S1-T2,V1S1-D2,V8S1-P,V7S1-D1,V7S1-T2,V5S1-D3,V1S1-T2,V5S1-T3,V7S1-T1,V3S2-T1,V5S1-D1,V3S1-T2,V4S2-T1,V5S1-T1,V3S1-P,V4S2-P,V4S2-T3,V2S2-P,V2S2-T2,V6S2-P,V2S1-P,V5S2-T1,V5S1-D2,V3S1-T3,V2S2-T3,V6S1-P,V3S1-T1,V2S1-T2,V8S2-T3,V8S2-T1,V4S1-T1,V5S2-T2,V6S2-T1,V8S1-D2,V2S1-D3,V4S1-T3,V2S1-D2,V2S1-D1,V2S1-T1,V3S1-D1,V6S1-T2,V4S2-T2,V7S2-P,V6S2-T3,V7S2-T1,V5S2-T3,V4S1-P,V1S2-T1,V3S2-T2</t>
  </si>
  <si>
    <t>E9_C12-ITS1-1</t>
  </si>
  <si>
    <t>V8S1-D2,V2S1-D3,V6S2-T1,V5S2-T2,V4S1-T1,V8S2-T1,V2S1-D1,V2S1-D2,V4S1-T3,V6S1-T2,V4S2-T2,V3S1-D1,V2S1-T1,V1S2-T1,V3S2-T2,V7S2-T1,V5S2-T3,V4S1-P,V6S2-T3,V7S2-P,V4S2-T1,V3S1-T2,V5S1-D1,V3S2-T1,V7S1-T1,V4S2-T3,V3S1-P,V4S2-P,V5S1-T1,V2S1-P,V6S2-P,V5S2-T1,V2S2-T2,V2S2-P,V2S1-T2,V8S2-T3,V3S1-T1,V3S1-T3,V2S2-T3,V6S1-P,V5S1-D2,V6S1-D3,V6S1-T3,V1S2-P,V1S1-P,V7S2-T3,V8S1-T1,V7S1-D3,V6S2-T2,V4S1-T2,V8S2-P,V1S2-T2,V5S1-T3,V1S1-T2,V8S1-P,V7S1-D1,V7S1-T2,V5S1-D3,V5S1-T2,V1S1-D2,V8S1-T2,V2S1-T3,V3S1-D2,V1S1-T3,V3S2-P,V5S2-P,V5S1-P,V7S1-P,V6S1-T1,V2S2-T1,V4S1-D1,V7S2-T2,V3S2-T3,V7S1-T3,V8S1-D3,V8S1-T3,V4S1-D2,V8S2-T2,V1S1-T1,V1S2-T3</t>
  </si>
  <si>
    <t>E2_D11-ITS1-1</t>
  </si>
  <si>
    <t>V1S2-T2,V8S2-P,V4S1-T2,V6S2-T2,V7S1-D3,V1S1-D2,V5S1-T2,V7S1-T2,V5S1-D3,V8S1-P,V7S1-D1,V5S1-T3,V1S1-T2,V1S2-P,V6S1-T3,V6S1-D3,V8S1-T1,V7S2-T3,V1S1-P,V4S1-D2,V8S1-T3,V7S1-T3,V8S1-D3,V3S2-T3,V4S1-D1,V7S2-T2,V1S1-T1,V1S2-T3,V8S2-T2,V5S1-P,V5S2-P,V1S1-T3,V3S1-D2,V3S2-P,V2S1-T3,V8S1-T2,V2S2-T1,V6S1-T1,V7S1-P,V2S1-T1,V3S1-D1,V4S2-T2,V6S1-T2,V6S2-T3,V7S2-P,V4S1-P,V5S2-T3,V7S2-T1,V3S2-T2,V1S2-T1,V4S1-T1,V8S2-T1,V5S2-T2,V6S2-T1,V2S1-D3,V8S1-D2,V4S1-T3,V2S1-D2,V2S1-D1,V2S2-P,V2S2-T2,V5S2-T1,V2S1-P,V6S2-P,V5S1-D2,V6S1-P,V3S1-T3,V2S2-T3,V3S1-T1,V8S2-T3,V2S1-T2,V7S1-T1,V3S2-T1,V5S1-D1,V3S1-T2,V4S2-T1,V5S1-T1,V4S2-P,V3S1-P,V4S2-T3</t>
  </si>
  <si>
    <t>E10_D12-ITS1-1</t>
  </si>
  <si>
    <t>V2S1-T2,V8S2-T3,V3S1-T1,V3S1-T3,V2S2-T3,V6S1-P,V5S1-D2,V2S1-P,V6S2-P,V5S2-T1,V2S2-T2,V2S2-P,V4S2-T3,V3S1-P,V4S2-P,V5S1-T1,V4S2-T1,V3S1-T2,V5S1-D1,V3S2-T1,V7S1-T1,V1S2-T1,V3S2-T2,V5S2-T3,V7S2-T1,V4S1-P,V7S2-P,V6S2-T3,V6S1-T2,V4S2-T2,V3S1-D1,V2S1-T1,V2S1-D1,V2S1-D2,V4S1-T3,V8S1-D2,V2S1-D3,V6S2-T1,V5S2-T2,V4S1-T1,V8S2-T1,V8S2-T2,V1S1-T1,V1S2-T3,V7S2-T2,V4S1-D1,V3S2-T3,V8S1-D3,V7S1-T3,V8S1-T3,V4S1-D2,V6S1-T1,V7S1-P,V2S2-T1,V2S1-T3,V8S1-T2,V1S1-T3,V3S2-P,V3S1-D2,V5S2-P,V5S1-P,V1S1-T2,V5S1-T3,V7S1-D1,V8S1-P,V5S1-D3,V7S1-T2,V5S1-T2,V1S1-D2,V7S1-D3,V6S2-T2,V4S1-T2,V8S2-P,V1S2-T2,V1S1-P,V7S2-T3,V8S1-T1,V6S1-D3,V6S1-T3,V1S2-P</t>
  </si>
  <si>
    <t>E3_E11-ITS1-1</t>
  </si>
  <si>
    <t>V4S1-D2,V8S1-D3,V8S1-T3,V7S1-T3,V3S2-T3,V1S1-D3,V7S2-T2,V3S1-D3,V4S1-D1,V1S1-T1,V1S2-T3,V8S2-T2,V5S1-P,V1S1-T3,V3S1-D2,V3S2-P,V5S2-P,V2S1-T3,V8S1-T2,V2S2-T1,V6S1-T1,V7S1-P,V8S2-P,V1S2-T2,V1S1-D1,V7S1-D3,V6S2-T2,V4S1-T2,V5S1-T2,V1S1-D2,V8S1-P,V7S1-D1,V7S1-T2,V5S1-D3,V1S1-T2,V5S1-T3,V7S1-D2,V1S2-P,V6S1-T3,V6S1-D3,V8S1-T1,V7S2-T3,V1S1-P,V2S2-P,V6S1-D1,V2S2-T2,V2S1-P,V6S2-P,V5S2-T1,V5S1-D2,V3S1-T3,V2S2-T3,V6S1-P,V3S1-T1,V2S1-T2,V8S2-T3,V7S1-T1,V3S2-T1,V5S1-D1,V3S1-T2,V4S2-T1,V5S1-T1,V3S1-P,V4S2-P,V4S2-T3,V2S1-T1,V6S1-T2,V4S2-T2,V6S2-T3,V7S2-P,V5S2-T3,V7S2-T1,V4S1-P,V1S2-T1,V3S2-T2,V8S2-T1,V4S1-T1,V5S2-T2,V6S2-T1,V6S1-D2,V4S1-D3,V2S1-D3,V4S1-T3,V2S1-D2,V2S1-D1,V8S1-D1</t>
  </si>
  <si>
    <t>E4_F11-ITS1-1</t>
  </si>
  <si>
    <t>V4S2-T3,V3S1-P,V4S2-P,V5S1-T1,V4S2-T1,V3S1-T2,V5S1-D1,V7S1-T1,V3S2-T1,V2S1-T2,V8S2-T3,V3S1-T1,V3S1-T3,V2S2-T3,V6S1-P,V5S1-D2,V2S1-P,V6S2-P,V5S2-T1,V2S2-T2,V2S2-P,V2S1-D1,V2S1-D2,V4S1-T3,V8S1-D2,V2S1-D3,V6S2-T1,V5S2-T2,V8S2-T1,V4S1-T1,V1S2-T1,V3S2-T2,V7S2-T1,V5S2-T3,V4S1-P,V7S2-P,V6S2-T3,V6S1-T2,V4S2-T2,V3S1-D1,V2S1-T1,V7S1-P,V6S1-T1,V2S2-T1,V8S1-T2,V2S1-T3,V1S1-T3,V3S2-P,V3S1-D2,V5S2-P,V5S1-P,V8S2-T2,V1S1-T1,V1S2-T3,V4S1-D1,V7S2-T2,V3S2-T3,V8S1-T3,V7S1-T3,V8S1-D3,V4S1-D2,V1S1-P,V7S2-T3,V8S1-T1,V6S1-D3,V6S1-T3,V1S2-P,V5S1-T3,V1S1-T2,V8S1-P,V7S1-D1,V5S1-D3,V7S1-T2,V5S1-T2,V1S1-D2,V7S1-D3,V6S2-T2,V4S1-T2,V8S2-P,V1S2-T2</t>
  </si>
  <si>
    <t>E11_F12-ITS1-1</t>
  </si>
  <si>
    <t>V5S2-T1,V6S2-P,V2S1-P,V2S2-T2,V2S2-P,V8S2-T3,V2S1-T2,V3S1-T1,V6S1-P,V3S1-T3,V2S2-T3,V5S1-D2,V4S2-T1,V3S1-T2,V5S1-D1,V3S2-T1,V7S1-T1,V4S2-T3,V4S2-P,V3S1-P,V5S1-T1,V4S2-T2,V6S1-T2,V3S1-D1,V2S1-T1,V3S2-T2,V1S2-T1,V4S1-P,V5S2-T3,V7S2-T1,V6S2-T3,V7S2-P,V2S1-D3,V8S1-D2,V6S2-T1,V5S2-T2,V8S2-T1,V4S1-T1,V2S1-D1,V2S1-D2,V4S1-T3,V7S2-T2,V4S1-D1,V3S2-T3,V8S1-T3,V7S1-T3,V8S1-D3,V4S1-D2,V8S2-T2,V1S2-T3,V1S1-T1,V2S1-T3,V8S1-T2,V5S2-P,V1S1-T3,V3S2-P,V3S1-D2,V5S1-P,V7S1-P,V6S1-T1,V2S2-T1,V4S1-T2,V7S1-D3,V6S2-T2,V1S2-T2,V8S2-P,V5S1-T3,V1S1-T2,V7S1-T2,V5S1-D3,V7S1-D1,V8S1-P,V1S1-D2,V5S1-T2,V6S1-D3,V6S1-T3,V1S2-P,V1S1-P,V7S2-T3,V8S1-T1</t>
  </si>
  <si>
    <t>E5_G11-ITS1-1</t>
  </si>
  <si>
    <t>V8S2-T3,V2S1-T2,V3S1-T1,V6S1-P,V3S1-T3,V2S2-T3,V5S1-D2,V5S2-T1,V2S1-P,V6S2-P,V2S2-T2,V6S1-D1,V2S2-P,V4S2-T3,V4S2-P,V3S1-P,V5S1-T1,V4S2-T1,V3S1-T2,V5S1-D1,V7S1-T1,V3S2-T1,V3S2-T2,V1S2-T1,V4S1-P,V5S2-T3,V7S2-T1,V7S2-P,V6S2-T3,V4S2-T2,V6S1-T2,V2S1-T1,V8S1-D1,V2S1-D1,V2S1-D2,V4S1-T3,V2S1-D3,V4S1-D3,V6S1-D2,V6S2-T1,V5S2-T2,V8S2-T1,V4S1-T1,V8S2-T2,V1S1-T1,V1S2-T3,V4S1-D1,V3S1-D3,V7S2-T2,V1S1-D3,V3S2-T3,V8S1-T3,V8S1-D3,V7S1-T3,V4S1-D2,V6S1-T1,V7S1-P,V2S2-T1,V8S1-T2,V2S1-T3,V5S2-P,V3S1-D2,V1S1-T3,V3S2-P,V5S1-P,V1S1-T2,V5S1-T3,V7S1-T2,V5S1-D3,V8S1-P,V7S1-D1,V1S1-D2,V5S1-T2,V4S1-T2,V7S1-D3,V6S2-T2,V1S1-D1,V1S2-T2,V8S2-P,V1S1-P,V7S2-T3,V8S1-T1,V6S1-D3,V6S1-T3,V1S2-P,V7S1-D2</t>
  </si>
  <si>
    <t>E12_G12-ITS1-1</t>
  </si>
  <si>
    <t>V4S2-T1,V3S1-T2,V5S1-D1,V3S2-T1,V7S1-T1,V4S2-T3,V4S2-P,V3S1-P,V5S1-T1,V5S2-T1,V2S1-P,V6S2-P,V2S2-T2,V6S1-D1,V2S2-P,V8S2-T3,V2S1-T2,V3S1-T1,V6S1-P,V2S2-T3,V3S1-T3,V5S1-D2,V2S1-D3,V4S1-D3,V6S1-D2,V6S2-T1,V5S2-T2,V4S1-T1,V8S2-T1,V8S1-D1,V2S1-D1,V2S1-D2,V4S1-T3,V4S2-T2,V6S1-T2,V2S1-T1,V3S2-T2,V1S2-T1,V4S1-P,V7S2-T1,V5S2-T3,V6S2-T3,V7S2-P,V8S1-T2,V2S1-T3,V5S2-P,V1S1-T3,V3S1-D2,V3S2-P,V5S1-P,V7S1-P,V6S1-T1,V2S2-T1,V4S1-D1,V3S1-D3,V7S2-T2,V1S1-D3,V3S2-T3,V7S1-T3,V8S1-D3,V8S1-T3,V4S1-D2,V8S2-T2,V1S2-T3,V1S1-T1,V6S1-D3,V6S1-T3,V1S2-P,V7S1-D2,V1S1-P,V7S2-T3,V8S1-T1,V4S1-T2,V6S2-T2,V7S1-D3,V1S1-D1,V1S2-T2,V8S2-P,V5S1-T3,V1S1-T2,V5S1-D3,V7S1-T2,V7S1-D1,V8S1-P,V1S1-D2,V5S1-T2</t>
  </si>
  <si>
    <t>E6_H11-ITS1-1</t>
  </si>
  <si>
    <t>V5S1-D2,V3S1-T3,V2S2-T3,V6S1-P,V3S1-T1,V2S1-T2,V8S2-T3,V2S2-P,V2S2-T2,V2S1-P,V6S2-P,V5S2-T1,V5S1-T1,V3S1-P,V4S2-P,V4S2-T3,V3S2-T1,V7S1-T1,V5S1-D1,V3S1-T2,V4S2-T1,V7S2-P,V6S2-T3,V7S2-T1,V5S2-T3,V4S1-P,V1S2-T1,V3S2-T2,V2S1-T1,V3S1-D1,V6S1-T2,V4S2-T2,V4S1-T3,V2S1-D2,V2S1-D1,V8S2-T1,V4S1-T1,V5S2-T2,V6S2-T1,V8S1-D2,V2S1-D3,V1S2-T3,V1S1-T1,V8S2-T2,V4S1-D2,V7S1-T3,V8S1-D3,V8S1-T3,V3S2-T3,V4S1-D1,V7S2-T2,V2S2-T1,V6S1-T1,V7S1-P,V5S1-P,V1S1-T3,V3S2-P,V3S1-D2,V5S2-P,V2S1-T3,V8S1-T2,V5S1-T2,V1S1-D2,V8S1-P,V7S1-D1,V7S1-T2,V5S1-D3,V5S1-T3,V1S1-T2,V8S2-P,V1S2-T2,V7S1-D3,V6S2-T2,V4S1-T2,V8S1-T1,V7S2-T3,V1S1-P,V1S2-P,V6S1-T3,V6S1-D3</t>
  </si>
  <si>
    <t>E13_H12-ITS1-1</t>
  </si>
  <si>
    <t>V8S1-T1,V8S1-T2,V1S1-T1,V8S1-D3,V8S1-T3,V8S1-D1,V3S2-T2,V3S1-T2,V3S1-T3,V3S1-T1,V6S1-D1</t>
  </si>
  <si>
    <t>E14_A11-ITS1-3</t>
  </si>
  <si>
    <t>V5S2-T1,V2S1-P,V6S2-P,V2S2-T2,V2S2-P,V8S2-T3,V2S1-T2,V3S1-T1,V6S1-P,V3S1-T3,V2S2-T3,V5S1-D2,V4S2-T1,V3S1-T2,V5S1-D1,V7S1-T1,V3S2-T1,V4S2-T3,V4S2-P,V3S1-P,V5S1-T1,V4S2-T2,V6S1-T2,V3S1-D1,V2S1-T1,V3S2-T2,V1S2-T1,V4S1-P,V5S2-T3,V7S2-T1,V6S2-T3,V7S2-P,V2S1-D3,V8S1-D2,V6S2-T1,V5S2-T2,V4S1-T1,V8S2-T1,V2S1-D1,V2S1-D2,V4S1-T3,V4S1-D1,V7S2-T2,V3S2-T3,V8S1-T3,V7S1-T3,V8S1-D3,V4S1-D2,V8S2-T2,V1S1-T1,V1S2-T3,V8S1-T2,V2S1-T3,V5S2-P,V1S1-T3,V3S1-D2,V3S2-P,V5S1-P,V7S1-P,V6S1-T1,V2S2-T1,V4S1-T2,V6S2-T2,V7S1-D3,V1S2-T2,V8S2-P,V1S1-T2,V5S1-T3,V5S1-D3,V7S1-T2,V8S1-P,V7S1-D1,V1S1-D2,V5S1-T2,V6S1-D3,V6S1-T3,V1S2-P,V1S1-P,V7S2-T3,V8S1-T1</t>
  </si>
  <si>
    <t>E16_C11-ITS1-3</t>
  </si>
  <si>
    <t>V3S1-T3,V3S1-T1,V6S1-D1,V3S1-T2,V3S2-T2,V8S1-D1,V1S1-T1,V8S1-D3,V8S1-T3,V8S1-T2,V8S1-T1</t>
  </si>
  <si>
    <t>F12_C06-ITS1-2</t>
  </si>
  <si>
    <t>V6S1-T1,V7S1-P,V2S2-T1,V8S1-T2,V2S1-T3,V5S2-P,V3S1-D2,V1S1-T3,V3S2-P,V5S1-P,V8S2-T2,V1S2-T3,V1S1-T1,V7S2-T2,V3S1-D3,V4S1-D1,V1S1-D3,V3S2-T3,V8S1-T3,V8S1-D3,V7S1-T3,V4S1-D2,V1S1-P,V7S2-T3,V8S1-T1,V6S1-D3,V6S1-T3,V1S2-P,V7S1-D2,V1S1-T2,V5S1-T3,V7S1-T2,V5S1-D3,V7S1-D1,V8S1-P,V1S1-D2,V5S1-T2,V4S1-T2,V7S1-D3,V6S2-T2,V1S1-D1,V1S2-T2,V8S2-P,V4S2-T3,V4S2-P,V3S1-P,V5S1-T1,V4S2-T1,V3S1-T2,V5S1-D1,V3S2-T1,V7S1-T1,V8S2-T3,V2S1-T2,V3S1-T1,V6S1-P,V2S2-T3,V3S1-T3,V5S1-D2,V5S2-T1,V6S2-P,V2S1-P,V2S2-T2,V6S1-D1,V2S2-P,V8S1-D1,V2S1-D1,V2S1-D2,V4S1-T3,V2S1-D3,V4S1-D3,V6S1-D2,V6S2-T1,V5S2-T2,V8S2-T1,V4S1-T1,V3S2-T2,V1S2-T1,V4S1-P,V7S2-T1,V5S2-T3,V7S2-P,V6S2-T3,V4S2-T2,V6S1-T2,V2S1-T1</t>
  </si>
  <si>
    <t>F13_D06-ITS1-2</t>
  </si>
  <si>
    <t>V2S1-D3,V8S1-D2,V6S2-T1,V5S2-T2,V4S1-T1,V8S2-T1,V2S1-D1,V2S1-D2,V4S1-T3,V4S2-T2,V6S1-T2,V3S1-D1,V2S1-T1,V3S2-T2,V1S2-T1,V4S1-P,V5S2-T3,V7S2-T1,V6S2-T3,V7S2-P,V4S2-T1,V3S1-T2,V5S1-D1,V7S1-T1,V3S2-T1,V4S2-T3,V4S2-P,V3S1-P,V5S1-T1,V5S2-T1,V6S2-P,V2S1-P,V2S2-T2,V2S2-P,V8S2-T3,V2S1-T2,V3S1-T1,V6S1-P,V3S1-T3,V2S2-T3,V5S1-D2,V6S1-D3,V6S1-T3,V1S2-P,V1S1-P,V7S2-T3,V8S1-T1,V4S1-T2,V7S1-D3,V6S2-T2,V1S2-T2,V8S2-P,V1S1-T2,V5S1-T3,V5S1-D3,V7S1-T2,V8S1-P,V7S1-D1,V1S1-D2,V5S1-T2,V2S1-T3,V8S1-T2,V5S2-P,V1S1-T3,V3S2-P,V3S1-D2,V5S1-P,V6S1-T1,V7S1-P,V2S2-T1,V7S2-T2,V4S1-D1,V3S2-T3,V7S1-T3,V8S1-D3,V8S1-T3,V4S1-D2,V8S2-T2,V1S1-T1,V1S2-T3</t>
  </si>
  <si>
    <t>F14_E06-ITS1-2</t>
  </si>
  <si>
    <t>V1S1-T1,V1S2-T3,V8S2-T2,V3S2-T3,V4S1-D1,V7S2-T2,V4S1-D2,V7S1-T3,V8S1-D3,V8S1-T3,V7S1-P,V6S1-T1,V2S2-T1,V3S2-P,V1S1-T3,V3S1-D2,V5S2-P,V8S1-T2,V2S1-T3,V5S1-P,V5S1-T3,V1S1-T2,V5S1-T2,V1S1-D2,V7S1-D1,V8S1-P,V7S1-T2,V5S1-D3,V6S2-T2,V7S1-D3,V4S1-T2,V8S2-P,V1S2-T2,V7S2-T3,V1S1-P,V8S1-T1,V6S1-T3,V6S1-D3,V1S2-P,V3S1-T1,V2S1-T2,V8S2-T3,V5S1-D2,V2S2-T3,V3S1-T3,V6S1-P,V2S2-T2,V6S2-P,V2S1-P,V5S2-T1,V2S2-P,V3S1-P,V4S2-P,V4S2-T3,V5S1-T1,V3S1-T2,V4S2-T1,V7S1-T1,V3S2-T1,V5S1-D1,V5S2-T3,V7S2-T1,V4S1-P,V1S2-T1,V3S2-T2,V6S2-T3,V7S2-P,V6S1-T2,V4S2-T2,V2S1-T1,V3S1-D1,V2S1-D1,V4S1-T3,V2S1-D2,V6S2-T1,V8S1-D2,V2S1-D3,V4S1-T1,V8S2-T1,V5S2-T2</t>
  </si>
  <si>
    <t>F15_F06-ITS1-2</t>
  </si>
  <si>
    <t>V6S1-T1,V7S1-P,V2S2-T1,V5S2-P,V3S1-D2,V1S1-T3,V3S2-P,V2S1-T3,V8S1-T2,V5S1-P,V1S1-T1,V1S2-T3,V8S2-T2,V3S2-T3,V7S2-T2,V3S1-D3,V4S1-D1,V1S1-D3,V4S1-D2,V8S1-D3,V8S1-T3,V7S1-T3,V7S2-T3,V1S1-P,V8S1-T1,V6S1-T3,V6S1-D3,V7S1-D2,V1S2-P,V5S1-T3,V1S1-T2,V1S1-D2,V5S1-T2,V5S1-D3,V7S1-T2,V7S1-D1,V8S1-P,V1S1-D1,V4S1-T2,V6S2-T2,V7S1-D3,V1S2-T2,V8S2-P,V4S2-P,V3S1-P,V4S2-T3,V5S1-T1,V3S1-T2,V4S2-T1,V7S1-T1,V3S2-T1,V5S1-D1,V3S1-T1,V8S2-T3,V2S1-T2,V5S1-D2,V6S1-P,V2S2-T3,V3S1-T3,V2S2-T2,V6S1-D1,V5S2-T1,V6S2-P,V2S1-P,V2S2-P,V8S1-D1,V2S1-D1,V4S1-T3,V2S1-D2,V6S2-T1,V4S1-D3,V2S1-D3,V6S1-D2,V8S2-T1,V4S1-T1,V5S2-T2,V4S1-P,V5S2-T3,V7S2-T1,V3S2-T2,V1S2-T1,V7S2-P,V6S2-T3,V4S2-T2,V6S1-T2,V2S1-T1</t>
  </si>
  <si>
    <t>F3_B12-ITS1-3</t>
  </si>
  <si>
    <t>V4S2-T1,V3S1-T2,V5S1-D1,V3S2-T1,V7S1-T1,V4S2-T3,V3S1-P,V4S2-P,V5S1-T1,V6S2-P,V2S1-P,V5S2-T1,V2S2-T2,V2S2-P,V2S1-T2,V8S2-T3,V3S1-T1,V3S1-T3,V2S2-T3,V6S1-P,V5S1-D2,V8S1-D2,V2S1-D3,V6S2-T1,V5S2-T2,V8S2-T1,V4S1-T1,V2S1-D1,V2S1-D2,V4S1-T3,V6S1-T2,V4S2-T2,V3S1-D1,V2S1-T1,V1S2-T1,V3S2-T2,V5S2-T3,V7S2-T1,V4S1-P,V7S2-P,V6S2-T3,V2S1-T3,V8S1-T2,V1S1-T3,V3S2-P,V3S1-D2,V5S2-P,V5S1-P,V6S1-T1,V7S1-P,V2S2-T1,V7S2-T2,V4S1-D1,V3S2-T3,V7S1-T3,V8S1-T3,V8S1-D3,V4S1-D2,V8S2-T2,V1S1-T1,V1S2-T3,V6S1-D3,V6S1-T3,V1S2-P,V1S1-P,V7S2-T3,V8S1-T1,V6S2-T2,V7S1-D3,V4S1-T2,V8S2-P,V1S2-T2,V1S1-T2,V5S1-T3,V8S1-P,V7S1-D1,V5S1-D3,V7S1-T2,V5S1-T2,V1S1-D2</t>
  </si>
  <si>
    <t>F6_E12-ITS1-3</t>
  </si>
  <si>
    <t>V5S1-T3,V1S1-T2,V1S1-D2,V5S1-T2,V7S1-T2,V5S1-D3,V8S1-P,V7S1-D1,V1S1-D1,V4S1-T2,V6S2-T2,V7S1-D3,V1S2-T2,V8S2-P,V7S2-T3,V1S1-P,V8S1-T1,V6S1-T3,V6S1-D3,V7S1-D2,V1S2-P,V1S2-T3,V1S1-T1,V8S2-T2,V3S2-T3,V3S1-D3,V7S2-T2,V4S1-D1,V1S1-D3,V4S1-D2,V7S1-T3,V8S1-D3,V8S1-T3,V6S1-T1,V7S1-P,V2S2-T1,V5S2-P,V1S1-T3,V3S2-P,V3S1-D2,V8S1-T2,V2S1-T3,V5S1-P,V4S1-P,V7S2-T1,V5S2-T3,V3S2-T2,V1S2-T1,V6S2-T3,V7S2-P,V4S2-T2,V6S1-T2,V2S1-T1,V8S1-D1,V2S1-D1,V4S1-T3,V2S1-D2,V6S2-T1,V4S1-D3,V2S1-D3,V6S1-D2,V8S2-T1,V4S1-T1,V5S2-T2,V3S1-T1,V8S2-T3,V2S1-T2,V5S1-D2,V6S1-P,V3S1-T3,V2S2-T3,V2S2-T2,V6S1-D1,V5S2-T1,V6S2-P,V2S1-P,V2S2-P,V4S2-P,V3S1-P,V4S2-T3,V5S1-T1,V3S1-T2,V4S2-T1,V3S2-T1,V7S1-T1,V5S1-D1</t>
  </si>
  <si>
    <t>F7_F12-ITS1-3</t>
  </si>
  <si>
    <t>V8S1-T1,V1S1-P,V7S2-T3,V1S2-P,V6S1-D3,V6S1-T3,V7S1-T2,V5S1-D3,V7S1-D1,V8S1-P,V1S1-D2,V5S1-T2,V1S1-T2,V5S1-T3,V1S2-T2,V8S2-P,V4S1-T2,V6S2-T2,V7S1-D3,V2S2-T1,V7S1-P,V6S1-T1,V5S1-P,V8S1-T2,V2S1-T3,V5S2-P,V3S2-P,V1S1-T3,V3S1-D2,V8S2-T2,V1S2-T3,V1S1-T1,V8S1-T3,V7S1-T3,V8S1-D3,V4S1-D2,V7S2-T2,V4S1-D1,V3S2-T3,V2S1-D2,V4S1-T3,V2S1-D1,V5S2-T2,V8S2-T1,V4S1-T1,V2S1-D3,V8S1-D2,V6S2-T1,V6S2-T3,V7S2-P,V3S2-T2,V1S2-T1,V4S1-P,V7S2-T1,V5S2-T3,V3S1-D1,V2S1-T1,V4S2-T2,V6S1-T2,V5S1-T1,V4S2-T3,V4S2-P,V3S1-P,V5S1-D1,V7S1-T1,V3S2-T1,V4S2-T1,V3S1-T2,V6S1-P,V2S2-T3,V3S1-T3,V5S1-D2,V8S2-T3,V2S1-T2,V3S1-T1,V2S2-P,V5S2-T1,V6S2-P,V2S1-P,V2S2-T2</t>
  </si>
  <si>
    <t>G11_C07-ITS1-3</t>
  </si>
  <si>
    <t>V5S1-T1,V4S2-T3,V3S1-P,V4S2-P,V5S1-D1,V3S2-T1,V7S1-T1,V4S2-T1,V3S1-T2,V2S2-T3,V3S1-T3,V6S1-P,V5S1-D2,V2S1-T2,V8S2-T3,V3S1-T1,V2S2-P,V6S2-P,V2S1-P,V5S2-T1,V2S2-T2,V2S1-D2,V4S1-T3,V2S1-D1,V5S2-T2,V4S1-T1,V8S2-T1,V8S1-D2,V2S1-D3,V6S2-T1,V6S2-T3,V7S2-P,V1S2-T1,V3S2-T2,V7S2-T1,V5S2-T3,V4S1-P,V3S1-D1,V2S1-T1,V6S1-T2,V4S2-T2,V2S2-T1,V7S1-P,V6S1-T1,V5S1-P,V2S1-T3,V8S1-T2,V3S1-D2,V1S1-T3,V3S2-P,V5S2-P,V8S2-T2,V1S2-T3,V1S1-T1,V8S1-D3,V7S1-T3,V8S1-T3,V4S1-D2,V4S1-D1,V7S2-T2,V3S2-T3,V8S1-T1,V1S1-P,V7S2-T3,V1S2-P,V6S1-D3,V6S1-T3,V8S1-P,V7S1-D1,V5S1-D3,V7S1-T2,V5S1-T2,V1S1-D2,V1S1-T2,V5S1-T3,V8S2-P,V1S2-T2,V6S2-T2,V7S1-D3,V4S1-T2</t>
  </si>
  <si>
    <t>G4_D06-ITS1-3</t>
  </si>
  <si>
    <t>V7S1-D2,V1S2-P,V6S1-T3,V6S1-D3,V8S1-T1,V7S2-T3,V1S1-P,V1S2-T2,V8S2-P,V1S1-D1,V4S1-T2,V7S1-D3,V6S2-T2,V1S1-D2,V5S1-T2,V5S1-D3,V7S1-T2,V8S1-P,V7S1-D1,V1S1-T2,V5S1-T3,V5S1-P,V5S2-P,V3S1-D2,V1S1-T3,V3S2-P,V2S1-T3,V8S1-T2,V2S2-T1,V7S1-P,V6S1-T1,V4S1-D2,V8S1-D3,V8S1-T3,V7S1-T3,V3S2-T3,V4S1-D1,V3S1-D3,V7S2-T2,V1S1-D3,V1S2-T3,V1S1-T1,V8S2-T2,V4S1-T1,V8S2-T1,V5S2-T2,V6S2-T1,V4S1-D3,V2S1-D3,V6S1-D2,V4S1-T3,V2S1-D2,V8S1-D1,V2S1-D1,V2S1-T1,V4S2-T2,V6S1-T2,V7S2-P,V6S2-T3,V4S1-P,V5S2-T3,V7S2-T1,V3S2-T2,V1S2-T1,V7S1-T1,V3S2-T1,V5S1-D1,V3S1-T2,V4S2-T1,V5S1-T1,V4S2-P,V3S1-P,V4S2-T3,V2S2-P,V2S2-T2,V6S1-D1,V5S2-T1,V6S2-P,V2S1-P,V5S1-D2,V6S1-P,V3S1-T3,V2S2-T3,V3S1-T1,V8S2-T3,V2S1-T2</t>
  </si>
  <si>
    <t>G5_E06-ITS1-3</t>
  </si>
  <si>
    <t>V8S1-T1,V7S2-T3,V1S1-P,V7S1-D2,V1S2-P,V6S1-T3,V6S1-D3,V1S1-D2,V5S1-T2,V7S1-T2,V5S1-D3,V8S1-P,V7S1-D1,V5S1-T3,V1S1-T2,V1S2-T2,V8S2-P,V1S1-D1,V4S1-T2,V6S2-T2,V7S1-D3,V2S2-T1,V7S1-P,V6S1-T1,V5S1-P,V5S2-P,V1S1-T3,V3S1-D2,V3S2-P,V2S1-T3,V8S1-T2,V1S1-T1,V1S2-T3,V8S2-T2,V4S1-D2,V8S1-D3,V7S1-T3,V8S1-T3,V3S2-T3,V3S1-D3,V7S2-T2,V4S1-D1,V1S1-D3,V4S1-T3,V2S1-D2,V8S1-D1,V2S1-D1,V4S1-T1,V8S2-T1,V5S2-T2,V6S2-T1,V2S1-D3,V4S1-D3,V6S1-D2,V7S2-P,V6S2-T3,V4S1-P,V5S2-T3,V7S2-T1,V3S2-T2,V1S2-T1,V2S1-T1,V4S2-T2,V6S1-T2,V5S1-T1,V4S2-P,V3S1-P,V4S2-T3,V3S2-T1,V7S1-T1,V5S1-D1,V3S1-T2,V4S2-T1,V5S1-D2,V6S1-P,V3S1-T3,V2S2-T3,V3S1-T1,V8S2-T3,V2S1-T2,V2S2-P,V2S2-T2,V6S1-D1,V5S2-T1,V2S1-P,V6S2-P</t>
  </si>
  <si>
    <t>V8S1-T1,V5S1-T3,V1S1-T2,V5S1-T2,V4S1-T2,V6S2-T2,V7S1-D3,V1S2-T2,V6S1-T1,V2S2-T1,V1S1-T3,V2S1-T3,V8S1-T2,V1S2-T3,V1S1-T1,V8S2-T2,V3S2-T3,V7S2-T2,V8S1-T3,V7S1-T3,V4S1-T3,V6S2-T1,V4S1-T1,V8S2-T1,V5S2-T2,V3S2-T2,V1S2-T1,V4S2-T2,V6S1-T2,V5S1-T1,V3S1-T2,V3S2-T1,V7S1-T1,V3S1-T1,V8S2-T3,V2S1-T2,V3S1-T3,V2S2-T3,V2S2-T2,V5S2-T1</t>
  </si>
  <si>
    <t>H7_D09-ITS1-3</t>
  </si>
  <si>
    <t>V4S1-T3,V2S1-D2,V2S1-D1,V8S2-T1,V4S1-T1,V5S2-T2,V6S2-T1,V2S1-D3,V8S1-D2,V7S2-P,V6S2-T3,V4S1-P,V5S2-T3,V7S2-T1,V3S2-T2,V1S2-T1,V2S1-T1,V3S1-D1,V4S2-T2,V6S1-T2,V5S1-T1,V4S2-P,V3S1-P,V4S2-T3,V7S1-T1,V3S2-T1,V5S1-D1,V3S1-T2,V4S2-T1,V5S1-D2,V6S1-P,V3S1-T3,V2S2-T3,V3S1-T1,V8S2-T3,V2S1-T2,V2S2-P,V2S2-T2,V5S2-T1,V6S2-P,V2S1-P,V8S1-T1,V7S2-T3,V1S1-P,V1S2-P,V6S1-T3,V6S1-D3,V1S1-D2,V5S1-T2,V7S1-T2,V5S1-D3,V7S1-D1,V8S1-P,V1S1-T2,V5S1-T3,V1S2-T2,V8S2-P,V4S1-T2,V7S1-D3,V6S2-T2,V2S2-T1,V6S1-T1,V7S1-P,V5S1-P,V5S2-P,V1S1-T3,V3S1-D2,V3S2-P,V8S1-T2,V2S1-T3,V1S2-T3,V1S1-T1,V8S2-T2,V4S1-D2,V7S1-T3,V8S1-T3,V8S1-D3,V3S2-T3,V7S2-T2,V4S1-D1</t>
  </si>
  <si>
    <t>H16_E10-ITS1-3</t>
  </si>
  <si>
    <t>V8S1-T2,V2S1-T3,V3S2-P,V1S1-T3,V3S1-D2,V5S2-P,V5S1-P,V6S1-T1,V7S1-P,V2S2-T1,V1S1-D3,V4S1-D1,V3S1-D3,V7S2-T2,V3S2-T3,V8S1-T3,V8S1-D3,V7S1-T3,V4S1-D2,V8S2-T2,V1S1-T1,V1S2-T3,V6S1-D3,V6S1-T3,V1S2-P,V7S1-D2,V1S1-P,V7S2-T3,V8S1-T1,V6S2-T2,V7S1-D3,V4S1-T2,V1S1-D1,V8S2-P,V1S2-T2,V5S1-T3,V1S1-T2,V7S1-D1,V8S1-P,V5S1-D3,V7S1-T2,V5S1-T2,V1S1-D2,V4S2-T1,V3S1-T2,V5S1-D1,V3S2-T1,V7S1-T1,V4S2-T3,V3S1-P,V4S2-P,V5S1-T1,V2S1-P,V6S2-P,V5S2-T1,V6S1-D1,V2S2-T2,V2S2-P,V2S1-T2,V8S2-T3,V3S1-T1,V2S2-T3,V3S1-T3,V6S1-P,V5S1-D2,V6S1-D2,V2S1-D3,V4S1-D3,V6S2-T1,V5S2-T2,V4S1-T1,V8S2-T1,V2S1-D1,V8S1-D1,V2S1-D2,V4S1-T3,V6S1-T2,V4S2-T2,V2S1-T1,V1S2-T1,V3S2-T2,V5S2-T3,V7S2-T1,V4S1-P,V6S2-T3,V7S2-P</t>
  </si>
  <si>
    <t>H9_F09-ITS1-3</t>
  </si>
  <si>
    <t>V2S1-D1,V8S1-D1,V2S1-D2,V4S1-T3,V6S1-D2,V2S1-D3,V4S1-D3,V6S2-T1,V5S2-T2,V8S2-T1,V4S1-T1,V1S2-T1,V3S2-T2,V5S2-T3,V7S2-T1,V4S1-P,V6S2-T3,V7S2-P,V6S1-T2,V4S2-T2,V2S1-T1,V4S2-T3,V3S1-P,V4S2-P,V5S1-T1,V4S2-T1,V3S1-T2,V5S1-D1,V7S1-T1,V3S2-T1,V2S1-T2,V8S2-T3,V3S1-T1,V2S2-T3,V3S1-T3,V6S1-P,V5S1-D2,V6S2-P,V2S1-P,V5S2-T1,V6S1-D1,V2S2-T2,V2S2-P,V1S1-P,V7S2-T3,V8S1-T1,V6S1-D3,V6S1-T3,V1S2-P,V7S1-D2,V5S1-T3,V1S1-T2,V8S1-P,V7S1-D1,V7S1-T2,V5S1-D3,V5S1-T2,V1S1-D2,V7S1-D3,V6S2-T2,V4S1-T2,V1S1-D1,V8S2-P,V1S2-T2,V7S1-P,V6S1-T1,V2S2-T1,V8S1-T2,V2S1-T3,V1S1-T3,V3S2-P,V3S1-D2,V5S2-P,V5S1-P,V8S2-T2,V1S2-T3,V1S1-T1,V1S1-D3,V7S2-T2,V3S1-D3,V4S1-D1,V3S2-T3,V8S1-T3,V8S1-D3,V7S1-T3,V4S1-D2</t>
  </si>
  <si>
    <t>H19_H10-ITS1-3</t>
  </si>
  <si>
    <t>V2S2-T1,V7S1-P,V6S1-T1,V5S1-P,V5S2-P,V1S1-T3,V3S2-P,V3S1-D2,V8S1-T2,V2S1-T3,V1S2-T3,V1S1-T1,V8S2-T2,V4S1-D2,V8S1-D3,V7S1-T3,V8S1-T3,V3S2-T3,V7S2-T2,V4S1-D1,V8S1-T1,V7S2-T3,V1S1-P,V1S2-P,V6S1-T3,V6S1-D3,V1S1-D2,V5S1-T2,V7S1-T2,V5S1-D3,V7S1-D1,V8S1-P,V1S1-T2,V5S1-T3,V1S2-T2,V8S2-P,V4S1-T2,V6S2-T2,V7S1-D3,V5S1-T1,V4S2-P,V3S1-P,V4S2-T3,V7S1-T1,V3S2-T1,V5S1-D1,V3S1-T2,V4S2-T1,V5S1-D2,V6S1-P,V3S1-T3,V2S2-T3,V3S1-T1,V8S2-T3,V2S1-T2,V2S2-P,V2S2-T2,V5S2-T1,V2S1-P,V6S2-P,V4S1-T3,V2S1-D2,V2S1-D1,V8S2-T1,V4S1-T1,V5S2-T2,V6S2-T1,V2S1-D3,V8S1-D2,V6S2-T3,V7S2-P,V4S1-P,V7S2-T1,V5S2-T3,V3S2-T2,V1S2-T1,V2S1-T1,V3S1-D1,V4S2-T2,V6S1-T2</t>
  </si>
  <si>
    <t>I17_A03-ITS1-3</t>
  </si>
  <si>
    <t>V2S2-T1,V6S1-T1,V7S1-P,V5S1-P,V1S1-T3,V3S2-P,V3S1-D2,V5S2-P,V8S1-T2,V2S1-T3,V1S1-T1,V1S2-T3,V8S2-T2,V4S1-D2,V8S1-T3,V8S1-D3,V7S1-T3,V3S2-T3,V1S1-D3,V3S1-D3,V4S1-D1,V7S2-T2,V8S1-T1,V7S2-T3,V1S1-P,V7S1-D2,V1S2-P,V6S1-T3,V6S1-D3,V5S1-T2,V1S1-D2,V7S1-D1,V8S1-P,V5S1-D3,V7S1-T2,V5S1-T3,V1S1-T2,V8S2-P,V1S2-T2,V1S1-D1,V6S2-T2,V7S1-D3,V4S1-T2,V5S1-T1,V3S1-P,V4S2-P,V4S2-T3,V3S2-T1,V7S1-T1,V5S1-D1,V3S1-T2,V4S2-T1,V5S1-D2,V2S2-T3,V3S1-T3,V6S1-P,V3S1-T1,V2S1-T2,V8S2-T3,V2S2-P,V6S1-D1,V2S2-T2,V2S1-P,V6S2-P,V5S2-T1,V4S1-T3,V2S1-D2,V2S1-D1,V8S1-D1,V8S2-T1,V4S1-T1,V5S2-T2,V6S2-T1,V6S1-D2,V4S1-D3,V2S1-D3,V6S2-T3,V7S2-P,V5S2-T3,V7S2-T1,V4S1-P,V1S2-T1,V3S2-T2,V2S1-T1,V6S1-T2,V4S2-T2</t>
  </si>
  <si>
    <t>I10_B02-ITS1-3</t>
  </si>
  <si>
    <t>V8S2-T1,V4S1-T1,V5S2-T2,V6S2-T1,V4S1-D3,V2S1-D3,V6S1-D2,V4S1-T3,V2S1-D2,V8S1-D1,V2S1-D1,V2S1-T1,V4S2-T2,V6S1-T2,V6S2-T3,V7S2-P,V4S1-P,V5S2-T3,V7S2-T1,V3S2-T2,V1S2-T1,V7S1-T1,V3S2-T1,V5S1-D1,V3S1-T2,V4S2-T1,V5S1-T1,V4S2-P,V3S1-P,V4S2-T3,V2S2-P,V2S2-T2,V6S1-D1,V5S2-T1,V6S2-P,V2S1-P,V5S1-D2,V6S1-P,V3S1-T3,V2S2-T3,V3S1-T1,V8S2-T3,V2S1-T2,V7S1-D2,V1S2-P,V6S1-T3,V6S1-D3,V8S1-T1,V7S2-T3,V1S1-P,V1S2-T2,V8S2-P,V1S1-D1,V4S1-T2,V7S1-D3,V6S2-T2,V1S1-D2,V5S1-T2,V7S1-T2,V5S1-D3,V8S1-P,V7S1-D1,V1S1-T2,V5S1-T3,V5S1-P,V5S2-P,V3S2-P,V1S1-T3,V3S1-D2,V2S1-T3,V8S1-T2,V2S2-T1,V6S1-T1,V7S1-P,V4S1-D2,V8S1-D3,V8S1-T3,V7S1-T3,V3S2-T3,V4S1-D1,V3S1-D3,V7S2-T2,V1S1-D3,V1S1-T1,V1S2-T3,V8S2-T2</t>
  </si>
  <si>
    <t>I18_B03-ITS1-3</t>
  </si>
  <si>
    <t>V8S1-T2,V2S1-T3,V1S1-T3,V3S2-P,V3S1-D2,V5S2-P,V5S1-P,V7S1-P,V6S1-T1,V2S2-T1,V4S1-D1,V7S2-T2,V3S2-T3,V7S1-T3,V8S1-D3,V8S1-T3,V4S1-D2,V8S2-T2,V1S2-T3,V1S1-T1,V6S1-D3,V6S1-T3,V1S2-P,V1S1-P,V7S2-T3,V8S1-T1,V6S2-T2,V7S1-D3,V4S1-T2,V8S2-P,V1S2-T2,V1S1-T2,V5S1-T3,V8S1-P,V7S1-D1,V5S1-D3,V7S1-T2,V5S1-T2,V1S1-D2,V4S2-T1,V3S1-T2,V5S1-D1,V3S2-T1,V7S1-T1,V4S2-T3,V3S1-P,V4S2-P,V5S1-T1,V2S1-P,V6S2-P,V5S2-T1,V2S2-T2,V2S2-P,V2S1-T2,V8S2-T3,V3S1-T1,V3S1-T3,V2S2-T3,V6S1-P,V5S1-D2,V8S1-D2,V2S1-D3,V6S2-T1,V5S2-T2,V4S1-T1,V8S2-T1,V2S1-D1,V2S1-D2,V4S1-T3,V6S1-T2,V4S2-T2,V3S1-D1,V2S1-T1,V1S2-T1,V3S2-T2,V5S2-T3,V7S2-T1,V4S1-P,V6S2-T3,V7S2-P</t>
  </si>
  <si>
    <t>I3_C01-ITS1-3</t>
  </si>
  <si>
    <t>V2S2-P,V6S2-P,V2S1-P,V5S2-T1,V2S2-T2,V2S2-T3,V3S1-T3,V6S1-P,V5S1-D2,V2S1-T2,V8S2-T3,V3S1-T1,V5S1-D1,V3S2-T1,V7S1-T1,V4S2-T1,V3S1-T2,V5S1-T1,V4S2-T3,V3S1-P,V4S2-P,V3S1-D1,V2S1-T1,V6S1-T2,V4S2-T2,V6S2-T3,V7S2-P,V1S2-T1,V3S2-T2,V7S2-T1,V5S2-T3,V4S1-P,V5S2-T2,V8S2-T1,V4S1-T1,V8S1-D2,V2S1-D3,V6S2-T1,V2S1-D2,V4S1-T3,V2S1-D1,V7S1-T3,V8S1-T3,V8S1-D3,V4S1-D2,V7S2-T2,V4S1-D1,V3S2-T3,V8S2-T2,V1S2-T3,V1S1-T1,V5S1-P,V2S1-T3,V8S1-T2,V3S2-P,V1S1-T3,V3S1-D2,V5S2-P,V2S2-T1,V6S1-T1,V7S1-P,V8S2-P,V1S2-T2,V6S2-T2,V7S1-D3,V4S1-T2,V7S1-D1,V8S1-P,V7S1-T2,V5S1-D3,V5S1-T2,V1S1-D2,V5S1-T3,V1S1-T2,V1S2-P,V6S1-D3,V6S1-T3,V8S1-T1,V1S1-P,V7S2-T3</t>
  </si>
  <si>
    <t>I11_C02-ITS1-3</t>
  </si>
  <si>
    <t>V5S1-D2,V3S1-T3,V2S2-T3,V6S1-P,V3S1-T1,V2S1-T2,V8S2-T3,V2S2-P,V2S2-T2,V2S1-P,V6S2-P,V5S2-T1,V5S1-T1,V3S1-P,V4S2-P,V4S2-T3,V3S2-T1,V7S1-T1,V5S1-D1,V3S1-T2,V4S2-T1,V6S2-T3,V7S2-P,V7S2-T1,V5S2-T3,V4S1-P,V1S2-T1,V3S2-T2,V2S1-T1,V3S1-D1,V6S1-T2,V4S2-T2,V4S1-T3,V2S1-D2,V2S1-D1,V4S1-T1,V8S2-T1,V5S2-T2,V6S2-T1,V8S1-D2,V2S1-D3,V1S1-T1,V1S2-T3,V8S2-T2,V4S1-D2,V8S1-T3,V7S1-T3,V8S1-D3,V3S2-T3,V7S2-T2,V4S1-D1,V2S2-T1,V6S1-T1,V7S1-P,V5S1-P,V3S2-P,V1S1-T3,V3S1-D2,V5S2-P,V8S1-T2,V2S1-T3,V5S1-T2,V1S1-D2,V7S1-D1,V8S1-P,V5S1-D3,V7S1-T2,V1S1-T2,V5S1-T3,V8S2-P,V1S2-T2,V7S1-D3,V6S2-T2,V4S1-T2,V8S1-T1,V7S2-T3,V1S1-P,V1S2-P,V6S1-T3,V6S1-D3</t>
  </si>
  <si>
    <t>I19_C03-ITS1-3</t>
  </si>
  <si>
    <t>V2S1-D2,V4S1-T3,V2S1-D1,V5S2-T2,V8S2-T1,V4S1-T1,V8S1-D2,V2S1-D3,V6S2-T1,V7S2-P,V6S2-T3,V1S2-T1,V3S2-T2,V7S2-T1,V5S2-T3,V4S1-P,V3S1-D1,V2S1-T1,V6S1-T2,V4S2-T2,V5S1-T1,V4S2-T3,V3S1-P,V4S2-P,V5S1-D1,V3S2-T1,V7S1-T1,V4S2-T1,V3S1-T2,V2S2-T3,V3S1-T3,V6S1-P,V5S1-D2,V2S1-T2,V8S2-T3,V3S1-T1,V2S2-P,V6S2-P,V2S1-P,V5S2-T1,V2S2-T2,V8S1-T1,V1S1-P,V7S2-T3,V1S2-P,V6S1-D3,V6S1-T3,V8S1-P,V7S1-D1,V5S1-D3,V7S1-T2,V5S1-T2,V1S1-D2,V1S1-T2,V5S1-T3,V8S2-P,V1S2-T2,V7S1-D3,V6S2-T2,V4S1-T2,V2S2-T1,V7S1-P,V6S1-T1,V5S1-P,V2S1-T3,V8S1-T2,V3S2-P,V1S1-T3,V3S1-D2,V5S2-P,V8S2-T2,V1S2-T3,V1S1-T1,V8S1-D3,V7S1-T3,V8S1-T3,V4S1-D2,V7S2-T2,V4S1-D1,V3S2-T3</t>
  </si>
  <si>
    <t>I4_D01-ITS1-3</t>
  </si>
  <si>
    <t>V4S2-P,V5S1-P</t>
  </si>
  <si>
    <t>I12_D02-ITS1-3</t>
  </si>
  <si>
    <t>V5S1-P,V8S1-T2,V2S1-T3,V5S2-P,V3S2-P,V1S1-T3,V3S1-D2,V2S2-T1,V7S1-P,V6S1-T1,V8S1-D3,V7S1-T3,V8S1-T3,V4S1-D2,V7S2-T2,V4S1-D1,V3S2-T3,V8S2-T2,V1S2-T3,V1S1-T1,V1S2-P,V6S1-D3,V6S1-T3,V8S1-T1,V1S1-P,V7S2-T3,V1S2-T2,V8S2-P,V4S1-T2,V6S2-T2,V7S1-D3,V7S1-T2,V5S1-D3,V7S1-D1,V8S1-P,V1S1-D2,V5S1-T2,V5S1-T3,V1S1-T2,V5S1-D1,V7S1-T1,V3S2-T1,V4S2-T1,V3S1-T2,V5S1-T1,V4S2-T3,V4S2-P,V3S1-P,V2S2-P,V5S2-T1,V2S1-P,V6S2-P,V2S2-T2,V6S1-P,V2S2-T3,V3S1-T3,V5S1-D2,V8S2-T3,V2S1-T2,V3S1-T1,V5S2-T2,V8S2-T1,V4S1-T1,V2S1-D3,V8S1-D2,V6S2-T1,V2S1-D2,V4S1-T3,V2S1-D1,V3S1-D1,V2S1-T1,V4S2-T2,V6S1-T2,V6S2-T3,V7S2-P,V3S2-T2,V1S2-T1,V4S1-P,V5S2-T3,V7S2-T1</t>
  </si>
  <si>
    <t>I5_E01-ITS1-3</t>
  </si>
  <si>
    <t>V2S1-T1,V6S1-T2,V4S2-T2,V6S2-T3,V7S2-P,V7S2-T1,V5S2-T3,V4S1-P,V1S2-T1,V3S2-T2,V4S1-T1,V8S2-T1,V5S2-T2,V6S2-T1,V6S1-D2,V2S1-D3,V4S1-D3,V4S1-T3,V2S1-D2,V2S1-D1,V8S1-D1,V2S2-P,V6S1-D1,V2S2-T2,V2S1-P,V6S2-P,V5S2-T1,V5S1-D2,V3S1-T3,V2S2-T3,V6S1-P,V3S1-T1,V2S1-T2,V8S2-T3,V7S1-T1,V3S2-T1,V5S1-D1,V3S1-T2,V4S2-T1,V5S1-T1,V3S1-P,V4S2-P,V4S2-T3,V8S2-P,V1S2-T2,V1S1-D1,V7S1-D3,V6S2-T2,V4S1-T2,V5S1-T2,V1S1-D2,V7S1-D1,V8S1-P,V5S1-D3,V7S1-T2,V1S1-T2,V5S1-T3,V7S1-D2,V1S2-P,V6S1-T3,V6S1-D3,V8S1-T1,V7S2-T3,V1S1-P,V4S1-D2,V8S1-D3,V7S1-T3,V8S1-T3,V3S2-T3,V1S1-D3,V3S1-D3,V4S1-D1,V7S2-T2,V1S2-T3,V1S1-T1,V8S2-T2,V5S1-P,V3S2-P,V1S1-T3,V3S1-D2,V5S2-P,V2S1-T3,V8S1-T2,V2S2-T1,V6S1-T1,V7S1-P</t>
  </si>
  <si>
    <t>I13_E02-ITS1-3</t>
  </si>
  <si>
    <t>V4S1-D2,V7S1-T3,V8S1-T3,V8S1-D3,V3S2-T3,V4S1-D1,V7S2-T2,V1S2-T3,V1S1-T1,V8S2-T2,V5S1-P,V1S1-T3,V3S1-D2,V3S2-P,V5S2-P,V8S1-T2,V2S1-T3,V2S2-T1,V7S1-P,V6S1-T1,V8S2-P,V1S2-T2,V6S2-T2,V7S1-D3,V4S1-T2,V5S1-T2,V1S1-D2,V8S1-P,V7S1-D1,V5S1-D3,V7S1-T2,V5S1-T3,V1S1-T2,V1S2-P,V6S1-T3,V6S1-D3,V8S1-T1,V7S2-T3,V1S1-P,V2S2-P,V2S2-T2,V2S1-P,V6S2-P,V5S2-T1,V5S1-D2,V3S1-T3,V2S2-T3,V6S1-P,V3S1-T1,V2S1-T2,V8S2-T3,V3S2-T1,V7S1-T1,V5S1-D1,V3S1-T2,V4S2-T1,V5S1-T1,V3S1-P,V4S2-P,V4S2-T3,V2S1-T1,V3S1-D1,V6S1-T2,V4S2-T2,V7S2-P,V6S2-T3,V7S2-T1,V5S2-T3,V4S1-P,V1S2-T1,V3S2-T2,V4S1-T1,V8S2-T1,V5S2-T2,V6S2-T1,V8S1-D2,V2S1-D3,V4S1-T3,V2S1-D2,V2S1-D1</t>
  </si>
  <si>
    <t>I15_G02-ITS1-3</t>
  </si>
  <si>
    <t>V3S2-T3,V7S2-T2,V4S1-D1,V4S1-D2,V8S1-T3,V7S1-T3,V8S1-D3,V1S1-T1,V1S2-T3,V8S2-T2,V5S2-P,V3S1-D2,V1S1-T3,V3S2-P,V2S1-T3,V8S1-T2,V5S1-P,V6S1-T1,V7S1-P,V2S2-T1,V4S1-T2,V7S1-D3,V6S2-T2,V1S2-T2,V8S2-P,V1S1-T2,V5S1-T3,V1S1-D2,V5S1-T2,V5S1-D3,V7S1-T2,V8S1-P,V7S1-D1,V6S1-T3,V6S1-D3,V1S2-P,V7S2-T3,V1S1-P,V8S1-T1,V2S2-T2,V5S2-T1,V6S2-P,V2S1-P,V2S2-P,V3S1-T1,V8S2-T3,V2S1-T2,V5S1-D2,V6S1-P,V2S2-T3,V3S1-T3,V3S1-T2,V4S2-T1,V7S1-T1,V3S2-T1,V5S1-D1,V4S2-P,V3S1-P,V4S2-T3,V5S1-T1,V4S2-T2,V6S1-T2,V2S1-T1,V3S1-D1,V4S1-P,V5S2-T3,V7S2-T1,V3S2-T2,V1S2-T1,V7S2-P,V6S2-T3,V6S2-T1,V2S1-D3,V8S1-D2,V4S1-T1,V8S2-T1,V5S2-T2,V2S1-D1,V4S1-T3,V2S1-D2</t>
  </si>
  <si>
    <t>J5_A04-ITS1-3</t>
  </si>
  <si>
    <t>V7S1-T1,V3S2-T1,V5S1-D1,V4S2-T1,V5S1-T1,V4S2-P,V3S1-P,V4S2-T3,V2S2-P,V2S2-T2,V6S1-D1,V5S2-T1,V2S1-P,V6S2-P,V6S1-P,V3S1-T3,V2S2-T3,V3S1-T1,V8S2-T3,V2S1-T2,V4S1-T1,V8S2-T1,V5S2-T2,V6S2-T1,V4S1-D3,V2S1-D3,V6S1-D2,V4S1-T3,V2S1-D2,V8S1-D1,V2S1-D1,V2S1-T1,V4S2-T2,V6S1-T2,V6S2-T3,V7S2-P,V4S1-P,V5S2-T3,V7S2-T1,V3S2-T2,V1S2-T1,V5S1-P,V5S2-P,V3S2-P,V1S1-T3,V8S1-T2,V2S1-T3,V2S2-T1,V7S1-P,V6S1-T1,V4S1-D2,V8S1-D3,V8S1-T3,V7S1-T3,V3S2-T3,V4S1-D1,V7S2-T2,V1S1-D3,V1S1-T1,V1S2-T3,V8S2-T2,V7S1-D2,V1S2-P,V6S1-T3,V6S1-D3,V8S1-T1,V7S2-T3,V1S1-P,V1S2-T2,V8S2-P,V1S1-D1,V4S1-T2,V7S1-D3,V6S2-T2,V1S1-D2,V5S1-T2,V7S1-T2,V8S1-P,V7S1-D1,V5S1-T3,V1S1-T2</t>
  </si>
  <si>
    <t>J7_C04-ITS1-3</t>
  </si>
  <si>
    <t>V7S2-T2,V4S1-D1,V3S2-T3,V7S1-T3,V8S1-T3,V8S1-D3,V4S1-D2,V8S2-T2,V1S1-T1,V1S2-T3,V8S1-T2,V2S1-T3,V3S2-P,V1S1-T3,V3S1-D2,V5S2-P,V5S1-P,V7S1-P,V6S1-T1,V2S2-T1,V7S1-D3,V6S2-T2,V4S1-T2,V8S2-P,V1S2-T2,V5S1-T3,V1S1-T2,V8S1-P,V7S1-D1,V5S1-D3,V7S1-T2,V5S1-T2,V1S1-D2,V6S1-D3,V6S1-T3,V1S2-P,V1S1-P,V7S2-T3,V8S1-T1,V6S2-P,V2S1-P,V5S2-T1,V2S2-T2,V2S2-P,V2S1-T2,V8S2-T3,V3S1-T1,V3S1-T3,V2S2-T3,V6S1-P,V5S1-D2,V4S2-T1,V3S1-T2,V5S1-D1,V3S2-T1,V7S1-T1,V4S2-T3,V3S1-P,V4S2-P,V5S1-T1,V6S1-T2,V4S2-T2,V3S1-D1,V2S1-T1,V1S2-T1,V3S2-T2,V5S2-T3,V7S2-T1,V4S1-P,V7S2-P,V6S2-T3,V8S1-D2,V2S1-D3,V6S2-T1,V5S2-T2,V8S2-T1,V4S1-T1,V2S1-D1,V2S1-D2,V4S1-T3</t>
  </si>
  <si>
    <t>J8_D04-ITS1-3</t>
  </si>
  <si>
    <t>V6S2-T1,V4S1-D3,V2S1-D3,V6S1-D2,V8S2-T1,V4S1-T1,V5S2-T2,V8S1-D1,V2S1-D1,V4S1-T3,V2S1-D2,V4S2-T2,V6S1-T2,V2S1-T1,V4S1-P,V7S2-T1,V5S2-T3,V3S2-T2,V1S2-T1,V6S2-T3,V7S2-P,V3S1-T2,V4S2-T1,V3S2-T1,V7S1-T1,V5S1-D1,V4S2-P,V3S1-P,V4S2-T3,V5S1-T1,V2S2-T2,V6S1-D1,V5S2-T1,V6S2-P,V2S1-P,V2S2-P,V3S1-T1,V8S2-T3,V2S1-T2,V5S1-D2,V6S1-P,V3S1-T3,V2S2-T3,V6S1-T3,V6S1-D3,V7S1-D2,V1S2-P,V7S2-T3,V1S1-P,V8S1-T1,V1S1-D1,V4S1-T2,V7S1-D3,V6S2-T2,V1S2-T2,V8S2-P,V1S1-T2,V5S1-T3,V1S1-D2,V5S1-T2,V5S1-D3,V7S1-T2,V8S1-P,V7S1-D1,V5S2-P,V3S2-P,V1S1-T3,V3S1-D2,V8S1-T2,V2S1-T3,V5S1-P,V7S1-P,V6S1-T1,V2S2-T1,V3S2-T3,V3S1-D3,V4S1-D1,V7S2-T2,V1S1-D3,V4S1-D2,V8S1-D3,V8S1-T3,V7S1-T3,V1S2-T3,V1S1-T1,V8S2-T2</t>
  </si>
  <si>
    <t>V8S2-T2,V2S1-T3,V4S1-T2,V7S1-D3,V1S2-T2,V1S2-P,V3S1-T2,V5S1-D1,V4S2-T3,V4S2-P,V4S2-T2,V8S1-D2,V8S2-T1,V8S1-D1</t>
  </si>
  <si>
    <t>J1_E03-ITS1-3</t>
  </si>
  <si>
    <t>V3S1-D1,V2S1-T1,V6S1-T2,V4S2-T2,V7S2-P,V6S2-T3,V1S2-T1,V3S2-T2,V7S2-T1,V5S2-T3,V4S1-P,V5S2-T2,V8S2-T1,V4S1-T1,V8S1-D2,V2S1-D3,V6S2-T1,V2S1-D2,V4S1-T3,V2S1-D1,V2S2-P,V2S1-P,V6S2-P,V5S2-T1,V2S2-T2,V2S2-T3,V3S1-T3,V6S1-P,V5S1-D2,V2S1-T2,V8S2-T3,V3S1-T1,V5S1-D1,V3S2-T1,V7S1-T1,V4S2-T1,V3S1-T2,V5S1-T1,V4S2-T3,V3S1-P,V4S2-P,V8S2-P,V1S2-T2,V6S2-T2,V7S1-D3,V4S1-T2,V7S1-D1,V8S1-P,V5S1-D3,V7S1-T2,V5S1-T2,V1S1-D2,V1S1-T2,V5S1-T3,V1S2-P,V6S1-D3,V6S1-T3,V8S1-T1,V1S1-P,V7S2-T3,V8S1-T3,V7S1-T3,V8S1-D3,V4S1-D2,V4S1-D1,V7S2-T2,V3S2-T3,V8S2-T2,V1S1-T1,V1S2-T3,V5S1-P,V2S1-T3,V8S1-T2,V3S1-D2,V1S1-T3,V3S2-P,V5S2-P,V2S2-T1,V6S1-T1,V7S1-P</t>
  </si>
  <si>
    <t>J9_E04-ITS1-3</t>
  </si>
  <si>
    <t>V3S1-D1,V6S1-T2,V6S2-T3,V7S2-P,V7S2-T1,V3S2-T2,V8S2-T1,V4S1-T1,V5S2-T2,V6S2-T1,V2S1-D3,V4S1-D3,V8S1-D2,V4S1-T3,V2S1-D2,V8S1-D1,V2S1-D1,V2S2-T2,V6S1-D1,V5S2-T1,V5S1-D2,V6S1-P,V3S1-T3,V2S2-T3,V3S1-T1,V2S1-T2,V7S1-T1,V3S2-T1,V5S1-D1,V3S1-T2,V5S1-T1,V3S1-P,V4S2-T3,V1S1-D1,V6S2-T2,V7S1-D3,V1S1-D2,V5S1-T2,V7S1-T2,V5S1-D3,V7S1-D1,V5S1-T3,V7S1-D2,V6S1-T3,V6S1-D3,V8S1-T1,V1S1-P,V4S1-D2,V7S1-T3,V8S1-T3,V8S1-D3,V3S2-T3,V4S1-D1,V3S1-D3,V7S2-T2,V1S2-T3,V5S1-P,V3S1-D2,V8S1-T2,V7S1-P</t>
  </si>
  <si>
    <t>J17_E05-ITS1-3</t>
  </si>
  <si>
    <t>V6S1-T1,V7S1-P,V2S2-T1,V5S2-P,V3S1-D2,V1S1-T3,V3S2-P,V2S1-T3,V8S1-T2,V5S1-P,V1S2-T3,V1S1-T1,V8S2-T2,V3S2-T3,V4S1-D1,V7S2-T2,V4S1-D2,V8S1-T3,V7S1-T3,V8S1-D3,V7S2-T3,V1S1-P,V8S1-T1,V6S1-T3,V6S1-D3,V1S2-P,V5S1-T3,V1S1-T2,V1S1-D2,V5S1-T2,V7S1-T2,V5S1-D3,V7S1-D1,V8S1-P,V4S1-T2,V6S2-T2,V7S1-D3,V1S2-T2,V8S2-P,V4S2-P,V3S1-P,V4S2-T3,V5S1-T1,V3S1-T2,V4S2-T1,V3S2-T1,V7S1-T1,V5S1-D1,V3S1-T1,V8S2-T3,V2S1-T2,V5S1-D2,V6S1-P,V2S2-T3,V3S1-T3,V2S2-T2,V5S2-T1,V6S2-P,V2S1-P,V2S2-P,V2S1-D1,V4S1-T3,V2S1-D2,V6S2-T1,V2S1-D3,V8S1-D2,V4S1-T1,V8S2-T1,V5S2-T2,V4S1-P,V5S2-T3,V7S2-T1,V3S2-T2,V1S2-T1,V6S2-T3,V7S2-P,V4S2-T2,V6S1-T2,V2S1-T1,V3S1-D1</t>
  </si>
  <si>
    <t>J2_F03-ITS1-3</t>
  </si>
  <si>
    <t>V5S1-P,V4S2-P</t>
  </si>
  <si>
    <t>J10_F04-ITS1-3</t>
  </si>
  <si>
    <t>V2S1-T1,V3S1-D1,V6S1-T2,V4S2-T2,V7S2-P,V6S2-T3,V7S2-T1,V5S2-T3,V4S1-P,V1S2-T1,V3S2-T2,V8S2-T1,V4S1-T1,V5S2-T2,V6S2-T1,V8S1-D2,V2S1-D3,V4S1-T3,V2S1-D2,V2S1-D1,V2S2-P,V2S2-T2,V2S1-P,V6S2-P,V5S2-T1,V5S1-D2,V3S1-T3,V2S2-T3,V6S1-P,V3S1-T1,V2S1-T2,V8S2-T3,V3S2-T1,V7S1-T1,V5S1-D1,V3S1-T2,V4S2-T1,V5S1-T1,V3S1-P,V4S2-P,V4S2-T3,V8S2-P,V1S2-T2,V6S2-T2,V7S1-D3,V4S1-T2,V5S1-T2,V1S1-D2,V8S1-P,V7S1-D1,V5S1-D3,V7S1-T2,V1S1-T2,V5S1-T3,V1S2-P,V6S1-T3,V6S1-D3,V8S1-T1,V7S2-T3,V1S1-P,V4S1-D2,V8S1-D3,V7S1-T3,V8S1-T3,V3S2-T3,V7S2-T2,V4S1-D1,V1S2-T3,V1S1-T1,V8S2-T2,V5S1-P,V3S1-D2,V1S1-T3,V3S2-P,V5S2-P,V2S1-T3,V8S1-T2,V2S2-T1,V6S1-T1,V7S1-P</t>
  </si>
  <si>
    <t>J18_F05-ITS1-3</t>
  </si>
  <si>
    <t>V5S2-T2,V8S2-T1,V4S1-T1,V8S1-D2,V2S1-D3,V6S2-T1,V2S1-D2,V4S1-T3,V2S1-D1,V3S1-D1,V2S1-T1,V6S1-T2,V4S2-T2,V7S2-P,V6S2-T3,V1S2-T1,V3S2-T2,V5S2-T3,V7S2-T1,V4S1-P,V5S1-D1,V3S2-T1,V7S1-T1,V4S2-T1,V3S1-T2,V5S1-T1,V4S2-T3,V3S1-P,V4S2-P,V2S2-P,V2S1-P,V6S2-P,V5S2-T1,V2S2-T2,V2S2-T3,V3S1-T3,V6S1-P,V5S1-D2,V2S1-T2,V8S2-T3,V3S1-T1,V1S2-P,V6S1-D3,V6S1-T3,V8S1-T1,V1S1-P,V7S2-T3,V8S2-P,V1S2-T2,V7S1-D3,V6S2-T2,V4S1-T2,V8S1-P,V7S1-D1,V5S1-D3,V7S1-T2,V5S1-T2,V1S1-D2,V1S1-T2,V5S1-T3,V5S1-P,V2S1-T3,V8S1-T2,V3S1-D2,V1S1-T3,V3S2-P,V5S2-P,V2S2-T1,V6S1-T1,V7S1-P,V8S1-D3,V7S1-T3,V8S1-T3,V4S1-D2,V7S2-T2,V4S1-D1,V3S2-T3,V8S2-T2,V1S1-T1,V1S2-T3</t>
  </si>
  <si>
    <t>J3_G03-ITS1-3</t>
  </si>
  <si>
    <t>V5S1-P,V8S1-T2,V2S1-T3,V5S2-P,V3S2-P,V1S1-T3,V3S1-D2,V2S2-T1,V7S1-P,V6S1-T1,V8S1-D3,V8S1-T3,V7S1-T3,V4S1-D2,V3S1-D3,V7S2-T2,V4S1-D1,V1S1-D3,V3S2-T3,V8S2-T2,V1S2-T3,V1S1-T1,V1S2-P,V7S1-D2,V6S1-D3,V6S1-T3,V8S1-T1,V1S1-P,V7S2-T3,V1S2-T2,V8S2-P,V4S1-T2,V7S1-D3,V6S2-T2,V1S1-D1,V7S1-T2,V5S1-D3,V8S1-P,V7S1-D1,V1S1-D2,V5S1-T2,V5S1-T3,V1S1-T2,V5S1-D1,V3S2-T1,V7S1-T1,V4S2-T1,V3S1-T2,V5S1-T1,V4S2-T3,V4S2-P,V3S1-P,V2S2-P,V5S2-T1,V2S1-P,V6S2-P,V2S2-T2,V6S1-D1,V6S1-P,V2S2-T3,V3S1-T3,V5S1-D2,V8S2-T3,V2S1-T2,V3S1-T1,V5S2-T2,V4S1-T1,V8S2-T1,V4S1-D3,V2S1-D3,V6S1-D2,V6S2-T1,V2S1-D2,V4S1-T3,V8S1-D1,V2S1-D1,V2S1-T1,V4S2-T2,V6S1-T2,V6S2-T3,V7S2-P,V3S2-T2,V1S2-T1,V4S1-P,V5S2-T3,V7S2-T1</t>
  </si>
  <si>
    <t>J11_G04-ITS1-3</t>
  </si>
  <si>
    <t>V1S2-T2,V8S2-P,V1S1-D1,V4S1-T2,V7S1-D3,V6S2-T2,V1S1-D2,V5S1-T2,V7S1-T2,V5S1-D3,V7S1-D1,V8S1-P,V1S1-T2,V5S1-T3,V7S1-D2,V1S2-P,V6S1-T3,V6S1-D3,V8S1-T1,V7S2-T3,V1S1-P,V4S1-D2,V7S1-T3,V8S1-D3,V8S1-T3,V3S2-T3,V3S1-D3,V7S2-T2,V4S1-D1,V1S1-D3,V1S1-T1,V1S2-T3,V8S2-T2,V5S1-P,V5S2-P,V3S1-D2,V1S1-T3,V3S2-P,V8S1-T2,V2S1-T3,V2S2-T1,V7S1-P,V6S1-T1,V2S1-T1,V4S2-T2,V6S1-T2,V7S2-P,V6S2-T3,V4S1-P,V5S2-T3,V7S2-T1,V3S2-T2,V1S2-T1,V4S1-T1,V8S2-T1,V5S2-T2,V6S2-T1,V4S1-D3,V2S1-D3,V6S1-D2,V4S1-T3,V2S1-D2,V8S1-D1,V2S1-D1,V2S2-P,V2S2-T2,V6S1-D1,V5S2-T1,V2S1-P,V6S2-P,V5S1-D2,V6S1-P,V2S2-T3,V3S1-T3,V3S1-T1,V8S2-T3,V2S1-T2,V3S2-T1,V7S1-T1,V5S1-D1,V3S1-T2,V4S2-T1,V5S1-T1,V4S2-P,V3S1-P,V4S2-T3</t>
  </si>
  <si>
    <t>K18_B03-ITS1-2</t>
  </si>
  <si>
    <t>V1S1-D2,V5S1-T2,V7S1-T2,V5S1-D3,V8S1-P,V7S1-D1,V5S1-T3,V1S1-T2,V1S2-T2,V8S2-P,V1S1-D1,V4S1-T2,V6S2-T2,V7S1-D3,V8S1-T1,V7S2-T3,V1S1-P,V7S1-D2,V1S2-P,V6S1-T3,V6S1-D3,V1S1-T1,V1S2-T3,V8S2-T2,V4S1-D2,V8S1-D3,V7S1-T3,V8S1-T3,V3S2-T3,V7S2-T2,V3S1-D3,V4S1-D1,V1S1-D3,V2S2-T1,V6S1-T1,V7S1-P,V5S1-P,V5S2-P,V1S1-T3,V3S1-D2,V3S2-P,V8S1-T2,V2S1-T3,V7S2-P,V6S2-T3,V4S1-P,V5S2-T3,V7S2-T1,V3S2-T2,V1S2-T1,V2S1-T1,V4S2-T2,V6S1-T2,V4S1-T3,V2S1-D2,V8S1-D1,V2S1-D1,V4S1-T1,V8S2-T1,V5S2-T2,V6S2-T1,V4S1-D3,V2S1-D3,V6S1-D2,V5S1-D2,V6S1-P,V3S1-T3,V2S2-T3,V3S1-T1,V8S2-T3,V2S1-T2,V2S2-P,V2S2-T2,V6S1-D1,V5S2-T1,V6S2-P,V2S1-P,V5S1-T1,V4S2-P,V3S1-P,V4S2-T3,V3S2-T1,V7S1-T1,V5S1-D1,V3S1-T2,V4S2-T1</t>
  </si>
  <si>
    <t>V5S1-D2,V2S2-T3,V3S1-T3,V3S1-T1,V2S1-T2,V8S2-T3,V6S1-D1,V2S2-T2,V5S2-T1,V5S1-T1,V3S1-P,V4S2-T3,V7S1-T1,V3S2-T1,V3S1-T2,V4S2-T1,V6S2-T3,V5S2-T3,V1S2-T1,V3S2-T2,V2S1-T1,V3S1-D1,V6S1-T2,V4S2-T2,V4S1-T3,V2S1-D2,V2S1-D1,V8S1-D1,V8S2-T1,V4S1-T1,V5S2-T2,V6S2-T1,V8S1-D2,V2S1-D3,V4S1-D3,V1S2-T3,V1S1-T1,V8S2-T2,V4S1-D2,V7S1-T3,V8S1-D3,V8S1-T3,V3S2-T3,V1S1-D3,V7S2-T2,V2S2-T1,V6S1-T1,V3S1-D2,V1S1-T3,V2S1-T3,V8S1-T2,V5S1-T2,V1S1-D2,V7S1-D1,V5S1-D3,V7S1-T2,V5S1-T3,V1S1-T2,V1S2-T2,V1S1-D1,V6S2-T2,V7S1-D3,V4S1-T2,V8S1-T1,V7S2-T3,V7S1-D2,V6S1-T3</t>
  </si>
  <si>
    <t>K4_D01-ITS1-2</t>
  </si>
  <si>
    <t>V1S2-P,V6S1-T3,V6S1-D3,V8S1-T1,V7S2-T3,V1S1-P,V1S2-T2,V8S2-P,V4S1-T2,V7S1-D3,V6S2-T2,V1S1-D2,V5S1-T2,V5S1-D3,V7S1-T2,V7S1-D1,V8S1-P,V5S1-T3,V1S1-T2,V5S1-P,V5S2-P,V1S1-T3,V3S1-D2,V3S2-P,V8S1-T2,V2S1-T3,V2S2-T1,V6S1-T1,V7S1-P,V4S1-D2,V8S1-T3,V7S1-T3,V8S1-D3,V3S2-T3,V7S2-T2,V4S1-D1,V1S1-T1,V1S2-T3,V8S2-T2,V4S1-T1,V8S2-T1,V5S2-T2,V6S2-T1,V2S1-D3,V8S1-D2,V4S1-T3,V2S1-D2,V2S1-D1,V2S1-T1,V3S1-D1,V4S2-T2,V6S1-T2,V6S2-T3,V7S2-P,V4S1-P,V5S2-T3,V7S2-T1,V3S2-T2,V1S2-T1,V7S1-T1,V3S2-T1,V5S1-D1,V3S1-T2,V4S2-T1,V5S1-T1,V4S2-P,V3S1-P,V4S2-T3,V2S2-P,V2S2-T2,V5S2-T1,V2S1-P,V6S2-P,V5S1-D2,V6S1-P,V3S1-T3,V2S2-T3,V3S1-T1,V8S2-T3,V2S1-T2</t>
  </si>
  <si>
    <t>K12_D02-ITS1-2</t>
  </si>
  <si>
    <t>V6S1-T3,V6S1-D3,V1S2-P,V7S2-T3,V1S1-P,V8S1-T1,V4S1-T2,V6S2-T2,V7S1-D3,V1S2-T2,V8S2-P,V5S1-T3,V1S1-T2,V1S1-D2,V5S1-T2,V7S1-T2,V5S1-D3,V8S1-P,V7S1-D1,V5S2-P,V1S1-T3,V3S1-D2,V3S2-P,V8S1-T2,V2S1-T3,V5S1-P,V6S1-T1,V7S1-P,V2S2-T1,V3S2-T3,V7S2-T2,V4S1-D1,V4S1-D2,V8S1-D3,V7S1-T3,V8S1-T3,V1S2-T3,V1S1-T1,V8S2-T2,V6S2-T1,V2S1-D3,V8S1-D2,V4S1-T1,V8S2-T1,V5S2-T2,V2S1-D1,V4S1-T3,V2S1-D2,V4S2-T2,V6S1-T2,V2S1-T1,V3S1-D1,V4S1-P,V5S2-T3,V7S2-T1,V3S2-T2,V1S2-T1,V7S2-P,V6S2-T3,V3S1-T2,V4S2-T1,V3S2-T1,V7S1-T1,V5S1-D1,V4S2-P,V3S1-P,V4S2-T3,V5S1-T1,V2S2-T2,V5S2-T1,V2S1-P,V6S2-P,V2S2-P,V3S1-T1,V8S2-T3,V2S1-T2,V5S1-D2,V6S1-P,V2S2-T3,V3S1-T3</t>
  </si>
  <si>
    <t>K20_D03-ITS1-2</t>
  </si>
  <si>
    <t>V2S2-P,V2S2-T2,V6S2-P,V5S2-T1,V2S2-T3,V3S1-T3,V3S1-T1,V2S1-T2,V8S2-T3,V3S2-T1,V4S2-P,V4S2-T2,V6S2-T3,V7S2-P,V7S2-T1,V4S1-P,V1S2-T1,V3S2-T2,V4S1-T1,V8S2-T1,V5S2-T2,V6S2-T1,V8S1-D3,V3S2-T3,V7S2-T2,V1S1-T1,V1S2-T3,V8S2-T2,V3S2-P,V5S2-P,V2S2-T1,V1S2-T2,V6S2-T2,V5S1-T2,V7S1-D1,V8S1-P,V5S1-T3,V1S2-P,V8S1-T1,V7S2-T3,V1S1-P</t>
  </si>
  <si>
    <t>K13_E02-ITS1-2</t>
  </si>
  <si>
    <t>V1S2-P,V8S1-T1,V7S2-T3,V1S2-T2,V8S2-P,V6S2-T2,V1S1-D1,V8S1-P,V5S1-T2,V5S1-T3,V8S1-T2,V2S1-T3,V5S2-P,V1S1-T3,V3S2-P,V2S2-T1,V8S1-T3,V7S2-T2,V4S1-D1,V1S1-D3,V3S2-T3,V8S2-T2,V1S1-T1,V1S2-T3,V5S2-T2,V8S2-T1,V4S1-T1,V8S1-D2,V6S2-T1,V4S1-T3,V2S1-T1,V4S2-T2,V6S2-T3,V3S2-T2,V1S2-T1,V4S1-P,V5S2-T3,V7S2-T1,V7S1-T1,V3S2-T1,V4S2-T1,V5S1-T1,V4S2-T3,V4S2-P,V2S2-P,V5S2-T1,V2S1-P,V2S2-T2,V6S1-P,V2S2-T3,V3S1-T3,V8S2-T3,V2S1-T2,V3S1-T1</t>
  </si>
  <si>
    <t>K6_F01-ITS1-2</t>
  </si>
  <si>
    <t>V2S2-T1,V5S2-P,V3S2-P,V1S2-T3,V1S1-T1,V8S2-T2,V3S2-T3,V7S2-T2,V8S1-D3,V7S2-T3,V1S1-P,V8S1-T1,V1S2-P,V5S1-T3,V5S1-T2,V7S1-D1,V8S1-P,V6S2-T2,V1S2-T2,V4S2-P,V3S2-T1,V3S1-T1,V8S2-T3,V2S1-T2,V2S2-T3,V3S1-T3,V2S2-T2,V5S2-T1,V6S2-P,V2S2-P,V6S2-T1,V4S1-T1,V8S2-T1,V5S2-T2,V4S1-P,V7S2-T1,V3S2-T2,V1S2-T1,V7S2-P,V6S2-T3,V4S2-T2</t>
  </si>
  <si>
    <t>K15_G02-ITS1-2</t>
  </si>
  <si>
    <t>V1S1-T3,V3S1-D2,V3S2-P,V5S2-P,V8S1-T2,V2S1-T3,V5S1-P,V7S1-P,V6S1-T1,V2S2-T1,V3S2-T3,V4S1-D1,V7S2-T2,V4S1-D2,V8S1-T3,V7S1-T3,V8S1-D3,V1S2-T3,V1S1-T1,V8S2-T2,V6S1-T3,V6S1-D3,V1S2-P,V7S2-T3,V1S1-P,V8S1-T1,V6S2-T2,V7S1-D3,V4S1-T2,V8S2-P,V1S2-T2,V5S1-T3,V1S1-T2,V5S1-T2,V1S1-D2,V7S1-D1,V8S1-P,V7S1-T2,V5S1-D3,V3S1-T2,V4S2-T1,V3S2-T1,V7S1-T1,V5S1-D1,V3S1-P,V4S2-P,V4S2-T3,V5S1-T1,V2S2-T2,V6S2-P,V2S1-P,V5S2-T1,V2S2-P,V3S1-T1,V2S1-T2,V8S2-T3,V5S1-D2,V2S2-T3,V3S1-T3,V6S1-P,V6S2-T1,V8S1-D2,V2S1-D3,V8S2-T1,V4S1-T1,V5S2-T2,V2S1-D1,V4S1-T3,V2S1-D2,V6S1-T2,V4S2-T2,V2S1-T1,V3S1-D1,V7S2-T1,V5S2-T3,V4S1-P,V1S2-T1,V3S2-T2,V7S2-P,V6S2-T3</t>
  </si>
  <si>
    <t>V4S1-T1,V8S2-T1,V5S2-T2,V6S2-T1,V4S1-D3,V4S1-T3,V2S1-T1,V6S1-T2,V4S2-T2,V6S2-T3,V5S2-T3,V1S2-T1,V3S2-T2,V7S1-T1,V3S2-T1,V3S1-T2,V4S2-T1,V5S1-T1,V4S2-T3,V2S2-T2,V5S2-T1,V3S1-T3,V2S2-T3,V3S1-T1,V2S1-T2,V8S2-T3,V8S1-T1,V7S2-T3,V1S2-T2,V6S2-T2,V4S1-T2,V5S1-T2,V7S1-T2,V1S1-T2,V5S1-T3,V1S1-T3,V8S1-T2,V2S1-T3,V2S2-T1,V7S1-T3,V8S1-T3,V3S2-T3,V7S2-T2,V1S2-T3,V1S1-T1,V8S2-T2</t>
  </si>
  <si>
    <t>L15_C05-ITS1-2</t>
  </si>
  <si>
    <t>V6S1-T3,V6S1-D3,V1S2-P,V7S2-T3,V1S1-P,V8S1-T1,V6S2-T2,V7S1-D3,V4S1-T2,V8S2-P,V1S2-T2,V5S1-T3,V1S1-T2,V5S1-T2,V1S1-D2,V7S1-D1,V8S1-P,V7S1-T2,V5S1-D3,V3S2-P,V1S1-T3,V3S1-D2,V5S2-P,V2S1-T3,V8S1-T2,V5S1-P,V7S1-P,V6S1-T1,V2S2-T1,V3S2-T3,V4S1-D1,V7S2-T2,V4S1-D2,V8S1-D3,V7S1-T3,V8S1-T3,V1S2-T3,V1S1-T1,V8S2-T2,V6S2-T1,V8S1-D2,V2S1-D3,V4S1-T1,V8S2-T1,V5S2-T2,V2S1-D1,V4S1-T3,V2S1-D2,V6S1-T2,V4S2-T2,V2S1-T1,V3S1-D1,V5S2-T3,V7S2-T1,V4S1-P,V1S2-T1,V3S2-T2,V7S2-P,V6S2-T3,V3S1-T2,V4S2-T1,V7S1-T1,V3S2-T1,V5S1-D1,V3S1-P,V4S2-P,V4S2-T3,V5S1-T1,V2S2-T2,V2S1-P,V6S2-P,V5S2-T1,V2S2-P,V3S1-T1,V2S1-T2,V8S2-T3,V5S1-D2,V2S2-T3,V3S1-T3,V6S1-P</t>
  </si>
  <si>
    <t>L8_D04-ITS1-2</t>
  </si>
  <si>
    <t>V5S1-P,V2S1-T3,V8S1-T2,V1S1-T3,V3S2-P,V3S1-D2,V5S2-P,V2S2-T1,V6S1-T1,V7S1-P,V7S1-T3,V8S1-T3,V8S1-D3,V4S1-D2,V7S2-T2,V4S1-D1,V3S2-T3,V8S2-T2,V1S2-T3,V1S1-T1,V1S2-P,V6S1-D3,V6S1-T3,V8S1-T1,V1S1-P,V7S2-T3,V8S2-P,V1S2-T2,V6S2-T2,V7S1-D3,V4S1-T2,V7S1-D1,V8S1-P,V7S1-T2,V5S1-D3,V5S1-T2,V1S1-D2,V1S1-T2,V5S1-T3,V5S1-D1,V3S2-T1,V7S1-T1,V4S2-T1,V3S1-T2,V5S1-T1,V4S2-T3,V3S1-P,V4S2-P,V2S2-P,V6S2-P,V2S1-P,V5S2-T1,V2S2-T2,V2S2-T3,V3S1-T3,V6S1-P,V5S1-D2,V2S1-T2,V8S2-T3,V3S1-T1,V5S2-T2,V8S2-T1,V4S1-T1,V8S1-D2,V2S1-D3,V6S2-T1,V2S1-D2,V4S1-T3,V2S1-D1,V3S1-D1,V2S1-T1,V6S1-T2,V4S2-T2,V7S2-P,V6S2-T3,V1S2-T1,V3S2-T2,V5S2-T3,V7S2-T1,V4S1-P</t>
  </si>
  <si>
    <t>L16_D05-ITS1-2</t>
  </si>
  <si>
    <t>V1S2-T1,V3S2-T2,V5S2-T3,V7S2-T1,V4S1-P,V7S2-P,V6S2-T3,V6S1-T2,V4S2-T2,V2S1-T1,V2S1-D1,V8S1-D1,V2S1-D2,V4S1-T3,V6S1-D2,V4S1-D3,V2S1-D3,V6S2-T1,V5S2-T2,V4S1-T1,V8S2-T1,V2S1-T2,V8S2-T3,V3S1-T1,V2S2-T3,V3S1-T3,V6S1-P,V5S1-D2,V6S2-P,V2S1-P,V5S2-T1,V6S1-D1,V2S2-T2,V2S2-P,V4S2-T3,V3S1-P,V4S2-P,V5S1-T1,V4S2-T1,V3S1-T2,V5S1-D1,V3S2-T1,V7S1-T1,V5S1-T3,V1S1-T2,V7S1-D1,V8S1-P,V7S1-T2,V5S1-D3,V5S1-T2,V1S1-D2,V7S1-D3,V6S2-T2,V4S1-T2,V1S1-D1,V8S2-P,V1S2-T2,V1S1-P,V7S2-T3,V8S1-T1,V6S1-D3,V6S1-T3,V1S2-P,V7S1-D2,V8S2-T2,V1S2-T3,V1S1-T1,V1S1-D3,V4S1-D1,V3S1-D3,V7S2-T2,V3S2-T3,V8S1-D3,V7S1-T3,V8S1-T3,V4S1-D2,V6S1-T1,V7S1-P,V2S2-T1,V2S1-T3,V8S1-T2,V3S1-D2,V1S1-T3,V3S2-P,V5S2-P,V5S1-P</t>
  </si>
  <si>
    <t>L1_E03-ITS1-2</t>
  </si>
  <si>
    <t>V1S2-T2,V8S2-P,V6S2-T2,V1S1-D1,V8S1-P,V5S1-T2,V5S1-T3,V1S2-P,V8S1-T1,V7S2-T3,V8S1-T3,V4S1-D1,V7S2-T2,V1S1-D3,V3S2-T3,V8S2-T2,V1S1-T1,V1S2-T3,V8S1-T2,V2S1-T3,V5S2-P,V3S2-P,V1S1-T3,V2S2-T1,V2S1-T1,V4S2-T2,V6S2-T3,V3S2-T2,V1S2-T1,V4S1-P,V7S2-T1,V5S2-T3,V5S2-T2,V8S2-T1,V4S1-T1,V8S1-D2,V6S2-T1,V4S1-T3,V2S2-P,V5S2-T1,V2S1-P,V2S2-T2,V6S1-P,V3S1-T3,V2S2-T3,V8S2-T3,V2S1-T2,V3S1-T1,V7S1-T1,V3S2-T1,V4S2-T1,V5S1-T1,V4S2-T3,V4S2-P</t>
  </si>
  <si>
    <t>L17_E05-ITS1-2</t>
  </si>
  <si>
    <t>V1S2-T3,V1S1-T1,V8S2-T2,V3S2-T3,V7S2-T2,V4S1-D1,V4S1-D2,V8S1-D3,V7S1-T3,V8S1-T3,V6S1-T1,V7S1-P,V2S2-T1,V1S1-T3,V3S2-P,V3S1-D2,V5S2-P,V8S1-T2,V2S1-T3,V5S1-P,V1S1-T2,V5S1-T3,V5S1-T2,V1S1-D2,V7S1-D1,V8S1-P,V7S1-T2,V5S1-D3,V7S1-D3,V6S2-T2,V4S1-T2,V8S2-P,V1S2-T2,V7S2-T3,V1S1-P,V8S1-T1,V6S1-T3,V6S1-D3,V1S2-P,V3S1-T1,V2S1-T2,V8S2-T3,V5S1-D2,V2S2-T3,V3S1-T3,V6S1-P,V2S2-T2,V6S2-P,V2S1-P,V5S2-T1,V2S2-P,V3S1-P,V4S2-P,V4S2-T3,V5S1-T1,V3S1-T2,V4S2-T1,V3S2-T1,V7S1-T1,V5S1-D1,V5S2-T3,V7S2-T1,V4S1-P,V1S2-T1,V3S2-T2,V7S2-P,V6S2-T3,V6S1-T2,V4S2-T2,V2S1-T1,V3S1-D1,V2S1-D1,V4S1-T3,V2S1-D2,V6S2-T1,V8S1-D2,V2S1-D3,V4S1-T1,V8S2-T1,V5S2-T2</t>
  </si>
  <si>
    <t>L10_F04-ITS1-2</t>
  </si>
  <si>
    <t>V3S2-T3,V4S1-D1,V7S2-T2,V3S1-D3,V4S1-D2,V8S1-D3,V7S1-T3,V8S1-T3,V1S2-T3,V3S1-D2,V8S1-T2,V5S1-P,V7S1-P,V1S1-D1,V7S1-D3,V6S2-T2,V5S1-T3,V5S1-T2,V1S1-D2,V7S1-D1,V5S1-D3,V7S1-T2,V6S1-T3,V6S1-D3,V7S1-D2,V1S1-P,V8S1-T1,V6S1-D1,V2S2-T2,V5S2-T1,V3S1-T1,V2S1-T2,V5S1-D2,V2S2-T3,V3S1-T3,V6S1-P,V3S1-T2,V7S1-T1,V3S2-T1,V5S1-D1,V3S1-P,V4S2-T3,V5S1-T1,V6S1-T2,V3S1-D1,V7S2-T1,V3S2-T2,V6S2-T3,V7S2-P,V6S2-T1,V8S1-D2,V2S1-D3,V4S1-D3,V8S2-T1,V4S1-T1,V5S2-T2,V2S1-D1,V8S1-D1,V4S1-T3,V2S1-D2</t>
  </si>
  <si>
    <t>L11_G04-ITS1-2</t>
  </si>
  <si>
    <t>V1S2-T3,V1S1-T1,V8S2-T2,V4S1-D2,V8S1-T3,V7S1-T3,V8S1-D3,V3S2-T3,V7S2-T2,V4S1-D1,V2S2-T1,V6S1-T1,V7S1-P,V5S1-P,V1S1-T3,V3S1-D2,V3S2-P,V5S2-P,V2S1-T3,V8S1-T2,V5S1-T2,V1S1-D2,V7S1-D1,V8S1-P,V5S1-D3,V7S1-T2,V5S1-T3,V1S1-T2,V8S2-P,V1S2-T2,V7S1-D3,V6S2-T2,V4S1-T2,V8S1-T1,V7S2-T3,V1S1-P,V1S2-P,V6S1-T3,V6S1-D3,V5S1-D2,V3S1-T3,V2S2-T3,V6S1-P,V3S1-T1,V2S1-T2,V8S2-T3,V2S2-P,V2S2-T2,V6S2-P,V2S1-P,V5S2-T1,V5S1-T1,V3S1-P,V4S2-P,V4S2-T3,V3S2-T1,V7S1-T1,V5S1-D1,V3S1-T2,V4S2-T1,V7S2-P,V6S2-T3,V7S2-T1,V5S2-T3,V4S1-P,V1S2-T1,V3S2-T2,V2S1-T1,V3S1-D1,V6S1-T2,V4S2-T2,V4S1-T3,V2S1-D2,V2S1-D1,V4S1-T1,V8S2-T1,V5S2-T2,V6S2-T1,V8S1-D2,V2S1-D3</t>
  </si>
  <si>
    <t>L19_G05-ITS1-2</t>
  </si>
  <si>
    <t>V5S1-T1,V4S2-T3,V3S1-P,V4S2-P,V5S1-D1,V3S2-T1,V7S1-T1,V4S2-T1,V3S1-T2,V2S2-T3,V3S1-T3,V6S1-P,V5S1-D2,V2S1-T2,V8S2-T3,V3S1-T1,V2S2-P,V2S1-P,V6S2-P,V5S2-T1,V6S1-D1,V2S2-T2,V2S1-D2,V4S1-T3,V2S1-D1,V8S1-D1,V5S2-T2,V4S1-T1,V8S2-T1,V6S1-D2,V2S1-D3,V4S1-D3,V6S2-T1,V7S2-P,V6S2-T3,V1S2-T1,V3S2-T2,V5S2-T3,V7S2-T1,V4S1-P,V2S1-T1,V6S1-T2,V4S2-T2,V2S2-T1,V7S1-P,V6S1-T1,V5S1-P,V8S1-T2,V2S1-T3,V3S2-P,V1S1-T3,V3S1-D2,V5S2-P,V8S2-T2,V1S1-T1,V1S2-T3,V8S1-T3,V8S1-D3,V7S1-T3,V4S1-D2,V1S1-D3,V3S1-D3,V4S1-D1,V7S2-T2,V3S2-T3,V8S1-T1,V1S1-P,V7S2-T3,V1S2-P,V7S1-D2,V6S1-D3,V6S1-T3,V8S1-P,V7S1-D1,V7S1-T2,V5S1-D3,V5S1-T2,V1S1-D2,V5S1-T3,V1S1-T2,V8S2-P,V1S2-T2,V6S2-T2,V7S1-D3,V4S1-T2,V1S1-D1</t>
  </si>
  <si>
    <t>M18_D09-ITS1-2</t>
  </si>
  <si>
    <t>V1S1-T1,V1S2-T3,V8S2-T2,V4S1-D2,V8S1-D3,V7S1-T3,V8S1-T3,V3S2-T3,V4S1-D1,V7S2-T2,V1S1-D3,V2S2-T1,V6S1-T1,V7S1-P,V5S1-P,V5S2-P,V1S1-T3,V3S2-P,V8S1-T2,V2S1-T3,V1S1-D2,V5S1-T2,V7S1-T2,V8S1-P,V7S1-D1,V5S1-T3,V1S1-T2,V1S2-T2,V8S2-P,V1S1-D1,V4S1-T2,V7S1-D3,V6S2-T2,V8S1-T1,V7S2-T3,V1S1-P,V7S1-D2,V1S2-P,V6S1-T3,V6S1-D3,V6S1-P,V2S2-T3,V3S1-T3,V3S1-T1,V8S2-T3,V2S1-T2,V2S2-P,V2S2-T2,V6S1-D1,V5S2-T1,V6S2-P,V2S1-P,V5S1-T1,V4S2-P,V3S1-P,V4S2-T3,V7S1-T1,V3S2-T1,V5S1-D1,V4S2-T1,V6S2-T3,V7S2-P,V4S1-P,V7S2-T1,V5S2-T3,V3S2-T2,V1S2-T1,V2S1-T1,V4S2-T2,V6S1-T2,V4S1-T3,V2S1-D2,V8S1-D1,V2S1-D1,V4S1-T1,V8S2-T1,V5S2-T2,V6S2-T1,V2S1-D3,V4S1-D3,V6S1-D2</t>
  </si>
  <si>
    <t>M19_E09-ITS1-2</t>
  </si>
  <si>
    <t>V7S1-T2,V5S1-D3,V7S1-D1,V8S1-P,V1S1-D2,V5S1-T2,V1S1-T2,V5S1-T3,V1S2-T2,V8S2-P,V4S1-T2,V6S2-T2,V7S1-D3,V8S1-T1,V1S1-P,V7S2-T3,V1S2-P,V6S1-D3,V6S1-T3,V8S2-T2,V1S2-T3,V1S1-T1,V8S1-D3,V7S1-T3,V8S1-T3,V4S1-D2,V7S2-T2,V4S1-D1,V3S2-T3,V2S2-T1,V6S1-T1,V7S1-P,V5S1-P,V2S1-T3,V8S1-T2,V5S2-P,V3S2-P,V1S1-T3,V3S1-D2,V6S2-T3,V7S2-P,V3S2-T2,V1S2-T1,V4S1-P,V5S2-T3,V7S2-T1,V3S1-D1,V2S1-T1,V4S2-T2,V6S1-T2,V2S1-D2,V4S1-T3,V2S1-D1,V5S2-T2,V4S1-T1,V8S2-T1,V2S1-D3,V8S1-D2,V6S2-T1,V6S1-P,V2S2-T3,V3S1-T3,V5S1-D2,V8S2-T3,V2S1-T2,V3S1-T1,V2S2-P,V5S2-T1,V2S1-P,V6S2-P,V2S2-T2,V5S1-T1,V4S2-T3,V4S2-P,V3S1-P,V5S1-D1,V3S2-T1,V7S1-T1,V4S2-T1,V3S1-T2</t>
  </si>
  <si>
    <t>M20_F09-ITS1-2</t>
  </si>
  <si>
    <t>V1S2-T2,V8S2-P,V1S1-D1,V4S1-T2,V6S2-T2,V7S1-D3,V1S1-D2,V5S1-T2,V7S1-T2,V7S1-D1,V8S1-P,V1S1-T2,V5S1-T3,V7S1-D2,V1S2-P,V6S1-T3,V6S1-D3,V8S1-T1,V7S2-T3,V1S1-P,V4S1-D2,V8S1-T3,V8S1-D3,V7S1-T3,V3S2-T3,V4S1-D1,V7S2-T2,V1S1-D3,V1S1-T1,V1S2-T3,V8S2-T2,V5S1-P,V5S2-P,V3S2-P,V1S1-T3,V2S1-T3,V8S1-T2,V2S2-T1,V6S1-T1,V7S1-P,V2S1-T1,V4S2-T2,V6S1-T2,V6S2-T3,V7S2-P,V4S1-P,V5S2-T3,V7S2-T1,V3S2-T2,V1S2-T1,V4S1-T1,V8S2-T1,V5S2-T2,V6S2-T1,V2S1-D3,V4S1-D3,V6S1-D2,V4S1-T3,V2S1-D2,V8S1-D1,V2S1-D1,V2S2-P,V2S2-T2,V6S1-D1,V5S2-T1,V6S2-P,V2S1-P,V6S1-P,V2S2-T3,V3S1-T3,V3S1-T1,V8S2-T3,V2S1-T2,V7S1-T1,V3S2-T1,V5S1-D1,V4S2-T1,V5S1-T1,V4S2-P,V3S1-P,V4S2-T3</t>
  </si>
  <si>
    <t>N14_D11-ITS1-2</t>
  </si>
  <si>
    <t>V3S2-T1,V7S1-T1,V5S1-D1,V3S1-T2,V4S2-T1,V5S1-T1,V3S1-P,V4S2-P,V4S2-T3,V2S2-P,V6S1-D1,V2S2-T2,V2S1-P,V6S2-P,V5S2-T1,V5S1-D2,V3S1-T3,V2S2-T3,V6S1-P,V3S1-T1,V2S1-T2,V8S2-T3,V4S1-T1,V8S2-T1,V5S2-T2,V6S2-T1,V6S1-D2,V2S1-D3,V4S1-D3,V4S1-T3,V2S1-D2,V2S1-D1,V8S1-D1,V2S1-T1,V6S1-T2,V4S2-T2,V7S2-P,V6S2-T3,V5S2-T3,V7S2-T1,V4S1-P,V1S2-T1,V3S2-T2,V5S1-P,V1S1-T3,V3S1-D2,V3S2-P,V5S2-P,V2S1-T3,V8S1-T2,V2S2-T1,V7S1-P,V6S1-T1,V4S1-D2,V8S1-T3,V8S1-D3,V7S1-T3,V3S2-T3,V1S1-D3,V3S1-D3,V7S2-T2,V4S1-D1,V1S2-T3,V1S1-T1,V8S2-T2,V7S1-D2,V1S2-P,V6S1-T3,V6S1-D3,V8S1-T1,V7S2-T3,V1S1-P,V8S2-P,V1S2-T2,V1S1-D1,V7S1-D3,V6S2-T2,V4S1-T2,V5S1-T2,V1S1-D2,V8S1-P,V7S1-D1,V5S1-D3,V7S1-T2,V1S1-T2,V5S1-T3</t>
  </si>
  <si>
    <t>N7_E10-ITS1-2</t>
  </si>
  <si>
    <t>V3S1-T2,V4S2-T1,V3S2-T1,V7S1-T1,V5S1-D1,V3S1-P,V4S2-P,V4S2-T3,V5S1-T1,V2S2-T2,V2S1-P,V6S2-P,V5S2-T1,V2S2-P,V3S1-T1,V2S1-T2,V8S2-T3,V5S1-D2,V2S2-T3,V3S1-T3,V6S1-P,V6S2-T1,V8S1-D2,V2S1-D3,V8S2-T1,V4S1-T1,V5S2-T2,V2S1-D1,V4S1-T3,V2S1-D2,V6S1-T2,V4S2-T2,V2S1-T1,V3S1-D1,V7S2-T1,V5S2-T3,V4S1-P,V1S2-T1,V3S2-T2,V6S2-T3,V7S2-P,V3S2-P,V1S1-T3,V3S1-D2,V5S2-P,V8S1-T2,V2S1-T3,V5S1-P,V6S1-T1,V7S1-P,V2S2-T1,V3S2-T3,V4S1-D1,V7S2-T2,V4S1-D2,V7S1-T3,V8S1-D3,V8S1-T3,V1S2-T3,V1S1-T1,V8S2-T2,V6S1-T3,V6S1-D3,V1S2-P,V7S2-T3,V1S1-P,V8S1-T1,V6S2-T2,V7S1-D3,V4S1-T2,V8S2-P,V1S2-T2,V1S1-T2,V5S1-T3,V5S1-T2,V1S1-D2,V7S1-D1,V8S1-P,V5S1-D3,V7S1-T2</t>
  </si>
  <si>
    <t>N15_E11-ITS1-2</t>
  </si>
  <si>
    <t>V8S1-D1,V2S1-D1,V4S1-T3,V2S1-D2,V6S2-T1,V4S1-D3,V2S1-D3,V6S1-D2,V4S1-T1,V8S2-T1,V5S2-T2,V4S1-P,V5S2-T3,V7S2-T1,V3S2-T2,V1S2-T1,V7S2-P,V6S2-T3,V4S2-T2,V6S1-T2,V2S1-T1,V4S2-P,V3S1-P,V4S2-T3,V5S1-T1,V3S1-T2,V4S2-T1,V3S2-T1,V7S1-T1,V5S1-D1,V3S1-T1,V8S2-T3,V2S1-T2,V5S1-D2,V6S1-P,V3S1-T3,V2S2-T3,V2S2-T2,V6S1-D1,V5S2-T1,V2S1-P,V6S2-P,V2S2-P,V7S2-T3,V1S1-P,V8S1-T1,V6S1-T3,V6S1-D3,V7S1-D2,V1S2-P,V1S1-T2,V5S1-T3,V1S1-D2,V5S1-T2,V5S1-D3,V7S1-T2,V7S1-D1,V8S1-P,V1S1-D1,V4S1-T2,V6S2-T2,V7S1-D3,V1S2-T2,V8S2-P,V7S1-P,V6S1-T1,V2S2-T1,V5S2-P,V1S1-T3,V3S2-P,V3S1-D2,V8S1-T2,V2S1-T3,V5S1-P,V1S2-T3,V1S1-T1,V8S2-T2,V3S2-T3,V3S1-D3,V7S2-T2,V4S1-D1,V1S1-D3,V4S1-D2,V7S1-T3,V8S1-D3,V8S1-T3</t>
  </si>
  <si>
    <t>N8_F10-ITS1-2</t>
  </si>
  <si>
    <t>V1S2-T2,V8S2-P,V4S1-T2,V7S1-D3,V6S2-T2,V1S1-D1,V7S1-T2,V5S1-D3,V7S1-D1,V8S1-P,V1S1-D2,V5S1-T2,V1S1-T2,V5S1-T3,V1S2-P,V7S1-D2,V6S1-D3,V6S1-T3,V8S1-T1,V1S1-P,V7S2-T3,V8S1-T3,V8S1-D3,V7S1-T3,V4S1-D2,V3S1-D3,V4S1-D1,V7S2-T2,V1S1-D3,V3S2-T3,V8S2-T2,V1S2-T3,V1S1-T1,V5S1-P,V2S1-T3,V8S1-T2,V5S2-P,V3S2-P,V1S1-T3,V3S1-D2,V2S2-T1,V7S1-P,V6S1-T1,V2S1-T1,V4S2-T2,V6S1-T2,V7S2-P,V6S2-T3,V3S2-T2,V1S2-T1,V4S1-P,V7S2-T1,V5S2-T3,V5S2-T2,V8S2-T1,V4S1-T1,V4S1-D3,V2S1-D3,V6S1-D2,V6S2-T1,V2S1-D2,V4S1-T3,V8S1-D1,V2S1-D1,V2S2-P,V5S2-T1,V6S2-P,V2S1-P,V2S2-T2,V6S1-D1,V6S1-P,V3S1-T3,V2S2-T3,V5S1-D2,V8S2-T3,V2S1-T2,V3S1-T1,V5S1-D1,V7S1-T1,V3S2-T1,V4S2-T1,V3S1-T2,V5S1-T1,V4S2-T3,V4S2-P,V3S1-P</t>
  </si>
  <si>
    <t>N1_G09-ITS1-2</t>
  </si>
  <si>
    <t>V8S2-T2,V1S1-T1,V1S2-T3,V1S1-D3,V3S1-D3,V7S2-T2,V4S1-D1,V3S2-T3,V8S1-T3,V8S1-D3,V7S1-T3,V4S1-D2,V7S1-P,V6S1-T1,V2S2-T1,V2S1-T3,V8S1-T2,V1S1-T3,V3S2-P,V3S1-D2,V5S2-P,V5S1-P,V1S1-T2,V5S1-T3,V8S1-P,V7S1-D1,V7S1-T2,V5S1-D3,V5S1-T2,V1S1-D2,V7S1-D3,V6S2-T2,V4S1-T2,V1S1-D1,V8S2-P,V1S2-T2,V1S1-P,V7S2-T3,V8S1-T1,V6S1-D3,V6S1-T3,V1S2-P,V7S1-D2,V2S1-T2,V8S2-T3,V3S1-T1,V3S1-T3,V2S2-T3,V6S1-P,V5S1-D2,V6S2-P,V2S1-P,V5S2-T1,V6S1-D1,V2S2-T2,V2S2-P,V4S2-T3,V3S1-P,V4S2-P,V5S1-T1,V4S2-T1,V3S1-T2,V5S1-D1,V3S2-T1,V7S1-T1,V1S2-T1,V3S2-T2,V7S2-T1,V5S2-T3,V4S1-P,V7S2-P,V6S2-T3,V6S1-T2,V4S2-T2,V2S1-T1,V2S1-D1,V8S1-D1,V2S1-D2,V4S1-T3,V6S1-D2,V2S1-D3,V4S1-D3,V6S2-T1,V5S2-T2,V8S2-T1,V4S1-T1</t>
  </si>
  <si>
    <t>F1_H11-ITS1-3</t>
  </si>
  <si>
    <t>2b6e0e39d26b7c41428a8c64fcb6f6c6</t>
  </si>
  <si>
    <t>k__Fungi p__Ascomycota c__Dothideomycetes o__Capnodiales f__Cladosporiaceae g__Cladosporium NA</t>
  </si>
  <si>
    <t>H13_B10-ITS1-3</t>
  </si>
  <si>
    <t>3257b88e6642fbe5e3f0e1a62b260a1c</t>
  </si>
  <si>
    <t>K14_F02-ITS1-2</t>
  </si>
  <si>
    <t>be8ac135fdc55c90b4189c8b919c6fae</t>
  </si>
  <si>
    <t>M1_D07-ITS1-2</t>
  </si>
  <si>
    <t>fc9068e329b2804abc6f497b31e97ecd</t>
  </si>
  <si>
    <t>D3_H05-ITS1-1</t>
  </si>
  <si>
    <t>c17e08322eccbad7ba6687e90d1f98bc</t>
  </si>
  <si>
    <t>H4_A09-ITS1-3</t>
  </si>
  <si>
    <t>ba919cd17d9c6f15c2a7555a36bc9400</t>
  </si>
  <si>
    <t>J12_H04-ITS1-3</t>
  </si>
  <si>
    <t>K8_H01-ITS1-2</t>
  </si>
  <si>
    <t>L12_H04-ITS1-2</t>
  </si>
  <si>
    <t>c20e2b785f2596157c54e112a2c7f31e</t>
  </si>
  <si>
    <t>F16_G06-ITS1-2</t>
  </si>
  <si>
    <t>053d181261170c3019605544731a707c</t>
  </si>
  <si>
    <t>k__Fungi p__Ascomycota c__Dothideomycetes o__Capnodiales f__Cladosporiaceae g__Cladosporium s__ramotenellum</t>
  </si>
  <si>
    <t>N2_H09-ITS1-2</t>
  </si>
  <si>
    <t>c725d706831f4a8eb7e785b02a3ece56</t>
  </si>
  <si>
    <t>M2_E07-ITS1-2</t>
  </si>
  <si>
    <t>b4a7cc599a1e520efa3227e2f056c42d</t>
  </si>
  <si>
    <t>E1_C11-ITS1-1</t>
  </si>
  <si>
    <t>af717ed931756e894c47aff0e488af28</t>
  </si>
  <si>
    <t>k__Fungi p__Ascomycota c__Dothideomycetes o__Dothideales f__Aureobasidiaceae g__Aureobasidium s__melanogenum</t>
  </si>
  <si>
    <t>A12_C02-ITS1-1</t>
  </si>
  <si>
    <t>6bd806df4f5241ad573fbe834fec60cc</t>
  </si>
  <si>
    <t>k__Fungi p__Ascomycota c__Dothideomycetes o__Pleosporales f__Didymellaceae g__Didymella NA</t>
  </si>
  <si>
    <t>B9_C04-ITS1-1</t>
  </si>
  <si>
    <t>0015a7cb541ac25dd2da5aa21345f83b</t>
  </si>
  <si>
    <t>k__Fungi p__Ascomycota c__Dothideomycetes o__Pleosporales f__Didymellaceae g__Epicoccum s__dendrobii</t>
  </si>
  <si>
    <t>C3_C08-ITS1-1</t>
  </si>
  <si>
    <t>8c71a08def69425133780ee1b4a754fd</t>
  </si>
  <si>
    <t>D1_F05-ITS1-1</t>
  </si>
  <si>
    <t>48b7de6c5237eb8359d2ecbccdbd863c</t>
  </si>
  <si>
    <t>E20_G11-ITS1-3</t>
  </si>
  <si>
    <t>e347e6736156eb20e3e7d8f207b6b0f0</t>
  </si>
  <si>
    <t>F20_C07-ITS1-2</t>
  </si>
  <si>
    <t>25e7907d34e201f7e89e14b8b4f47f46</t>
  </si>
  <si>
    <t>F2_A12-ITS1-3</t>
  </si>
  <si>
    <t>2f89b4b3be38741ccfff1537d99de255</t>
  </si>
  <si>
    <t>G19_C08-ITS1-3</t>
  </si>
  <si>
    <t>bb968bd4c484b22d731fa6b336412462</t>
  </si>
  <si>
    <t>G20_D08-ITS1-3</t>
  </si>
  <si>
    <t>187022ff9b5d544b85f9979c47b651a1</t>
  </si>
  <si>
    <t>I8_H01-ITS1-3</t>
  </si>
  <si>
    <t>J13_A05-ITS1-3</t>
  </si>
  <si>
    <t>6a24fad4e6422f0a7c4188b3a5e43df3</t>
  </si>
  <si>
    <t>J6_B04-ITS1-3</t>
  </si>
  <si>
    <t>fb8d2b0b5ed4fa1343ca1bac07231ac3</t>
  </si>
  <si>
    <t>L14_B05-ITS1-2</t>
  </si>
  <si>
    <t>aa3d1989176aed22ee9b4f8bbc5f959d</t>
  </si>
  <si>
    <t>N22_D12-ITS1-2</t>
  </si>
  <si>
    <t>a16031be254f422e187f814e749fa6d8</t>
  </si>
  <si>
    <t>D13_B07-ITS1-1</t>
  </si>
  <si>
    <t>dc617c2056ac0bfbf8a388f27ae72e4b</t>
  </si>
  <si>
    <t>k__Fungi p__Ascomycota c__Dothideomycetes o__Pleosporales f__Pleosporaceae g__Alternaria s__betae-kenyensis</t>
  </si>
  <si>
    <t>B4_F03-ITS1-1</t>
  </si>
  <si>
    <t>fc2b542ab56cbb1ffbf29cb4f6e3c4d5</t>
  </si>
  <si>
    <t>N13_C11-ITS1-2</t>
  </si>
  <si>
    <t>10b6db12f5c3394ddaf1806b3168db17</t>
  </si>
  <si>
    <t>k__Fungi p__Ascomycota c__Dothideomycetes o__Pleosporales NA NA NA</t>
  </si>
  <si>
    <t>B16_A05-ITS1-1</t>
  </si>
  <si>
    <t>51927e3d3294da715906ad80f22dc9d0</t>
  </si>
  <si>
    <t>H18_G10-ITS1-3</t>
  </si>
  <si>
    <t>6e3d0a993f714ea01cb5e1423ce1ccb1</t>
  </si>
  <si>
    <t>k__Fungi p__Ascomycota c__Eurotiomycetes o__Eurotiales f__Aspergillaceae g__Penicillium NA</t>
  </si>
  <si>
    <t>K5_E01-ITS1-2</t>
  </si>
  <si>
    <t>84e8391d6bbc5edb185649112145dda7</t>
  </si>
  <si>
    <t>K7_G01-ITS1-2</t>
  </si>
  <si>
    <t>C24_G10-ITS1-1</t>
  </si>
  <si>
    <t>ab4ed5cee4237bfe049b3ef180b21733</t>
  </si>
  <si>
    <t>k__Fungi p__Ascomycota c__Eurotiomycetes o__Eurotiales f__Aspergillaceae g__Penicillium s__dierckxii</t>
  </si>
  <si>
    <t>I2_B01-ITS1-3</t>
  </si>
  <si>
    <t>0760652c25dcbf278319e8a63517a27d</t>
  </si>
  <si>
    <t>k__Fungi p__Ascomycota c__Eurotiomycetes o__Eurotiales f__Aspergillaceae g__Penicillium s__paczoskii</t>
  </si>
  <si>
    <t>J19_G05-ITS1-3</t>
  </si>
  <si>
    <t>6130602247bb387cca58721be06bec13</t>
  </si>
  <si>
    <t>k__Fungi p__Ascomycota c__Leotiomycetes o__Helotiales f__Sclerotiniaceae g__Botryotinia s__pelargonii</t>
  </si>
  <si>
    <t>C4_D08-ITS1-1</t>
  </si>
  <si>
    <t>a61a9a7235b9e64daf205797aaf17ca0</t>
  </si>
  <si>
    <t>k__Fungi p__Ascomycota c__Sordariomycetes NA NA NA NA</t>
  </si>
  <si>
    <t>F11_B06-ITS1-2</t>
  </si>
  <si>
    <t>6cc4d0fe71afbf9ec00b0574cc62b6f0</t>
  </si>
  <si>
    <t>k__Fungi p__Ascomycota c__Sordariomycetes o__Diaporthales f__Valsaceae g__Cryptosphaeria NA</t>
  </si>
  <si>
    <t>G3_C06-ITS1-3</t>
  </si>
  <si>
    <t>5a43eff8a0183f2ebe0785c16df59356</t>
  </si>
  <si>
    <t>M4_G07-ITS1-2</t>
  </si>
  <si>
    <t>a1e383fddd40164bc63d552d24ea2aac</t>
  </si>
  <si>
    <t>C13_E09-ITS1-1</t>
  </si>
  <si>
    <t>3be6fa6d15ad7b2ee0cb3430fc405250</t>
  </si>
  <si>
    <t>k__Fungi p__Ascomycota c__Sordariomycetes o__Glomerellales f__Plectosphaerellaceae g__Acrostalagmus s__luteoalbus</t>
  </si>
  <si>
    <t>B17_B05-ITS1-1</t>
  </si>
  <si>
    <t>2382c023cc5c9daff1db32b5fe92b5dd</t>
  </si>
  <si>
    <t>J15_C05-ITS1-3</t>
  </si>
  <si>
    <t>8aa0df61842ae60e064423a642ef983f</t>
  </si>
  <si>
    <t>L2_F03-ITS1-2</t>
  </si>
  <si>
    <t>9c191e6595d3ab3cd26bd3c5470f840b</t>
  </si>
  <si>
    <t>L3_G03-ITS1-2</t>
  </si>
  <si>
    <t>c58021f64685a4f9951db8e3d2915d09</t>
  </si>
  <si>
    <t>N6_D10-ITS1-2</t>
  </si>
  <si>
    <t>868148dacba93d9610b57ae92e062890</t>
  </si>
  <si>
    <t>M11_F08-ITS1-2</t>
  </si>
  <si>
    <t>2d972e5972436e610b5d0c66152a03a2</t>
  </si>
  <si>
    <t>E15_B11-ITS1-3</t>
  </si>
  <si>
    <t>f5c303e9eef9a46b52198b896deacfe0</t>
  </si>
  <si>
    <t>k__Fungi p__Ascomycota c__Sordariomycetes o__Hypocreales f__Nectriaceae NA NA</t>
  </si>
  <si>
    <t>G7_G06-ITS1-3</t>
  </si>
  <si>
    <t>a2f261ae7bbe4ba4ca4dd7c93c1ce18f</t>
  </si>
  <si>
    <t>k__Fungi p__Ascomycota NA NA NA NA NA</t>
  </si>
  <si>
    <t>J14_B05-ITS1-3</t>
  </si>
  <si>
    <t>7bf06e2f6e555a3c6e3507c22e19d072</t>
  </si>
  <si>
    <t>J4_H03-ITS1-3</t>
  </si>
  <si>
    <t>a3a1ee73b0ae97a687a580f50d1bf5d3</t>
  </si>
  <si>
    <t>K10_B02-ITS1-2</t>
  </si>
  <si>
    <t>b0a8e68d2159c8655c4a243e9206a34f</t>
  </si>
  <si>
    <t>B6_H03-ITS1-1</t>
  </si>
  <si>
    <t>70d2ca75850c91485bd06c281590cc87</t>
  </si>
  <si>
    <t>C14_F09-ITS1-1</t>
  </si>
  <si>
    <t>4126846a463926fb8bf81199e84f3ec1</t>
  </si>
  <si>
    <t>k__Fungi p__Basidiomycota c__Tremellomycetes o__Tremellales f__Bulleribasidiaceae g__Hannaella s__zeae</t>
  </si>
  <si>
    <t>B7_A04-ITS1-1</t>
  </si>
  <si>
    <t>ee13f318000493cda0d015bc52ac6ca3</t>
  </si>
  <si>
    <t>k__Fungi p__Basidiomycota c__Tremellomycetes o__Tremellales f__Bulleribasidiaceae g__Vishniacozyma s__heimaeyensis</t>
  </si>
  <si>
    <t>D7_D06-ITS1-1</t>
  </si>
  <si>
    <t>f1cb9640b216d4cc6bc26b8f3ebc3a70</t>
  </si>
  <si>
    <t>E19_F11-ITS1-3</t>
  </si>
  <si>
    <t>ac7f742c7ccc3c525f511f915975bab5</t>
  </si>
  <si>
    <t>F4_C12-ITS1-3</t>
  </si>
  <si>
    <t>c009fe5ca273a926c681bac3306bebd9</t>
  </si>
  <si>
    <t>H10_G09-ITS1-3</t>
  </si>
  <si>
    <t>3c9429d027a1739ec202ec1c5d308dd4</t>
  </si>
  <si>
    <t>H11_H09-ITS1-3</t>
  </si>
  <si>
    <t>926fbadda403e583392b5ad5d5d50605</t>
  </si>
  <si>
    <t>A14_E02-ITS1-1</t>
  </si>
  <si>
    <t>0dd9b582a35fc0eed272ec6613720e5a</t>
  </si>
  <si>
    <t>k__Fungi p__Basidiomycota c__Tremellomycetes o__Tremellales f__Bulleribasidiaceae g__Vishniacozyma s__victoriae</t>
  </si>
  <si>
    <t>C16_H09-ITS1-1</t>
  </si>
  <si>
    <t>4218533f5e5ee20a415dab88c1269a66</t>
  </si>
  <si>
    <t>I20_D03-ITS1-3</t>
  </si>
  <si>
    <t>882cd10966b07ceaa38319ed154fdf76</t>
  </si>
  <si>
    <t>A3_C01-ITS1-1</t>
  </si>
  <si>
    <t>0dfe22eebe628194545f391c17a06c84</t>
  </si>
  <si>
    <t>k__Fungi p__Mucoromycota c__Mucoromycetes o__Mucorales f__Rhizopodaceae g__Rhizopus s__arrhizus</t>
  </si>
  <si>
    <t>IE</t>
  </si>
  <si>
    <t>MD5</t>
  </si>
  <si>
    <t>CAGAACCAAGAGATCCGTTGTTAAAAGTTTTAATTTATTAATTAAGTTTACTCAGACTGCAAAGTTACGCAAGAGTTTGAAGTGTCCACCCGGAGCCCCCGCCCGAAGGCAGGGTCGCCCCGGAGGCAACAGAGTCGGACAACAAAGGGTTATGAACATC</t>
  </si>
  <si>
    <t>CAGAACCAAGAGATCCGTTGTTGAAAGTTGTAATTATTAATTTGTTACTGACGCTGATTGCAATTACAAAAGGTTTATGTTTGTCCTAGTGGTGGGCGAACCCACCAAGGAAACAAGAAGTACGCAAAAGACAAGGGTGAATAATTCAGCAAGGCTGTAA</t>
  </si>
  <si>
    <t>CAGAACCAAGAGATCCGTTGTTGAAAGTTGTAATAATTACATTGTTTACTGACGCTGATTGCAATTACAAAAAGGTTTATGGTTTGGTCCTGGTGGCGGGCGAACCCGCCCAGGAAACAAGAAGTGCGCAAAAGACATGGGTGAATAATTCAGACAAGCT</t>
  </si>
  <si>
    <t>TGGAGCCAAGAGATCCGTTGTTGAAAGTTTTAACAGTTCGCTTAGAACACTCAGAAGTATCGTCGGGTTCGAACAGAGATTCTGATAATGCCGGCGGGCACGCCCCGAGAGGCGCGCCGCCGAAGCAACAGGTATGAAGGTTCACAAAGGGTTATGAGTT</t>
  </si>
  <si>
    <t>CGGAACCAAGAGATCCATTGTTGAAAGTTTTAACTGATTGCGATACAATCGACTCAGACGACAAAACTTCAGACAGTGTTCACGTTGGTGTCTCCGGCGAGCGCTGTGCCCCCTAAAAGAAAAAGGGGGCGGGCTCGCCGAAGCAACAAGGTACGGTATA</t>
  </si>
  <si>
    <t>CAGAACCAAGAGATCCGTTGTTGAAAGTTGTAACTATTAAGTTTTTTCAGACGCTGATTGCAACTGCAAATGGTTTAAATTGTCCAATCGGCGGGCGGACCCGCCGAGGAAACGAAGGACTCAAAAGACATGGGTAAGAGATAGCAGGCAAAGCCTACAC</t>
  </si>
  <si>
    <t>CGGAACCAAGAGATCCGTTGTTGAAAGTTTTAAATAATTTATATTTTGTCTCAGACTACAATCTTCAGACAGAGTTCAAGGTGTCTCCGGCGAGCGCGGACCCGGGGGCAGATGCCCCCCGGCAGCCCGAAGGCAGGCTCGCCGAAGCAACAAGGTAAAA</t>
  </si>
  <si>
    <t>CGGAACCAAGAGATCCGTTGTTGAAAGTTTTAAATAATTTATATTTTCACTCAGACTTCAATCTTCAGACAGAGTTCGGGGGTGTCTTCGGCGGGCGCGGGCCCGGGGGCGTGAGCCCCCCGGCGGCCAGTAAAGGCGGGCCCGCCGAAGCAACAAGGTA</t>
  </si>
  <si>
    <t>GAGAGCCAAGAGATCCGTTGTTAAAAGTTTTGTTTTTGTTATGATTTTACATTCATTACTAACAGTTTGTGATGGCCGAAGCCACAGTTCACGGTGTGTATGGAAACCCTCCTCTTGCGAGGAGAGCAGATCTAACCCAATGACTTGCATTCAGAGGCAC</t>
  </si>
  <si>
    <t>GAGAACCAAGAGATCCATTGTTAAAAGTTGTTTTTTATTAAACTTTATAATACTGAATTTCTAGGTTTATTATGAAGGGTACTCCTGAAACCAGGAGTGGCATCGATCAAACCCCAGATAGGTCTACCCATGACCAGTCTGAGTCTCTCAGCCAAATTTT</t>
  </si>
  <si>
    <t>CGGAACCAAGAGATCCATTGTTGAAAGTTTTAACTGATTGCGATACAATCGACTCAGACGACAAAACTTCAGACAGTGTTCACGTTGGTGTCTCCGGCGAGCGCTGTGCCCCCTAAAAGAAAAAGGGGGCGGGCTCGCCGAAGCAACAAGGGTACCGGTA</t>
  </si>
  <si>
    <t>TGGAGCCAAGAGATCCGTTGTTGAAAGTTTTAACAGTTCGCTTAGAACACTCAGAAGTATCGTCGGGTTCGAACAGAGATTCTGATTACGGCGGCGGGCACGCCCCGAGAGGCGCGCCGCCGAAGCAACAGGTATGAAGGATTCACAAAGGGCTATGAGC</t>
  </si>
  <si>
    <t>CAGAACCAAGAGATCCGTTGTTGAAAGTTGTAACTATTATGTTTTTTCAGACGCTGATTGCAACTGCAAAGGGTTTGAATGTTGTCCAATCGGCGGGCGGACCCGCCGAGGAAACGAAGGTACTCAAAAGACATGGGTAAGAGGTAGCAGCCCGAAGTCT</t>
  </si>
  <si>
    <t>CAGAAGCAAGAGATCCGTTGTTGAAAGTTGTAATAATTACTTTGTTTTCTGACGCTGATTGCAATTACAAAAAGGTTTATGGTTTGGTCCTGGTCGCGGGCGAACCCGCCCAGGAAACAAGAAGTGCGCAAAAGACATGGGTGAATAATTCAGACAAGCT</t>
  </si>
  <si>
    <t>CAGAACCAAGAGATCCGTTGTTGAAAGTTTTAATTTATTAATTAAATTTACTCAGACTGCAAAGTTACGCAAGAGTTTTGATGTGTCCACCCGGGGCCCCCGCCCGTGAAAAGGCAGGGTCGCCCCGGAGGCAACAGAGTCGGACAACAAAGGGTTATGA</t>
  </si>
  <si>
    <t>GAGAGCCAAGAGATCCGTTGTTAAAAGTTTTATGTTTGTTATGATGTTACATTCATTACTAACAGTTTGTGTAAATGGCCGAAGCCACAGTTCACGGTGTGTGAGATAAGGTCGACTCCGAAGAGACCGACACAAACCCTACCCAGTCCCAAAGACTCGA</t>
  </si>
  <si>
    <t>GAGAGCCAAGAGATCCGTTGCCGAAAGTTTTGTTTTGTTATGTTGCTCTTTCGAGACTTGTTTTACATTCTTAAAACTATAGAGTTAAAAAATGGTATAAAGAGTAGTGTGTGCACAGAGTAAAGGTAAATGTAATGGTCGGCCTCTAAAGAGCGTCTGA</t>
  </si>
  <si>
    <t>CGGAACCAAGAGATCCGTTGTTGAAAGTTTTAACTGATTTAGTCAAGTACTCAGACTGCAATCTTCAGACAAGAGTTCGTTTGTGTGTCTTCGGCGGGCGCGGGCCCGGGGGCAGATGCCCCCCGGCGGCCGTGAGGCGGGCCCGCCGAAGCAACAAGGT</t>
  </si>
  <si>
    <t>CAGAACCAAGAGATCCGTTGTTGAAAGTTTTGATTTATTTGTTTGTTTTACTCAGAAGTTCCACTAAAAACAGAGTTTAGGGTCCTCGGGCGGGCCGTCCCTTTTTACAGGGCGCGGGCTGATCCGCCGAGGCAACGTATAGGTATGTTCACAGGGGTTT</t>
  </si>
  <si>
    <t>CAGAACCAAGAGATCCGTTGTTGAAAGTTGTAACTATTAAGTTTTTTCAGACGCTGATTGCAACTGCAAAGGGTTTGAATGTTGTCCAACCGGCGGGCGGACCCGCCGAGGAAACGAAGGTACTCAAAAGACATGGGTAAGAGGTAGCAGACCGAATCCC</t>
  </si>
  <si>
    <t>AGGAGCCAAGAGATCACGTTGTTGAAAGTTTTAACAGTTAGCTTAGAACAGTCAGATGTATCGTCGGGTTCAAACAGAGATTCCGATGATACCGGAGGTCACCCCCACCGGCGGGGCGGCGCCTCCGAAGCAAACAGGTATAAAGGTTCACAAAAGGCTT</t>
  </si>
  <si>
    <t>TGGAGCCAAGAGATCCGTTGTTGAAAGTTTTAACAGTTCGCTTAGAACACTCAGATGTATCGTCGGGTTCAAACAGAGATTCTGATGATACCGGCGGGCACGCCCCGGAGGGCGCGCCGCCGAAGCAACAGGTATAAAGGTTCACAAAGGGTTATGAGTT</t>
  </si>
  <si>
    <t>TGGAGCCAAGAGATCCGTTGTTGAAAGTTTTAACAGTTCGCTAAGAACACTCAGATGTAACGTCGATTCACAACTAAGAGACTATAATTGGCCAGGCGGGGCACTGCTCACGGAGGCGCGCCGCCGAACGCAACTAGGTATAATGGTTCACAAAGGGTTA</t>
  </si>
  <si>
    <t>CAGAACCAAGAGATCCGTTGTTGAAAGTTTTAATTTATTAATTAAATTTACTCAGACTGCAAAGTTACGCAAGAGTTTGAAGTGTCCACCCGGAGCCCCCGCCCGAAGGCAGGGTCGCCCCGGAGGCAACAGAGTCGGACAACAAAGGGTTATGAACATC</t>
  </si>
  <si>
    <t>CGGAACCAAGAGATCCGTTGTTGAAAGTTTTAACTAATTTAGCTAGTTTCTCAGACTGCAACTTCAGACAGCGTTCAGAGGGGGGCTTCGGCGGGCGCGGGCCCGGGGGCGGATGCCCCCCGGCGGCCTAGGCGGCGGGCCCGCCGAAGCAACACAGGTT</t>
  </si>
  <si>
    <t>GAGAGCCAAGAGATCCGTTGTTGAAAGTTGTATTTGTTATAATAATTTACATTCATTACACTGATGTTTGTATAATATCGCCGAAGCGACAAAATGCACAGGTGTTAAGGGATTATAAAGTTACCCGGAGTTACATCTTTATTT</t>
  </si>
  <si>
    <t>GAGAGCCAAGAGATCCGTTGTTAAAAGTTTTGTTTTTGTTATGATATTACATTCATTACTAACAGTTTGTGATGGCCGAAGCCACAGTTCACGGTGTATATGGAAGCCCTCATCTTGCGATAAGGGCAGATCTAACCCCAAATGATTTGCATTCAATTGG</t>
  </si>
  <si>
    <t>CAGAACCAAGAGATCCGTTGTTGAAAGTTGTAATTATTAATTTGTTACTGACGCTGATTGCAATTACAAAAGGTTTATGTTTGTCCTAGTGGTGGGCGAACCCACCAAGGAAACAAGAAAGTACGCAAAAGACAAGGGTGAATAATTCAGCAAGGCTGTA</t>
  </si>
  <si>
    <t>CAGAGCCAAGAGATCCGTTGTTGAAAGTTTTGATTCATTTGTTTTTTTTACTCAGAAGATTCACTGTGTAATACAAAGGGTTTGTGTTTTCCCCCGGCGGTCGCCTGGGTCCGGTCGCCGAAGCGCCGGGGCGGGTCCGCCGAAGCAACGTGTAGGTAAG</t>
  </si>
  <si>
    <t>CAGAACCAAGAGATCCGTTGTTGAAAGTTTTGATTTATTTGTTTGTTTTACTCAGAAGTTCCACTAAAAACAGAGTTTAGGGGTCCTCGGGCGGGCCGTCCCTTTTTACGGGGCGCGGGCTGATCCGCCGAGGCAACGTATAGGTATGTTCACAGGGGTT</t>
  </si>
  <si>
    <t>CAGAACCAAGAGATCCGTTGTTGAAAGTTGTAACTATTAAGTTTTTTCAGACGCTGATTGCAACTGCAAAGGGTTTGAATGTTGTCCAACCGGCGGGCGGACCCGCCGAGGAAACGAAGGTACTCAAAAGACATGGGTAAGAGGTAGCAGACCCGAAGTC</t>
  </si>
  <si>
    <t>CAGAACCAAGAGATCCGTTGTTAAAAGTTTTAATTTATTAATTAAGTTTACTCAGACTGCAAAGTTACGCAAGAGTTTGAAGTGTCCACCCGGAGCCCCCGCCCGAAGGCAGGGTCGCCCCGGAGGCAACAGAGTCGGACAACAAAGGGTTATGAACATT</t>
  </si>
  <si>
    <t>GAGAGCCAAGAGATCCGTTGTTAAAAGTTTTATGTTTGTTATGATGTTACATTCATTACTAACAGTTTGTGTAAATGGCCGAAGCCACAGTTCACGGTGTGTGAGATAAGGTCGACTCCGAAGAGACCGACACAAACCCTACCAGTCCCAAAGACTCGAG</t>
  </si>
  <si>
    <t>GAGAACCAAGAGATCCGTTGTTGAAAGTTTTGATTTATTCAAAATTTTAACTCAGACGACCGGTTAAATAACAAGAGTTTGGTTTAACTCTGGCGAGCGCTCGCCTGGGACGAATCGCCAGCGGCTCGAGACCGAGCGGTCCCGCCAAAGCAACAAGGTA</t>
  </si>
  <si>
    <t>GAGAACCAAGAGATCCGTTGTTGAAAGTTTTGATTTATTCAAAATTTTAACTCAGACGACCGGTTAAATAACAAGAGTTTGGTTTAACTCTGGCGGGCGCTCGCCTGGGACGAATCCCCAGCGGCTCGAGACCGAGCGGTCCCGCCAAAGCAACAAGGTA</t>
  </si>
  <si>
    <t>CAGAACCAAGAGATCCGTTGTTGAAAGTTTTGATTTATTTGTTTGTTTTACTCAGAAGTTACAATAAGAAACATTAGAGTTTGGGTCCTCCAGCGGGCCGTCACGTTTTACGGGGCGCGGGCTGATCCCCCGAGGCAACATTTAAGGTACGTTCACAGGG</t>
  </si>
  <si>
    <t>CAGAACCAAGAGATCCGTTGTTGAAAGTTGTAATTATTAATTTGTTACTGACGCTGATTGCAATTACAAAAGGTTTATGTTTGTCCTAGTGGTGGGCGAACCCACCAAGGAAACAAGAAGTACGCAAAAGACAAGGGTGAATAATTCAAGCAAGGCTGTA</t>
  </si>
  <si>
    <t>GAGAGCCAAGAGATCCGTTGTTAAAAGTTTTATGTTTGTTATGATATTACATTCATTACTAACAGTTTGTGTAAATGGCCGAAGCCACAGTTCACGGTGTGTGAGATAAGGTCGACTCCGAAGAGACCGACACAAACCCTACCCAGTCCCAAAGGCTTCG</t>
  </si>
  <si>
    <t>CAGAAGCAAGAGATACGTTGTTGAAAGTTGTAATTATTAATTTGTTAATGACGATGATTGCACAGCAAAAAATTATGTTTGTCCTAGAGGTGGCGCCCCACCACGCTAAGCGTCACCCCCGACAAGGGTGAATGATTAAGGGAGGATGGGAAAGAGGCCC</t>
  </si>
  <si>
    <t>CAGAGCCAAGAGATCCGTTGTTGAAAGTTGTAATTATTAATTTGTTATTGACGCGGATTGCAATTACAAAAGGTTTATGTTTGTCCTAGTGGTGGCCGACCCACCAACGCCCCTTTGATCCAAAAGCAAGGGTGAATAATAAGCAAGGTGAACAGGAGCC</t>
  </si>
  <si>
    <t>CAGAACCAAGAGATCCGTTGTTAAAAGTTTTAATTTATTAATTAAGTTTACTCAGACTGCAAAGTTACGCAAGAGTTTGAAGTGTCCACCCGGAGCCCCCGCCCGATGGCAGGGTCGCCCCGGAGGCAACAGAGTCGGACAACAAAGGGTTATGACACCC</t>
  </si>
  <si>
    <t>CAGAACCAAGAGATCCGTTGTTGAAAGTTGTAATTATTAATTTGTTACTGACGCTGATTGCAATTACAAAAGGTTTATGTTTGTCCTAGTGGTGGGCGAACCCACCAAGGAAACAAGAAGTACGCAAAAGACAAGGGTGAATAATTCAGCAAGGCTGAAC</t>
  </si>
  <si>
    <t>CAGAACCAAGAGATCCGTTGTTAAAAGTTTTAATTTATTAATTAAGTTTACTCAGACTGCAAAGTTACGCAAGAGTTTGACAGTGTCCACCCGGAGCACCCGCCCGAAGGCAGGGTCGCCCCGGAGGCAACAGAGTCGGACAACAAAGGGTTATGAACAT</t>
  </si>
  <si>
    <t>GAGAGCCAAGAGATCCGTTGTTAAAAGTTTTATGTTTGTTATGATATTACATTCATTACTAACAGTTTGTGTAAATGGCCGAAGCCACAGTTCACGGTGTGTGAGATAAGGTCGACTCCGAAGAGACCGACACAAACCCTACCCAGTCCCAAAGACTTCG</t>
  </si>
  <si>
    <t>CAGACCCCAGAGATCCGTGGTTGAAGGTTCTAAAGATTAATTTTTAAAGCGTTGCAGCAACTCAAAAGGTTTGAAGTTCCCAGTTCCCCAGCGCCCCAAGCTCCTTTTCTCCCCCGACAAGCGGACTACTAACACACTTTAACTGACAGAGAGACAGGCT</t>
  </si>
  <si>
    <t>CAGAACCAAGAGATCCGTTGTTGAAAGTTGTAATTATTAATTTGTTACTGACGCTGATTGCAATTACAAAAGGTTTATGTTTGTCCTAGTGGTGGGCGAACCCACCAAGGAAACAAGAAGTACGCAAAAGACAAGGGTGAATAATTCCACAAAGGCTGTA</t>
  </si>
  <si>
    <t>CAGAACCAAGAGATCCGTTGTTGAAAGTTGTAATTATTAATTTGTTACTGACGCTGATTGCAATTACAAAAGGTTTATGTTTGTCCTAGTGGTGGGCGAACCCACCAAGGAAACAAGAAGTACGCAAAAGACAAGGGTGAATAATTCCAGCAAGGCTGAA</t>
  </si>
  <si>
    <t>CAGAAACAAGAGATCCGTTGTTAAAAGTTTTAATTTATTAATTAAGTTTACTCCGACTGCAAAATTACGCAAGAGTTTGAAGTGTCCACCCGGACCCCCCCCCCTCCGTTTTTCCCCCGAGCACAGATCAGCGCAAAGGGTTAGACAGACGGTGGTAGGC</t>
  </si>
  <si>
    <t>GAGAGCCAAGAGATCCGTTGTTAAAAGTTTTGTTTTTGTTATGATATTACATTCATTACTAACAGTTTGTGATGGCCGAAGCCACAGTTCACGGTGTGTATGGATGGCCAACTCCGAAGAGAAGGCACTCATTGAACTCAACTGACCGAAGCCAGAGAGC</t>
  </si>
  <si>
    <t>CAGAACCAAGAGATCCGTTGTTAAAAGTTTTAATTTATTAATTAAGTTTACTCAGACTGCAAAGTTACGCAAGAGTTTGAAGTGTCCACCCGGAGCCCCCGCCCGAAGGCAGGGTCGCCCCGGAGGCAACAGAGTCGGACAACAAAGGGTTATGAACACC</t>
  </si>
  <si>
    <t>CAGAACCAAGAGATCCGTTGTTAAAAGTTTTAATTTATTAATTAAGTTTACTCAGACTGCAAAGTTACGCAAGAGTTTGAAGTGTCCCCCCGGAGCCCCCGCCCGAAGGCAGGGTCGCCCCGGAGGCAACAGAGTCGGACAACAAAGGGTTATGAACTAC</t>
  </si>
  <si>
    <t>CGGAACGCCAAGTAGATCGCGTTCGTTGAAAGTTTTAAATAATTTATAATTGTCATCTCGAAGACTTCAATCTTCAGACAGAGTTTCGAGGGTGTCTTTCCGCGGGCGCCGGGCCCGGGTGGCGTGAAAGCCCCCCGGCGGCCAGTAAAGGGCGGGCCCG</t>
  </si>
  <si>
    <t>GAGAGCCAAGAGATCCGTTGTTAAAAGTTTTATGTTTGTTATGATATTACATTCATTACTAACAGTTTGTGTAAATGGCCGAAGCCACAGTTCACGGTGTGTGAGATAAGGTCGACTCCGAAGAGACCGACACAAACCCTACCAGTCCCAAAGACTTCGA</t>
  </si>
  <si>
    <t>GAGAGCCAAGAGATCCGTTGTTAAAAGTTTTATGTTTGTTATGATGTTACATTCATTACTAACAGTTTGTGTAAATGGCCGAAGCCACAGTTCACGGTGTGTGAGATAAGGTCGACTCCGAAGAGACCGACACAAACCCTACCCAGTCCCAAAGACTTCG</t>
  </si>
  <si>
    <t>CGGAACCAAGAGATCCGTTGTTGAAAGTTTTAACTTATTTAGTTTATGCTCAGACTGCAATCTTCAGACAGAGTTCAATAGTGTCTCCGGTGCGCGCGGACCCGGGGGCAGAAGCCCCCCGGCGGCCGTGAGGCGGGCGCACCGAAGCAACAAGGTACAA</t>
  </si>
  <si>
    <t>CGGAACCAAGAGATCCGTTGTTGAAAGTTTTAAATAATTTATATTTTCACTCAGACTTCAATCTTCAGACAGAGTTCGAGGGTGTCTTCGGCGGGCGCGGGCCCGGGGGCGTGAAGCCCCCCGGCGGCCAGTAAAGGCGGGCCCGCCGAAGCAACAAGGT</t>
  </si>
  <si>
    <t>GAGAGCCAAGAGATCCGTTGTTAAAAGTTTTGTTTTTGTTATGATATTACATTCATTACTAACAGTTTGTGATGGCCGAAGCCACAGTTCACGGTGTATATGGAAGCCCTCATCTTGCGATAAGGGCAGATCTAACCCAATGATTTGCATCAATTGGCTT</t>
  </si>
  <si>
    <t>CAGAACCAAGAGATCCGTGGTTGAAAGTTGTAATTATTAATTTGTTACTGACGCTGATTGCAATTACAAAAGGTTTATGTTTTCCTAGTGGTGGGCGGCCCCCCACGGCTTCTTAATCGCAAAAGACAAGGGGAATAATCGCAAACGAACACGAGAGGAG</t>
  </si>
  <si>
    <t>CAGAACCAAGAGATCCGTTGTTGAAAGTTGTAATTATTAATTTGTTACTGACGCTGATTGCAATTACAAAAGGTTTATGTTTGTCCTAGTGGTGGGCGAACCCCCCAAGGAAACAAGAAGTCGCAAAAGACAAGGGTGAATAATTCAGCAAGGGGTAACC</t>
  </si>
  <si>
    <t>GCTGAACCATAGAGATCCCGTTGTTAAAAGTTTTAATTTATTAATTAAGTTCAGTTCAGCTCTGCAACAGTTCACGACAAAGATGTTTTAGAGAGTGTGCCCCCGCAGGACTCCGCCCCCCCGATGAGCAGGGTCCCCCCGGAGGCAGCAGAGTGGGACA</t>
  </si>
  <si>
    <t>TGGAGCCAAGAGATCCGTTGTTGAAAGTTTTAACAGTTCGCTTAGAACACTCAGAAGTATCGTCGGGTTCGAACAGAGATTCTGATAATGCCGGCGGGCACGCCCCGAGAGGCGCGCCGCCGAAGCAACAGGTATGAAGGTCACAAAGGGTTATGAGTAT</t>
  </si>
  <si>
    <t>TGGAGCCAAGAGATCCGTTGTTGAAAGTTTTAACAGTTCGCTTAGAACACTCAGATGTATCGTCGGGTTCGAACAGAGATTCTGATAATGCCGGCGGGCACGCCCCGGGAGGCGCGCCGCCGAAGCAACAGGTATAAAGGTTCACAAAGGGTTATGAGTT</t>
  </si>
  <si>
    <t>CAGAACCAAGAGATCCGTTGTTGAAAGTTTTGATTTATTTATGGTTTTACTCAGAAGTTACATATAGAAACAGAGTTTAGGGGTCCTCTGGCGGGCCGTCCCGTTTTACCGGGAGCGGGCTGATCCGCCGAGGCAACAAGTGGTATGTTCACAGGGGTTT</t>
  </si>
  <si>
    <t>CAGAACCAAGAGATCCGTTGTTGAAAGTTTTAACTATTATATAGTACTCAGACGACATTAATAAAAAGAGTTTTGGTATTCTCTGGCGAGCATACAAGAACCGGAAGGCAGCTCGCCAAAGCAACAAAGTAATAATACACAAGGGTGGGAGGTCCTACCC</t>
  </si>
  <si>
    <t>CAGAAGCAAGAGATCCGTTGTTAAAAGTTTTAATTTATTAATTAAGTTACTCAGACTGCAAAGATACGCAAGAGTTGCAGTTCCCCCCGACCCCCCCCCTTTTAGCAGCGCCCGGAGCAACAGAGTAAACAACAAAGAGTAAACGCCGGGGTGGCTGGGC</t>
  </si>
  <si>
    <t>CGGAACCAAGAGATCCGTTGTTGAAAGTTTTAAATAATTTATATTTTCACTCAGACTACAATCTTCAGACAGAGTTCGAGGGTGTATTCAGCGGTCTCAAGCCCGGGCGTAACCCCCCTCCCCTCCTAAGGCGGCCCGCGAACACAAGGAAAATAACCGG</t>
  </si>
  <si>
    <t>CAGAACCAAGAGATCCGTTGTTAAAAGTTTTAATTTATTAATTAAGTTTACTCAGACTGCAAAGTTACGCAAGAGTTTGAAGTGTCCACCCGGAGCCCCCGCCCGAAGGCAGGGTCGCCCCGGAGGCAACAGAGTCGGACAACAAAGGGTTATGAATAAC</t>
  </si>
  <si>
    <t>TGGAGCCAAGAGATCCGTTGTTAAAAGTTTTGACAGTTCGCTAAGAACACTCAGAAGTATCGTCGGGTTCGAAAACAGAGATTCTGATGAGACCGGCGGGCACCCTCGCGGGCGCCGCCGAAGCAACAGGTATAATAGTTCACAAAGGGTAGAGAGTGTA</t>
  </si>
  <si>
    <t>CGGAACCAAGAGATCCGTTGTTGAAAGTTTTAAATAATTTATATTTTCACTCAGACTTCAATCTTCAGACAGAGTTCGAGGGTGTCTTCGGCGGGCGCGGGCCCGGGGGCGTAAGCCCCCCGGCGGCCAGTTAAGGCGGGCCCGCCGAAGCAACAAGGTA</t>
  </si>
  <si>
    <t>CAGAACCAAGAGATTCGTTGTTAAAAGTTTTAATTTATTAATTAAGTTCACTCAGATCAGCAAAGTTACGCAAGAGTTTGAAGTGTGACACGCGGATCCCCCGCCCGAAGGCAGCGTCGCCCCGGAGGCAACAGAGTCGGACAACAAAGGGTTATGAACA</t>
  </si>
  <si>
    <t>GAGAGCCAAGAGATCCGTTGCCGAAAGTTTTGTTTTGTTATGTTGCTCTTTCGAGACTTGTTTTACATTCTTAAAACTATAGAGTTAAAAAATGGTGTAAAGAGTAGTGTGTGCACAGAGTAAAGGTAAAATGTAATTGGTCGGACCTCTAAAAAGAGCG</t>
  </si>
  <si>
    <t>CAGAACCAAGAGATCCGTTGTTGAAAGTTGTAATTATTAATTTGTTACTGACGCTGATTGCAATTACAAAAGGTTTATGTTTGTCCTAGTGGTGGCCGAACCCACCAACGATCTTGCTACGCAAAAGACAAGGGTGAATAATCAGCAAGGCTGAACCCCG</t>
  </si>
  <si>
    <t>TGGAGCCAAGAGATCCGTTGTTAAAAGTTTTGACAGTTCGCTAAGAACACTCAGAAGTATCGTCGGGTTCGAAAACAGAGATTCTGATGAGACCGGCGGGCACCCTCGCGGGCGCCGCCGAAGCAACAGGTATAATAGTTCACAAAGGGTAGAGAGTGTT</t>
  </si>
  <si>
    <t>TGGAGCCAAGAGATCCGTTGTTAAAAGTTTTGACAGTTCGCTAAGAACACTCAGAAGTATCGTCGGGTTCGAAAACAGAGATTCTGATGAGACCGGCGGGCACCCTCGCGGGCGCCGCCGAAGCAACAGGTATAATAGTTCACAAAGGGTAGAGAGTGTG</t>
  </si>
  <si>
    <t>CAGAACCAAGAGATCCGTTGTTAAAAGTTTTAATTTATTAATTAAGTTTACTCAGACTGCAAAGTTACGCAAGAGTTTGAAGTGTCCACCCGGAGCCCCCGCCCGAAGGCAGGGTCGCCCCGGAGGCAAAAGAGTCGGACAACAAAGGGTTATGAACATC</t>
  </si>
  <si>
    <t>CAGAACCAAGAGATCCGTTGTTAAAAGTTTTAATTTATTAATTAAGTTTACTCAGACTGCAAAGTTACGCAAGAGTTTGAAGTGTCCCCCCGGAGCCCCCGCCCGAAGGCAGGGTCGCCCCGGAGGCAACAGAGTCGGACAACAAAGGGTTATAAACACC</t>
  </si>
  <si>
    <t>CAGAACCAAGAGATCCGTTGTTGAAAGTTTTAATTTATTAATTAAATTTACTCAGACTGCAAAGTTACGCAAGAGTTTTGATGTGTCCACCCGGGGCCCCCCCCCGTGTTATTGACAGGGTCTGCCCGCGGAGGCAACAGAGTCTGGACCACAAAGGGTT</t>
  </si>
  <si>
    <t>CAGAACCAAGAGATCCGTTGTTGAAAGTTTTGATTTATTTGTTTGTTTTACTCAGAAGTTCCACTAAAAACAGAGTTTAGGGTCCTCGCCCGTTCTTTCCTTATTACAGGCCCGGGCTGTCCCCGAGGCACGTATAGGTAGTCCAGGGTTGGAGCTACCG</t>
  </si>
  <si>
    <t>GAGATACAAGATAAAGTTGTTAAAAGTTTTATTTAGTTATGAAAATACATTCATTACTAACAGTTTGCGTCAATCCCCGCACCCCTACTGCACCTGTCGACAGACGAAGAGAGTGAAGCGACCAACACAAAGAACCCCCCCGCGACCCCGGTGGCCACAC</t>
  </si>
  <si>
    <t>CAGAACAAGAGATCCGTTGTTGAAAGTTGTAATTATTAATTTTTTACTGCGCTGATTGCAATTCAAAAGGTTTAGTTTGTCCTAGGGGGGGCGAACCCCCCAGGCTTCCTTTAATGGCAAAGCCAGGGGAATATTCGCAAGGCTGACCCCGGGCAGGCCC</t>
  </si>
  <si>
    <t>CAGAACCAAGAGATCCGTTGTTGAAAGTTTTGATTCATTTATGGTTTTACTCAGAAGTTACATATAGAAACAGAGTTTAGGGGTCCTCTGGCGGGCCGTCCCGTTTTACCGGGAGCGGGCTGATCCGCCGAGGCAACAAGTGGTATGTTCACAGGGGTTT</t>
  </si>
  <si>
    <t>CAGAACCAAGAGATCCGTTGTTGAAAGTTGTAATTATTAATTTGTTACTGACGCTGATTGCAATTACAAAAGGTTTATGTTTGTCCTAGTGGTGGGCGAACCCACCAAGGAAACATGAAGTACGCAAAAGACAAGGGTGAATAATTCAGCAAGGCTGTAA</t>
  </si>
  <si>
    <t>CAGAACCAAGAGATCCGTTGTTAAAAGTTTTAATTTATTAATTAAGTTTACTCAGACTGCAAAGTTACGCAAGAGTTTGAAGTGTCCACCCGGAGCCCCCCCCTCGTTTTCACTCGCCCGGAGGCAACAGAGTCGGCAACAAAGGGTTAGAACGCCCGGG</t>
  </si>
  <si>
    <t>MD5 reverse All</t>
  </si>
  <si>
    <t>MD5 reverse cut 160 bases</t>
  </si>
  <si>
    <t>Seq 160 bases extraites</t>
  </si>
  <si>
    <t>a30ff21de01fd6bac756b91f63af824c</t>
  </si>
  <si>
    <t>CGGAACCAAGAGATCCGTTGTTGAAAGTTTTAAATAATTTATATTTAATCTCAGACTACAATCTTCAGACAGAGTTCTAAGGTGTCTCCGGCGAGCACGGACCCGGGGACTGACGTCCCCCGGCAGCCAAAAGGCAGGCTCGCCGAAGCAACAAGGTAAA</t>
  </si>
  <si>
    <t>a351d28a00997a92c02f076eeeac9159</t>
  </si>
  <si>
    <t>CAGAACCAAGAGATCCGTTGTTGAAAGTTTTGATTTATTTGTTTTTTATACTCAGAAGTTCCACTAAAAACAGAGTTTAGGGTTTCCTGCGGCGGGCCGTCCCGTTTTACGGGGCGCGGGCTGATCCGCCGAGGCAACATAAAGGTATGTTCACAGGGGT</t>
  </si>
  <si>
    <t>5796e178d06042efd2b635b26b4e8a4e</t>
  </si>
  <si>
    <t>CAGAACCAAGAGATCCGTTGTTGAAAGTTTTGATTTGTTTTGTTGCCTTTCGGCTCGCTCAGAGGATACACATGTTGTTTAAACAGGGTTCGTGTGGTCCCCGGCGGGCGCCTTGGGTCCGGGGCACGCAGCGCCCGGGGCGGTCCGCCGAAGCAACGGT</t>
  </si>
  <si>
    <t>1152e22b5b7e8a9569f068d82de2de1e</t>
  </si>
  <si>
    <t>CAGAACCAAGAGATCCGTTGTTGAAAGTTTTGATTTATTTATGGTTTTACTCAGAAGTTACATATAGAAACAGAGTTTAGGGGTCCTCTGGCGGGCCGTCCCGTTTTACCGGGAGCGGGCTGATCCGCCGAGGCAACAGTAAGGTATGTTCACAGGGGTT</t>
  </si>
  <si>
    <t>15f71c0201635ebf215158114aa7eb81</t>
  </si>
  <si>
    <t>TGGAGCCAAGAGATCCGTTGTTAAAAGTTTTGACAGTTCGCTAAGAACACTCAGAAGTATCGTCGGGTTCGAAAACAGAGATTCTGATGAGACCGGCGGGCACCCTTGCGGGCGCCGCCGAAGCAACAGGTATAATAGTTCACAAAGGGTAGAGAGTGTA</t>
  </si>
  <si>
    <t>1b9f3ec773bb12779bbabb8e388b533b</t>
  </si>
  <si>
    <t>GAGAGCCAAGAGATCCGTTGTTGAAAGTTATATTTTGAATTAAGTATATTCATAATATGTTATCAGACGAATGTTGTTAAAGATATAGGTTGATATTTATGAAGGGAAAGAAAAGACTTTCCCAACAAACATTGCACACAAGGTGGATATGGATTTTTAA</t>
  </si>
  <si>
    <t>f0ff26180ada6017ddeacc142ec97221</t>
  </si>
  <si>
    <t>CAGAACCAAGAGATCCGTTGTTGAAAGTTTTGATTTATTTGTTTGTTTTACTCAGAAGTTCCACTAAAAACAGAGTTTAGGGTCCTCGGGCGGGCCGTCCCTTTTTACAGGGCGCGGGCTGATCCGCCGAGGCAACATAGAGGTATGTTCACAGGGGTTT</t>
  </si>
  <si>
    <t>760051af4581150c7dcac6f797b8ad39</t>
  </si>
  <si>
    <t>CAGAACCAAGAGATCCGTTGTTGAAAGTTGTAACTATTATGTTTTTTCAGACGCTGATTGCAACTGCAAAGGGTTTGAATGTTGTCCAATCGGCGGGCGGACCCGCCGAGGAAACGAAGGTACTCAAAAGACATGGGTAAGAGGTAGCAGACCGAAGTCT</t>
  </si>
  <si>
    <t>1959ee05d7da0815c5eef120a8cdb97c</t>
  </si>
  <si>
    <t>CAGAACCAAGAGATCCGTTGTTGAAAGTTTTAACTTATTAAGTTTTTGATTCAGAATACCAAAATTAACAAGAGTTTAGTAGTCCACCGGCGCGTCCACCCACCGAGAAAACGAGTCTCTCAGCAGGCCTCTGCGCCGAGGCAACAGTGGTAAGTTCACA</t>
  </si>
  <si>
    <t>c44741ca22d3e260590fe202c2f3e76d</t>
  </si>
  <si>
    <t>GAGAACCAAGAGATCCATTGTTGAAAGTTTTGAATATTTTATTTCTTATGAAATAGAATTGACTAGTTTTCAAAATTTTTGTTTGTGTTTATCCCTGGGCAGTTAGAGCCCAGGAAGAATAGCATATAGTAGAAACTACACGTGTGTTGGTTAGATAGAC</t>
  </si>
  <si>
    <t>1e7047c053921d6312d961683699376d</t>
  </si>
  <si>
    <t>CAGAACCAAGAGATCCGTTGTTGAAAGTTTTGACTTATTCAGTACAGAAGACTCAGAGAGGCCATTAATGCAATAGTTTGGTTTACCTCCGGCGGGCGCCCGCGAGGGCCGGGGGGCGCCGGGAAGGACCCGGGCCGCCCGCCGAAGCAACGGTTTAGGT</t>
  </si>
  <si>
    <t>de40fee0b91b78847634271edf3a6fdc</t>
  </si>
  <si>
    <t>GAGAGCCAAGAGATCCGTTGTTAAAAGTTTTGTTTAATTAAGATACTCTTACGTTCGTTACACTGATGTTTGATTATTAACCCGGAGGTCAACGGTTCACAGAGGTGGTAGAATCTGATAAGGTCTTTCGACCAATCAATAATGATCCTTCCGCAGGTTC</t>
  </si>
  <si>
    <t>86ae5287d51c0952090e216c7a5e4c15</t>
  </si>
  <si>
    <t>CTGAACCAAGAGATCCGTTGCTGAAAGTTTTATAAAACTTTTAATATTTCAACAGCTTAACTGCTTGGACATTCTAGTAAACATTTTAAAACAGTGGTTTGTAGAAGATTATGAGTTTTTTATCACTCAATAATTAATCACTAATGATCCTTCCGCAGGT</t>
  </si>
  <si>
    <t>23d5f1ec33304eb5bd2e932f066b3f2e</t>
  </si>
  <si>
    <t>CAGAACCAAGAGATCCGTTGTTGAAAGTTGTAATAATTACATTGTTTACTGACGCTGATTGCAATTACAAAAAAGGTTTATGGTTGGGTCCTGGTGGCGGGCGAACCCGCCCAGGAAACAAGAAGTGCGCAAAAGACATGGGTGAATAATTCAGACAAGC</t>
  </si>
  <si>
    <t>615cfb7b6eea8324a3e7787b7297dc3b</t>
  </si>
  <si>
    <t>CAGAACCAAGAGATCCGTTGTTGAAAGTTGTAATTTATTACATTGTTTGTTCAGACGCTGATTGCAATTACAAAAAGGTTTATAGTTGGGTCCTAATGGCGGGCGAACCCGCCAAGGAAACAAGTAGTACGCAAAAGACATGGGTGAATATGGCGTCAGA</t>
  </si>
  <si>
    <t>0ad9ccf2186fb334c358716c78e5acb9</t>
  </si>
  <si>
    <t>CAGAACCAAGAGATCCGTTGTTGAAAGTTTTGATTCATTTTGAATTTTTGCTCAGAGCTGTAAGAAATAACGTCCGCGAGGGGACTACAGAAAAGAGTTTGGTTGGTCCCTCCGGCGGGCGCCTGGTTCCGGGGCTGCGACGCACCCGGGGCGTGACCCC</t>
  </si>
  <si>
    <t>000938b53289095df4f003962a4265ba</t>
  </si>
  <si>
    <t>CAGAACCAAGAGATCCGTTGTTGAAAGTTTTAACTTATTTGTTTTTCTCGAGATGCCAACGCAAAGAAACAGAATTTGTAGGCTGCCGGCGGGCTGACGCGCCGCGGGAACGAATCCCCGGGGCGCACCCGCCGAAGCAACGTTCGTATAGTAGGTTCAC</t>
  </si>
  <si>
    <t>8b452d86c3a5e2e7fd0b70358e8827a3</t>
  </si>
  <si>
    <t>CAGAACCAAGAGATCCGTTGTTGAAAGTTGTAATTATTAAAATAATTCAGACGCTGATTAAATATTAAATAGGTTATTGGTTTGTCCATTCGGCAGGCAAGCCCGCCGAGGAAACATGAGTGCGCAAAAAGTCAAGGGTTAAGAATAGGATGTACTCACC</t>
  </si>
  <si>
    <t>054589f841d009566f6872fdb042c4e9</t>
  </si>
  <si>
    <t>CAGAACCAAGAGATCCGTTGTTGAAAGTTTTGATTTATTTGTTTTTTATACTCAGAAGTTCCACTAAAAACAGAGTTTAGGGTTCCTGCGGCGGGCCGTCCCTTTTTACGGGGCGCGGGCTGATCCGCCGAGGCAACATAAGGTATGTTCACAGGGGTTT</t>
  </si>
  <si>
    <t>bada5cd3f7b450240836e012112c6927</t>
  </si>
  <si>
    <t>GAGAGCCAAGAGATCCATTGTTAAAAGTTGTTTTAGATTAGAATTCTTGTCCCTTTCGGTACAAATATCAATCAGACAAAGCTTAAGTGAAAAAATTTTACAGTGCACAAAAGGTCCCTTTTGGGGGCAGGTCTTGGGTTAAACCCAAGCCCGACTTTTT</t>
  </si>
  <si>
    <t>2f7950cc084653354901378576ab510a</t>
  </si>
  <si>
    <t>GAGAGCCAAGAGATCCGTTGTTGAAACTTAGTATGAGATGTGTTACATCCATTACATTTGTTTTAAAATAAATTGAGTTTATATTAATTGAGTAGACAGAGGGTCCAATAACCTATTGCCTTTGTATTCCAAAAAGCAACAAGTAAATTCCCCATCTGTC</t>
  </si>
  <si>
    <t>fcd8f08926d5ba4a9142e918ffdad4bc</t>
  </si>
  <si>
    <t>CAGAACCAAGAGATCCGTTGTTAAAAGTTTTAATTTATTAATTAAGTTTACTCAGACTGCAAAGTTACGCAAGAGTTTGAAGTGTCCACCCGGAGCCCCCGCCCGAAGGCAGGGTCGCCCCGGAGGCAACAGAGTCGGAAAACAAAGGGTTGTGCGTTCC</t>
  </si>
  <si>
    <t>7dcffa92daaed1adabd0edc753328aff</t>
  </si>
  <si>
    <t>GAGAGCCAAGAGATCCGTTGTTGAAACTTAGTTTAAAGATGCGTTACATCAATTTACATTCAGTTCAATTAAATGGGTTTGTATATGGATTTAGCAGACTGAAGACTTTTTTTACCGGTCTCCAGTCTCACAAGTGCACAGGGGTGTGTGTGGATGAAAA</t>
  </si>
  <si>
    <t>7b713729084509bfdbcc2fe15acde55a</t>
  </si>
  <si>
    <t>TAGAGCCAAGAGATCCGTTGTTAAAAGTTTTAATAGTTCGCTAAGAACACTCAGAAGTATCGTTGGTATAAACAGAGAGACTGATGGACCGGCGGGCTCGCAGAACGAGCCGCCGAAGCAACAATATGGTTCACAAAGGGTTATGAGTAGATACTCGGTA</t>
  </si>
  <si>
    <t>89d56ea1e960f01a2bf9b677c67a93a8</t>
  </si>
  <si>
    <t>CAGAACCAAGAGATCCGTTGTTGAAAGTTTTAGTTTATTTAATATTTTTTTCAGACTGCAACGTTTACTGACTGGAGTTTGATAGTCCTCTGGCGGGCACTAGCCACCCCCCAAAATCGGGGGGCGGCCGCGGAAGACCGCGGCCCGCCAAAGCAACAGA</t>
  </si>
  <si>
    <t>8e2729e4813e8f284d1592b9b65ad3e7</t>
  </si>
  <si>
    <t>CAGAGCCAAGAGATCCATTGTTGAAAGTTGTAACGATTGTTTGTTTCGGAACAGGTAATGCTAGATGCAAAAAGAGTTTATTCGGTTCCAACGGCAGGTTGCCCCGCCGAGGGAGAACAGAAGGTGCTCGTAAAGTAAGGATGGCAGTCGTGCGTGCGTA</t>
  </si>
  <si>
    <t>02ff8471cf96e4a0cd717c62172f85f5</t>
  </si>
  <si>
    <t>CAGAACCAAGAGATCCGTTGTTGAAAGTTTTAATTTATTTAACTTATATTACTCAGAAGATACTTTAGAATTCAAGAGTTTGTTTGGGTCCTCCGGCGGGCGCCTGATACCGGTGCGAGGCTTTCGCCAACGCCCGGGGCTCTCCCGCCGAGGCAACGAT</t>
  </si>
  <si>
    <t>e43692f1d00278c8b89cf7168c704a6b</t>
  </si>
  <si>
    <t>b9e053041043895437ed743842649b04</t>
  </si>
  <si>
    <t>GAGAGCCAAGAGATCCGTTGTTGAAAGTTGTATTAGATGCGTTTTATTACATCGAGTAGACATTCTTAAGACATACAAAGGGTGTGTAAAGGGACGCGAGCCTCTTCGAGTTAACGAAGAGACCCCCGCGAAGGTGCACAGGTGTGTGTGGATTAGTGAA</t>
  </si>
  <si>
    <t>b4072e34c53ffc2deefacf14866c9397</t>
  </si>
  <si>
    <t>5c47916913ccd69f23afd143a5e03c79</t>
  </si>
  <si>
    <t>CAGAGCCAAGAGATCCATTGTTGAAAGTTGTAACGATTGTTTGTTTCGGAACAGGTAATGCTAGATGCAAAAAGAGTTTATTCGGTTCCAACGGCAGGTTGCCCCGCCGAGGGAGAACAGAAGGTGCTCGTAAAGTAAGGATGGCAGTCGTGCGTGCGTT</t>
  </si>
  <si>
    <t>646e3392f663809f419cba92b3260fa4</t>
  </si>
  <si>
    <t>CAGAACCAAGAGATCCGTTGTTGAAAGTTTTGATTTATTTGTTTTTTAGACTCAGAAGTTACACTAAAATCAGAGTTTTGTGGTTCCTGCGGCGGGCCGTCCCGTTTTACGGGGCGCGGGCTGATCCGCCGAGGCAACATAAAGGTATGTTCACAGGGGT</t>
  </si>
  <si>
    <t>62e782c50bf0f5e2ebbf8d9131a35e5f</t>
  </si>
  <si>
    <t>f4354d2413b963fdeb924df7d03fa365</t>
  </si>
  <si>
    <t>GAGAGCCAAGAGATCCGTTGTTGAAAGTTTTATTATGTTATAATAAGACTACATTTGTTACAATAATGTTTAGTTTAAAAGTGGATGCAAGCATCCAACAGTGCACAGGTGTTATGGATATGAAAAGGGTTCGAACATAAGCTCAATCCCATAGTATTCA</t>
  </si>
  <si>
    <t>01548830ff54735932be7be1defcd556</t>
  </si>
  <si>
    <t>CAGAACCAAGAGATCCGTTGTTGAAAGTTGTAATTTATTACATTGTTTGTTCAGACGCTGATTGCAATTACGAAAAGGTTTATAGTTGGGTCCTAATGGCGGGCGAACCCGCCAAGGAAACAAGTAGTACGCAAAAGACATGGGTGAATATGGCGTCAGA</t>
  </si>
  <si>
    <t>a6d7971316cb137f1b0be6df5f40e601</t>
  </si>
  <si>
    <t>GAGAGCCAAGAGATCCGTTGTTGAAAGTTGTATTTATTATAGTAGATTACATTCATTACATTATGTTTGTTTGGTGCCCGAAGGCAAATAGTTCACAGGTGTATAGGATGATAAAAGCTAGGCTCGAAAGCTTCGCCATTTATTAATGATCCTTCCGCAG</t>
  </si>
  <si>
    <t>e6ec14fa2c9cb76955ae4db34d2be687</t>
  </si>
  <si>
    <t>b09656839dddd620b1383fe105b78714</t>
  </si>
  <si>
    <t>CAGAACCAAGAGATCCGTTGCTGAAAGTTTTGATTTATTTGCTTATGCCACTCAGAAATACACTAAAAGACAAGAGTTTGGAGCCTCCGGCGGACGCCTGGGTCCGGGCCGCGCGAACGCGCCCGGGGCGAGGCCGCCGAAGCAACAGTGGTAGGTTCAC</t>
  </si>
  <si>
    <t>1472ea0b75771d3fb1de7cdf229c723b</t>
  </si>
  <si>
    <t>CAGAACCAAGAGATCCGTTGTTGAAAGTTTTTATTTATTTGTTTATGTATCACTCAGAGGAGAAAACCACTAAAGACATAAGAGTTTGGGGCCTCCGGCGGGCGCCTGGTTCCGTTGCCCGAAGGCGCCGGGGCGGTCCCGCCGAAGCAACGATAGGTAA</t>
  </si>
  <si>
    <t>8a198777a8d0943e28406a96776e9336</t>
  </si>
  <si>
    <t>GAGAGCCAAGAGATCCGTTGTTGAAAGTTGTATTTGTTATGATAATTTACATTCATTACACTGATGTTTGTATAATATCGCCGAAGCGACAAAATGCACAGGTGTTAAGGGATTATAAAGTTACCGGAGTAACATTTAATAATGATCCTTCCGCAGGTTC</t>
  </si>
  <si>
    <t>e57be8cf35fb7fdf42888a54930408e5</t>
  </si>
  <si>
    <t>CAGAACCAAGAGATCCGTTGTTGAAAGTTGTAATTATTAAGTTTTTTCAGACGCTGATTGAAAATTAAAAAGGTTATAGTTTTGTCCAGTCGGCGGGCAAGCCCGCCGAGGAAACATGAGTGCGCAAAAGACAAGGGTACAGACAGAGGGCCGGCCGCTC</t>
  </si>
  <si>
    <t>1aadc8249510f63d6040d47a728963b6</t>
  </si>
  <si>
    <t>CAGAACCAAGAGATCCGTTGTTGAAAGTTTTGTTTAATTTACTTAAACTCCGACGCAAAGATGCAGTGTTTGAAGGCCTCCGGGGGCGCTCGCCGTCGAAACGGCAGGGTCGCCCCCGAAGCAACAAGTTGTGTTCACAAAGGGTTGGAGGTCGAGCCCG</t>
  </si>
  <si>
    <t>2ceb59e42491a15dd188c9378e3f3992</t>
  </si>
  <si>
    <t>GAGAGCCAAGAGATCCGTTGTTAAAAGTTTTTTTTTGTTATGATCTAATGACGTTCATTACACAATGTTTGTAAAATTGAATCAGAAGATTCAATCAAACGGTTCACAGGTGTAGATGGATATAGTTTAAGCCAAGATGGCAATCACTAATGATCCTTCC</t>
  </si>
  <si>
    <t>089b35a5f6112def224a040039bab4cd</t>
  </si>
  <si>
    <t>CAGAACCAAGAGATCCGTTGTTGAAAGTTGTAACTATTAAGTTTTTTCAGACGCTGATTTCAATTACAAAGGGTTTAAGTTTTGTCCAATCGGCGGGCGGACCCGCCGAGGAAACGAAGGTACTCAAAAGACATGGGTAAGAGATGGCAGGCAAAGCCCG</t>
  </si>
  <si>
    <t>9cb70bb11026f31a7d7afd6ccace254d</t>
  </si>
  <si>
    <t>GAGAGCCAAGAGATCCGTTGTTAAAAGTTTTGTTTTTGTTATGATATTACATTCATTACTAACAGTTTGTGATGGCCGAAGCCACAGTTCACGGTGTATATGGAAGCCCTCATCTTGCGATAAGGGCAGATCTAACCCAATGATTTGCATCAATGGGCAC</t>
  </si>
  <si>
    <t>33bc0388344c86b704770f533039a725</t>
  </si>
  <si>
    <t>c59ab65d44ddf5c4e68f4a6ba098e41b</t>
  </si>
  <si>
    <t>CAGAACCAAGAGATCCGTTGTTAAAAGTTTTAATTTATTAATTAAGTTTACTCAGACTGCAAAGTTACACAAGAGTTTGAAGTGTCCACCCGGAGCCCCCGCCCGAAGGCAGGGTCGCCCCGGAGGCAACAGAGTCGGACAACAAAGGGTTATGAGCATC</t>
  </si>
  <si>
    <t>709b138c5e00f76325f7eee532b1435e</t>
  </si>
  <si>
    <t>TAGAGCCAAGAGATCCGTTGTTAAAAGTTTTAATAGTTCGTAAGAACACTCAGAAGTATCGTTGGTAAAAATATAGAGACTGATGTACCGGCGGGCTCGCGGACGAGCCGCCGAAGCAACAATTTGGTTCACAAAGGGTTATGAGTAGATACTCGGTAAT</t>
  </si>
  <si>
    <t>a2c35ac361ac21b8ff2ee3dd6d3a9743</t>
  </si>
  <si>
    <t>GAGAGCCAAGAGATCCGTTGTTGAAAGTTTTATTTTGTTAAAATATAAAGACGTTCTTTACACTGATGTTTGTTATGTAGACCCGGAGGTCAACGGTTCACAGAGGTGAGGGATTATGTTGATAAGGCCGTTAGGCCAATCATTAATGATCCTTCCGCAG</t>
  </si>
  <si>
    <t>155071cd488404a72e4d28af744e41ae</t>
  </si>
  <si>
    <t>GAGAGCCAAGAGATCCGTTGTTAAAAGTTTTATATGATTAATATAGGTTACGTTCATTACACAGATGTTTGTTATAAGAATCGGTCCGAAGACCAACGGTTCACAGAGGTAGAAGATTATAGTTATTAAGACCCGGAGGTCAATCACTAATGATCCTTCC</t>
  </si>
  <si>
    <t>25c830c81fc62f7291b9c826b8663805</t>
  </si>
  <si>
    <t>GAGAGCCAAGAGATCCGTTGTTGAAAGTTGTATTTTGAATTGTTTATTCATAATATTTTTCAGACAAAGAGTTAAAAAATAAAGGTCGATGTTTGGTCGATCTCCATGAAGAAGATCGACCGACATTGCACACAAGGTGGATATGGATTTAAAAAGTGCC</t>
  </si>
  <si>
    <t>3855845f8d8e3c5f818099e27b90926d</t>
  </si>
  <si>
    <t>CAGAACCAAGAGATCCGTTGTTAAAAGTTGTAATTATTAAGTTTTTCAGACGCTGACTGCAACTGCAAATGGTTTAATGTGGTCCTAACGGCAGGCGGACCTGCCGAGGAAACGTGTAGTACGCAAAAGACATGGGTAAGAGATGGCAGACAAAAGCCTG</t>
  </si>
  <si>
    <t>702f712e65c34ad678f975a2da869e6f</t>
  </si>
  <si>
    <t>TGGAACCAAGAGATCCGTTGTTGAAGGTTTTAACAGTTCGCTTAGAACACTCAGATGTATCGTCGGGTTCAAACAGAGATTCTGATGATACCGGCGGGCACGCCCCGGAGGACGCGCCGCCGAAGCAACAGGTATAAAGGTTCACAAAGGGTTATGAGTT</t>
  </si>
  <si>
    <t>d469bc35f678f00e8750ebe26b249ab4</t>
  </si>
  <si>
    <t>CAGAACCAAGAGATCCGTTGTTGAAAGTTTTAACTTATTAAAAGTTTACTCAGACAGAACAGTAATTAACAAGAGTTTTAGATACTCCGGCAGGCACCCGTAGGGCGAAGGCTCCGGAGGAACCGCCTGCCGAAGCAACGAAACAGGTAGATAAACATAT</t>
  </si>
  <si>
    <t>c453d04602c19d000dcbb3c962fbe692</t>
  </si>
  <si>
    <t>TGGAGCCAAGAGATCCGTTGTTGAAAGTTTTAACAGTTCGCTTAGAACACTCAGATGTATCGTCGGGTTCAAACAGAGATTCTGATGATACCGGCGGGCACGCCCCGGAGGACGCGCCGCCGAAGCAACAGGTATAAAGGTTCACAAAGGGTTATGAGTT</t>
  </si>
  <si>
    <t>449dd932181164733255c6e4d8c3a203</t>
  </si>
  <si>
    <t>4e964774509af4f750c3cd5367f149ce</t>
  </si>
  <si>
    <t>9d20c3a755ff8425b176fd85a77a581b</t>
  </si>
  <si>
    <t>d28a3dfc9bd7ab1ab4ffd1219ed263da</t>
  </si>
  <si>
    <t>CAGAACCAAGAGATCCGTTGTTGAAAGTTTTGATTCATTTATGTTTTTTACTCAGAGATTCACTATAGAAACAGAGTTTAGTTGGCCACCGGCGGGCTGCTCCCTGTTTCCAGGGGGCCTCAGTGAAGAGGCCGGCCTGCGCCGAGGCAACAGTGGGTAT</t>
  </si>
  <si>
    <t>20533f64e3dbc2b786c2d7e6824c027f</t>
  </si>
  <si>
    <t>GAGAGCCAAGAGATCCATTGTTAAAAGTTGTTTTAGATTAAAATTCTTGTCCCTTTCGGTACAAATATCAATCAGACAAAGCTTAAGTGAAAAAATTTTACAGTGCGCAAAAGGTCCCTTTTGGGGGCAGGTCTTGGGTTAAACCCAAGCCCGACTTTTT</t>
  </si>
  <si>
    <t>b683858eac310e286dfe71a6f9d205a3</t>
  </si>
  <si>
    <t>GAGAGCCAAGAGATCCGTTGTTGAAAGTTTTTATTTGTTATAAAAATTTTACATTCATAGACTAGTGTTTATAAGTGAAGGCTCACAATCCGAAGACTGCTCGCCATAATACAGATGCACAAAGTTAGAATTGAGAAGTTCGGGTTCCAAGTTAAATTGG</t>
  </si>
  <si>
    <t>50c0c1f16caf01cb13e63c6aa28a1c4d</t>
  </si>
  <si>
    <t>GAGAGCCAAGAGATCCGTTGTTAAAAGTTTTATTTGTTATAATAATTTACGTTCGTCACAGTTGTAATTAAAGACCCGAAGGCCAACAGTTCACAGGTGTGTATAGATCAGAGCGGCCGAAGCCAGCTCAATTCACTAATGATCCTTCCGCAGGTTCACC</t>
  </si>
  <si>
    <t>47d2c435c06116f9d18404a3aefcc8d7</t>
  </si>
  <si>
    <t>CAGAACCAAGAGATCCGTTGTTGAAAGTTTTAACTTATTTCTTAGTTATGATTCAGAATGCCAAAAATTAACAAGAGTTTAGTAGTCCACCGGTGGTCAGTCCGAAGACCAACCACCGAGGCAACAGTGGTAAGTTCACATGGTTTGGAGAGTTAAAAAC</t>
  </si>
  <si>
    <t>159243563287a96ecc8817410faaf589</t>
  </si>
  <si>
    <t>CAGAACCAAGAGATCCGTTGTTGAAAGTTGTAACTATTATGTTTTTCAGACGCTGATTTCAATTACAAAGGGTTTAATTTTGTCCAGTCGGCGGGCGAACCCGCCGAGGAAACGTAAGTACTCAAAAGACATGGGTAAGAGGTAGCGGGCAAAGCCCACA</t>
  </si>
  <si>
    <t>97b29a276ae3d305277e147292d74742</t>
  </si>
  <si>
    <t>GAGAGCCAAGAGATCCGTTGTTGAAAGTTGTATTTTGAATTAAGTTATTCATAATATTTTTCAGACAAAATCACTAAAGTTCTGAGTAGATATAAATCCCAAAGGTGACCAAACGGGCTTTTGACAGCCAGCTGGCCTCCAGTGAGATGACATTGCACAC</t>
  </si>
  <si>
    <t>c1e57eeed9dac10cdba66d42c1a077ea</t>
  </si>
  <si>
    <t>GAGAACCAAGAGATCCGTTGTTGAAAGTTTTATTTTGTTTATATAAAACGGTTACATTCATTAAACTAGGGGTTTGTATAAAATGATTGGCTTTCGATTGCTCAAAAGCCAAAACTGTGCACAGGTGTATGTGGATTGTGAAGGGTTGGGGAGGTCAGTT</t>
  </si>
  <si>
    <t>a1fa405b84378e8169216cb0a31a145f</t>
  </si>
  <si>
    <t>CAGAACCAAGAGATCCGTTGTTGAAAGTTTTAACTATTATATAGTACTCAGACGACATTAATAAAAAGAGTTTTGGTATTCTCTGGCGAGCATACAAGGCCCGAAGGCAGCTCGCCAAAGCAACAAAGTAATAATACACAAGGGTGGGAGGTCTACCCTT</t>
  </si>
  <si>
    <t>728843c027bd9f1a481a59648814ac26</t>
  </si>
  <si>
    <t>CAGAACCAAGAGATCCGTTGTTGAAAGTTTTGATTTATTTGTTTGTTTTACTCAGAAGTTCCACTAAAAACAGAGTTTAGGGTCCTCGGGCGGGCCGTCCCGTTTTACAGGGCGCGGGCTGATCCGCCGAGGCAACGTATAGGTATGTTCACAGGGGTTT</t>
  </si>
  <si>
    <t>0f6fcd080deef9bcf94b431fca379d9e</t>
  </si>
  <si>
    <t>CAGAACCAAGAGATCCGTTGTTGAAAGTTTTGATTCATTTATGTTTTGTACTCAGAGTTTCAGTGTAAAAACAGAGTTAATTTGGCCACCGGCCGGCTGCTCCTCTGTCTCCAGAGGGACCCCATCAGGGGACGGCCTGCGCCGAGGCAACAGTAAGGTA</t>
  </si>
  <si>
    <t>0a99b7956a3abdd0e2865d664fe1ca00</t>
  </si>
  <si>
    <t>CAGAACCAAGAGATCCGTTGTTGAAAGTTTTGATTTATTTGTTTTTTATACTCAGAAGTTCCACTAAAAACAGAGTTTAAGGTTCCTGCGGCGGGCCGTCCCTTTTTACGGGGCGCGGGCTGATCCGCCGAGGCAACATAAGGTATGTTCACAGGGGTTT</t>
  </si>
  <si>
    <t>efe39bbcab1a4bfe40c448558d94552d</t>
  </si>
  <si>
    <t>GAGAGCCAAGAGATCCGTTGTTAAAAGTTTTGTTTTTGTTATGATTTTACATTCATTACTAACAGTTTGTGATGGCCGAAGCCACAGTTCACGGTGTGTATGGAAACCCTCCTCTTGCGAGGAGAGCAGATCTAACCCAATGACTTGCATCAAAGGGCAC</t>
  </si>
  <si>
    <t>fb9514c9ba07e9f40f6df83b17fcab7d</t>
  </si>
  <si>
    <t>CAGAACCAAGAGATCCATTGTTAAAAGTTGTAATAATTTAGTTTTGTATCGGAAGTGTTAAATGTATAATGCAAAGGGTTTAGTTGGTTCCTGTCGGCGGGCGAACCCGCCGAGGGAAGCAATAGGGGTACACATAGGCAAAGGGTGGGTATAAAGTCAG</t>
  </si>
  <si>
    <t>5e3089ce3ea78d0bd7edf176c41f86e1</t>
  </si>
  <si>
    <t>90e7f18336b58b6afa20514543899839</t>
  </si>
  <si>
    <t>5859462b96495dee9373354c3dd82c50</t>
  </si>
  <si>
    <t>65f072859c79aa8092b730a684b76425</t>
  </si>
  <si>
    <t>GAGAACCAAGAGATCCGTTGTTGAAAGTTTTGAAGTATTATAATAATCACTCAGATGGCTGATTCAAAGGGGTTCAATATAGTCCATCGGCGGGCACTCGAGGGTCCGAGGACCGACGGCGAAAGCCCGTGTGAACAGGCTCCCGGCGGCCCGCCGAGGC</t>
  </si>
  <si>
    <t>a185a08e9a0bf1b2a318d0793053246a</t>
  </si>
  <si>
    <t>CAGAACCAAGAGATCCGTTGTTGAAAGTTGTAATTAATTACGTTGTTACTGACGCTGATTGCTATTGCAAAAGGTTTGTGGTTGGTCCTGAGGGCGGGCGAGCCCACCCAGGAAACAAGAAGTACGCAAAAGACACGGGTGAATAATTCAGCAGGGCCGG</t>
  </si>
  <si>
    <t>d2b9f8bcac130e52e62783a17f9da596</t>
  </si>
  <si>
    <t>bee59d963a25b8812d16d9106ceeca5e</t>
  </si>
  <si>
    <t>GAGAACCAAGAGATCCGTTGTTGAAAGTTATATTAGTTTATAACGATTTTACATTCAATGACTTGTGTATATGGGTATAAATAAAGAGACACACCTACTAACGCAGTTAAGCGCGGCAGGTGGCCAAAGTGCACAGGGGTGTGTGAATAAAGAGAGCCCC</t>
  </si>
  <si>
    <t>b5a5c6bab7b47ffdd4d2f1e8d45fc8a3</t>
  </si>
  <si>
    <t>CAGAACCAAGAGATCCGTTGTTGAAAGTTTTGACTTATTAAATAAGACACTCAGATAATCAACGAAGATAACAGAGTTTGGTTTGTCCGCCGGCGGGCCGCCCGGGGCGCGAGGTCCCGGGTAGCTTGCGCCGAGGCAACAAAGAGATATGTTCACATGG</t>
  </si>
  <si>
    <t>954369da332d83577997eb8280ef643b</t>
  </si>
  <si>
    <t>CAGAACCAAGAGATCCGTTGTTGAAAGTTTTGTATACTATTAAAGTAACTAAATCAGACTACAAGTATCCCAATTATTGGTTAACAAAATGGTTTGGTATGTATCCCCTGGCAGAACACAAGGCTCTGCCAAAGCAACTAAGAAAAAATAACAAAGGGTG</t>
  </si>
  <si>
    <t>e8c5c34565ed1e1bb0bc05631c4b6181</t>
  </si>
  <si>
    <t>GAGAACCAAGAGATCCATTGTTAAAAGTTTTGATTATTTTTGTTTTGACTATAAAATTATTGTTTGCTGTGTAAATTTCACAAATATTTATAATTCTTAATGATCCTTCCGCAGGTTCACCTACGGAAACCTTGTTACGACTTTTACTTCCTCTAAATGA</t>
  </si>
  <si>
    <t>56d249a9c1fdc2a94cf23e2cbb4654e2</t>
  </si>
  <si>
    <t>7c79ef4ade7b32f80670429184eab778</t>
  </si>
  <si>
    <t>182779e768c8ddbd48e7504aeaffb85d</t>
  </si>
  <si>
    <t>GAGAGCCAAGAGATCCGTTGTTGAAAGTTTTGTTTTGTTTAATGATATATACGTTCATTACACTGATGTTTGTTAAGACAGACCCGGAGGTCCACAGTTCACAGAGGTGAGGGATATAGAGATAAGACCTTTCGGTCAATCTTTAATGATCCTTCCGCAG</t>
  </si>
  <si>
    <t>05e641fe72e8c1802233accd7aff1694</t>
  </si>
  <si>
    <t>CAGAGCCAAGAGATCCGTTGCTGAAAGTTTTTATTTATTTTTGTTTGATACTCAGAAATTCATGTAAATTCAAGAATATAGGCCTTCGGCGGCCGGTGAGGACCGCCGAAGCAACAGGTATGTTCACAAAGGTTAGGGAGTTTACACTCTATAATGATCC</t>
  </si>
  <si>
    <t>e183dc8d8366f81b93e60df70536bd98</t>
  </si>
  <si>
    <t>8ec47ea26e9066c7ca00314f36efbc57</t>
  </si>
  <si>
    <t>CAGAACCAAGAGATCCGTTGTTAAAAGTTTTAATTTATTAATTAAGTTTACTCAGACTGCAAAGTTACGCAAGAGTTTGAAGTGTCCACCCGGAGCCCCCGCCCGAAGGCAGGGTCGCCCCGGAGGCAACAGAGTCGGAAATCAAAGGGTTGTCAGTCCC</t>
  </si>
  <si>
    <t>8e7f8fb59596f6085e90c3480735f00a</t>
  </si>
  <si>
    <t>GAGAGCCAAGAGATCCGTTGTTAAAAGTTGTATTTATTATAATAATTTACATTCTTTACACTGATGTTTGTTAAAATTGTCCAAAGACAATAAGGTGCACAGGTGTAATAAGGGATTATAAAGCTAGGCCAGTGATGGCTTCGCATTTAATAATGATCCT</t>
  </si>
  <si>
    <t>890ea1ac5d03bdf473e0093ba92bc004</t>
  </si>
  <si>
    <t>CAGAACCAAGAGATCCGTTGTTGAAAGTTTTGATTTATTTGTTTGTTTTACTCAGAAGTTCCACTAAAAACAGAGTTTAGGGGTCCTCGGGCGGGCCGTCCCTTTTTACAGGGCGCGGGCTGATCCGCCGAGGCAACGTATAGGTATGTTCACAGGGGTT</t>
  </si>
  <si>
    <t>97710c1da510a0a5d15e1f525ccb38cf</t>
  </si>
  <si>
    <t>GAGAACCAAGAGATCCGTTGTTGAAAGTTTTGATTTATTTGTTTGTTTTACTCAGAAGTTCCACTAAAAACAGAGTTTAGGGGTCCTCGGGCGGGCCGTCCCTTTTTACGGGGCGCGGGCTGATCCGCCGAGGCAACGTATAGGTATGTTCACAGGGGTT</t>
  </si>
  <si>
    <t>f0010658d3b00f32438e414c936c7348</t>
  </si>
  <si>
    <t>0b1c38152713d77e506ee8365ff77175</t>
  </si>
  <si>
    <t>CAGAACCAAGAGATCCGTTGTTGAAAGTTTTGATTTGTTTTGTTGCCTTTCGGCTCGCTCAGAGGATACACATGTTTGTTAAACAGGGTTCGTGTGGTCCCCGGCGGGCGCCTTGGGTCCGGGGCACGCAGCGCCCGGGGCGGTCCGCCGAAGCAACGGT</t>
  </si>
  <si>
    <t>c3a9a344d65953388728f5c6cfd7a41b</t>
  </si>
  <si>
    <t>e273c1f542261fd93a2f9894bb077159</t>
  </si>
  <si>
    <t>TGGAGCCAAGAGATCCGTTGTTGAAAGTTTTAACAGTTCGCTTAGAACACTCAGATGTAACGTCGATTCACAACTAAGAGACTATAATTGGCCGGCGGGCACGCCCGGAGGCGCGCCGCCGAAGCAACTAGGTATAATGGTTCACAAAGGGTTATGAGTT</t>
  </si>
  <si>
    <t>bb6adf961bb11e5a62042e8ee6c8a78b</t>
  </si>
  <si>
    <t>GAGAGCCAAGAGATCCGTTGTTAAAAGTTTTATGTTTGTTATGATGTTACATTCATTACTAACAGTTTGTGTAAATGGCCGAAGCCACAGTTCACGGTGTGTGAGATAAGGTCGACTCCGAAGAGACCGACACAAACCCTACCAGTCCAAAGACTTCGAG</t>
  </si>
  <si>
    <t>592c5a5a00fab5f83d8bd63245c076c2</t>
  </si>
  <si>
    <t>GAGAACCAAGAGATCCGTTGTTGAAAGTTTTGTTTTGTTAAAACTTAGTGACTGGTATTATTACAATTTTAGGTGTTTGGTGCGCTCACGCATGTGTATAAGATATAAATCACAGTAATGATCCTTCCGCAGGTTCACCTACGGAAACCTTGTTACGACT</t>
  </si>
  <si>
    <t>2d1cf4fd5b17455677cce6b70a59a7af</t>
  </si>
  <si>
    <t>GAGAGCCAAGAGATCCGTTGTTAAAAGTTTTATTAGTTATAATAAGACTACATTTGTTACAATAATGTTTAGTATAAAAGTGGATGCAAGCATCCAACAGTTCACAGGTGTTATGGATAGAATTACCAACAGTGTTACCTGTTGGCACATCCGGACCGAA</t>
  </si>
  <si>
    <t>b08019a63499a4fa5514af30595bc840</t>
  </si>
  <si>
    <t>CAGAACCAAGAGATCCGTTGTTGAAAGTTTTGATTCATTTTGAATTTTTGCTCAGAGCTGTAAGAAATAACGTCCGCGAGGGGACTACAGAAAGAGTTTGGTTGGTCCCTCCGGCGGGCGCCTGGTTCCGGGGCTGCGACGCACCCGGGGCGTGACCCCG</t>
  </si>
  <si>
    <t>c46cb19f1f1946062bbeee84c79256b2</t>
  </si>
  <si>
    <t>CAGAACCAAGAGATCCGTTGTTAAAAGTTTTAATTTATTAATTAAGTTTACTCAGACTGCAAAGTTACGCAAGAGTTTGAAGTGTCCACCCGGAGCCCCCGCCCGAAGGCAGGGTCGCCCCGGAGGCAACAGAGTCGGACAACAAAGGGTTATGAACATG</t>
  </si>
  <si>
    <t>4d9f2a880665d043d4b80e70108c0d3f</t>
  </si>
  <si>
    <t>GAGAGCCAAGAGATCCGTTGTTGAAAGTTGTATTTATTTATAGTAGATTACATTCATTACATTATGTTTAAGTTTATGCCCAAAGGCAAATAGTTCACAGGTGTATAGATGTTATAAAAGCTAGGCTCGAAAGCTTTGCCGTTTATTAATGATCCTTCCG</t>
  </si>
  <si>
    <t>94e0378f36a1fe4e547a8e0071025145</t>
  </si>
  <si>
    <t>CATACCCCAGATATCCGTTGTTGAACTTTGTCCTTATTAATTTGTTACTGACGCTGATTGCAATTACAAAAGGTTTATGTTTGTCCTAGTGGTGGGCGAACCCACCAAGGAAACAAGAAGTACGCAAAAGACAAGGGTGAATAATTCAGCAAGGCTGTAA</t>
  </si>
  <si>
    <t>3ea8e3744fdadfb3d0f8c70b311d2d36</t>
  </si>
  <si>
    <t>CAGAACCAAGAGATCCGTTGTTGAAAGTTGTAATTAATTACGTTGTTACTGACGCTGATTGCTATTACAAAAAGGTTTATGGTTGGTCCTGATGGCGGGCGAGCCCACCCAGGAAACAAGAAGTACGCAAAAGACACGGGTGAATAATTCAGCAGGGCCG</t>
  </si>
  <si>
    <t>5a8839fdd4a89f26a2520c5b37a8ae42</t>
  </si>
  <si>
    <t>8f7ed705333d4f2381082f0580a42695</t>
  </si>
  <si>
    <t>CAGAACCAAGAGATCCGTTGTTGAAAGTTTTGATTTATTTGTTTGTTTTACTCAGAAGTTCCACTAAAAACAGAGTTTAGGGGTCCTCGGGCGGGCCGTCCCTTTTTACGGGGCGCGGGCTGATCCGCCGAGGCAACAAGTGGTATGTTCACAGGGGTTT</t>
  </si>
  <si>
    <t>731fe224bbd641dd67b7f96891752bbd</t>
  </si>
  <si>
    <t>CAGAACCAAGAGATCCGTTGTTGAAAGTTTTAATTTATTAATTAAATTTACTCAGACTGCAAAGTTACGCAAGAGTTTGAATTTGTCCACCCGGAGCCCCCGCCCGAAGGCAGGGTCGCCCCGGAGGCAACAGAGTCGGACAACAAAGGGTTATGAAATC</t>
  </si>
  <si>
    <t>266423f2162b2e8aa5f5c3ed2ccca173</t>
  </si>
  <si>
    <t>GAGAGCCAAGAGATCCGTTGTTGAAAGTTTTTATTTGTTATAAAAATTTTACATTCATAGACTAGTGTTTATAAAGTGAAATGGCTCACAATCCGAAAATTGCTCGCCATTAATACAGATGCACAGGGTTAGATGTGAGAAGGTCGGGTTCCAAGTTAAA</t>
  </si>
  <si>
    <t>d8de1bd30a45d032d39909716c372830</t>
  </si>
  <si>
    <t>CAGAGCCAAGAGATCCGTTGTTGAAAGTTTTAACTTATTTTTGCTTTTCAGCCACTCAGAGATTCCAATGATACAGGAGTTAAGGGTCCCCGGCGCAGCCCTAGGGACCGCGCCGAGGCAACGTTTAGGTAGGTTCACAGTGGGTTGGGAGTTTTTACAC</t>
  </si>
  <si>
    <t>44f6c9cd44bf162c24c86ff7dc682852</t>
  </si>
  <si>
    <t>CAGAACCAAGAGATCCGTTGTTGAAAGTTTTAGTTTATTAAATGTTTTTCAGACTGCATCGTTTACTGACTGGAGTTTGATGGTCCTCTGGCGGGCGCTGGCCACCCCCCGGGGAGGGGGGCCGGCCGCGGAGGACCGCGGCCCGCCAAAGCAACAGAGG</t>
  </si>
  <si>
    <t>dad061bf808eb7769986aa06da160ad6</t>
  </si>
  <si>
    <t>GAGAACCAAGAGATCCATTGTTAAAAGTTTTGATTATTTTTGTTTTGATTGTATGATTATTGTTTGCTGTGTAAATTTCACAAATATTATCAATTCTTAATGATCCTTCCGCAGGTTCACCTACGGAAACCTTGTTACGACTTTTACTTCCTCTAAATGA</t>
  </si>
  <si>
    <t>ab7c838a0877811eb3883814011f1fea</t>
  </si>
  <si>
    <t>ea7bba328969244009dc52b8b17a9f3d</t>
  </si>
  <si>
    <t>74b8a2d29abde63bbff0f293222710c7</t>
  </si>
  <si>
    <t>190197699784b2804fb24277e61cd32f</t>
  </si>
  <si>
    <t>17f843ae642568b9d2a5a1c45dbcc086</t>
  </si>
  <si>
    <t>GAGAGCCAAGAGATCCGTTGTTGAAAGTTGTATTTGTTATAATATAATACATTCTTTACACTGATGTTTGTATAATATCGCCGGAGCGACAAGATGCACAGGTGTTAAGGATATTAAGTTACCGAAGTAACGTTTAATAATGATCCTTCCGCAGGTTCAC</t>
  </si>
  <si>
    <t>24ad2f478287f8c889de1d9576ed0f71</t>
  </si>
  <si>
    <t>GAGAGCCAAGAGATCCGTTGTTGAAAGTTGTATTTGTTATAATAATTTACATTCATTACACTGATGTTTGTATAATATCGCCGAAGCGACAAAATGCACAGGTGTTAAGGGATTATAAAGTTACCGGAGTAACATTTAATAATGATCCTTCCGCAGGTTC</t>
  </si>
  <si>
    <t>d1b4336ceda518f059c0ecb51c580909</t>
  </si>
  <si>
    <t>CAGAGCCAAGAGATCCGTTGTTGAAAGTTTTAATTTATTTGCTTGTTTACTCAGAAAAACATTATAAAAACAGAGTTAGGGGTCCTCTGGCGGGGGCGGCCCGTTGTTACAGGGCCGTCTGTTCCCGCCGAAGCAACGTTTTAGGTATGTTCACAGGGTT</t>
  </si>
  <si>
    <t>13f28613e90acca9270f8ccbd5ee4735</t>
  </si>
  <si>
    <t>CAGAACCAAGAGATCCGTTGTTGAAAGTTTTAACTTATTTCTTAGTTTGATTCAGATTGACAAAAATTAACAGAGTTTAGGTAGTCCACCGGCGGTGGTACCGTCCCGAGAGACAGCACCATCCACCGAGGCAACAGTGGTAAGTTCACATGGTTTGGAG</t>
  </si>
  <si>
    <t>8103233af381b48fa95ce8176492267c</t>
  </si>
  <si>
    <t>CAGAACCAAGAGATCCGTTGTTGAAAGTTTTAGTTTATTTAATATTTTTTTTCAGACTGCAACGTTTCCTGACTGGAGTTTGATAGTCCTCTGGCGGGCACTAGCCACCCCCCAAAATCGGGGGGCGGCCGCGGAAGACCGCGGCCCGCCAAAGCAACAG</t>
  </si>
  <si>
    <t>ab787d5abafc2ae97876bfcf804f0e1f</t>
  </si>
  <si>
    <t>795133a025a2602f898065cb762f50a9</t>
  </si>
  <si>
    <t>GAGAGCCAAGAGATCCGTTGCTGAAAGTTGTATTTAAATGCGTTAATTCGCAGTAGACATTCTGATACTTTAATAGTTTGTAGTAAAACGTGAGCCCAGTTGAACGACGACGCCGCGAAGCGACCGACGCTCGCCTGAGACCCACAGTAAGTGCACAGGT</t>
  </si>
  <si>
    <t>0b095885a7edcaea0f39532caa724696</t>
  </si>
  <si>
    <t>CAGAACCAAGAGATCCGTTGTTGAAAGTTGTAATTATTATAATTATTCAGACGCTGATTGAAAATTAAAAAGGTTATTAAGTTGTCCAACCGGCGGGCAAGCCCACCGAGGAAACATGAGTACGCAAAAAGACAAGGGTTCAGATAGAGAGCGTACTCGT</t>
  </si>
  <si>
    <t>29450f2ca0acdb5b913cdf54ae1165bd</t>
  </si>
  <si>
    <t>CAGAACCAAGAGATCCGTTGTTGAAAGTTGTAACTATTATGTTTTTTCAGACGCTGATTGCAACTGCAAATGGTTTAAATTGTCCAATCGGCGGGCGAACCCGCCGAGGAAACGAAGGTACTCAAAAGACATGGGTAAGAGATAGCAGGCAAAGCCTACA</t>
  </si>
  <si>
    <t>8f04591c9a6d336c04e919275e033dba</t>
  </si>
  <si>
    <t>be8c5403eee5fc3ab71501055f15a994</t>
  </si>
  <si>
    <t>GAGAGCCAAGAGATCCGTTGCTGAAAGTTGTATTTCAATGCGATTATCGCAAATAGACATTCTGATACAAATATGTTTATTGAATACACAGAGAGACTACTGAGCAGGATGAACCCACCGTTTGCCAATCTATGAAGGGTGCACAGAGGTATGTGGATGA</t>
  </si>
  <si>
    <t>ed00ed18ddf85cbd18310d05bad7ffac</t>
  </si>
  <si>
    <t>CATACCCCAGATATCCGTTGTTGAACTTTTTGCTTTATTTATGGTTTTACTCAGAAGTTACATATAGAAACCGAGTTTAGGGGTCCTCTGGCGGGCCGTCCCGTTTTACCGGGAGCGGGCTGATCCGCCGAGGCAACAAGTGGTATGTTCACAGGGGTTT</t>
  </si>
  <si>
    <t>b0f4c0f70397425a663230695f0b8385</t>
  </si>
  <si>
    <t>CAGAACCAAGAGATCCGTTGTTGAAAGTTGTAATAATTACATTGCTTACTGACGCTGATTGCAATTACAAAAAGGTTTATGGTTTGGTCCTGGTGGCGGGCGAACCCGCCCAGGAAACAAGAAGTGCGCAAAAGACATGGGTGAATAATTCAGACAAGCT</t>
  </si>
  <si>
    <t>d00fca5eb0c75aa310cdac199b1c012b</t>
  </si>
  <si>
    <t>CAGAACCAAGAGATCCGTTGTTGAAAGTTTTAACTATTATATAGTACTCAGACGACATTAATAAAAAGAGTTTTGGTATTCTCTGGCGAGCATACAAGGCCCGAGGGCAGCTCGCCAAAGCAACAAAGTAATAATACACAAGGGTGGGAGGTCTACCCTT</t>
  </si>
  <si>
    <t>2ddf7ef0dc6973555ae548771cc3c0c1</t>
  </si>
  <si>
    <t>GAGAGCCAAGAGATCCGTTGTTGAAAGTTGTATTTGTTATGATAAATTACATTCTTTACACTGGTGTTTGTATGATATCGCCGGAGCGACAAGATGCACAGGTGTTAAAGGATTATAAAGTTACCGAAGCAACATTTATTAATGATCCTTCCGCAGGTTC</t>
  </si>
  <si>
    <t>5f35389b420a0f2174e8d4f19b50bd02</t>
  </si>
  <si>
    <t>CAGAACCAAGAGATCCGTTGTTGAAAGTTGTAACTATTATGTTTTTTCAGACGCTGATTTCAATTACAAAGGGTTTAAGTTTGTCCAATCGGCGGGCGGACCCGCCGAGGAAACGAAGGTACTCAAAAGACATGGGTAAGAGATGGTAGGCAAAGCCTAC</t>
  </si>
  <si>
    <t>77bbd02912bc5b9b77810e324f7f7778</t>
  </si>
  <si>
    <t>4743859cb44dabcf58c3e4d4a65ddd5e</t>
  </si>
  <si>
    <t>GAGAGCCAAGAGATCCGTTGCTGAAAGTTGTATAGTGTTTTATAGGCTGTGAAGCCCATTGACTACATTCTGCATCATACTATTGGGGTGTGTAAAAAGACGTAGAGCCTGGAAGTTCGAGGGGAGCCCTTTACGAGCAACCCTCGCATCCGCCTTGCGG</t>
  </si>
  <si>
    <t>dd2aec40a5df6122b494dde62c3caeea</t>
  </si>
  <si>
    <t>CAGAACCAAGAGATCCGTTGTTGAAAGTTTTGATTTATTTGTTTGTTTTACTCAGAAGTTCCACTAAAAACAGAGTTTAGGGTCCTCGGGCGGGCCGTCCCTTTTTACAGGGCGCGGGCTGATCCGCCGGGGCAACGTATAGGTATGTTCACAGGGGTTT</t>
  </si>
  <si>
    <t>d043b17ef3b5433ae465f870bbaf05fd</t>
  </si>
  <si>
    <t>GAGAGCCAAGAGATCCGTTGTTAAAAGTTGTATTATTTTATAATAGTTTACATTCGTTACACTGTTGTTTGTAAAGATTGTCCGAAGACAATAAGGTGCACAGGTGTAATAAGGATTATAAAGCTAGGCCAGTGATGGCTTCGCGTTTAATAATGATCCT</t>
  </si>
  <si>
    <t>18a08abc8f9248ff27d4b719db57ddff</t>
  </si>
  <si>
    <t>CAGAACCAAGAGATCCGTTGTTGAAAGTTTTGACTTATTCAGTACAGAAGACTCAGAGAGGCCATAAATTATCAAGAGTTTGGTGACCTCCGGCGGGCGCCCGCGGTGGGGCCCAGGGGCGCCCGGGGGGTAAACCCCGGGGCCGCCCGCCGAAGCAACG</t>
  </si>
  <si>
    <t>55f5cd00a4d9553b62ebeb2be38a9450</t>
  </si>
  <si>
    <t>CGGAACCAAGAGATCCATTGTTGAAAGTTTTAATAGGTTTGCTATCAAGCTCAGACAACACTAAAGACAGGAGGTTCGGTGTGGTCTCCGGCGGCTACCCCCGGGGGGGCGCACCGCCGAAGCAACGTTGGTCAGGTATTCACGGGTGGGAGGTTAGGCC</t>
  </si>
  <si>
    <t>6e24b4bc2aabebf05c5e2ce541640c6d</t>
  </si>
  <si>
    <t>CAGAACCAAGAGATCCGTTGTTGAAAGTTTTAATTTATTTGCTTGTTTTACTCAGAAGAAACATTATAGAAACAGAGTTAGGGGTCCTCTGGCGGGGGCGGCCCGTTTCACGGGGCCGTCTGTTCCCGCCGAAGCAACGTTTAGGTATGTTCACAGGGTT</t>
  </si>
  <si>
    <t>013d1db55e8f851197aea40fdccafd57</t>
  </si>
  <si>
    <t>GAGAGCCAAGAGATCCATTGTTAAAAGTTGTTTTAGATTAAAATTCTTGTCCCTTTCGGTACAAATATCAATCAGACAAAGCTTAAGTGAAAAAATTTTACAGTGCACAAAAGGTCCCTTTTGGGGGCAGGTCTTGGGTTAAACCCAAGCCCGACTTTTT</t>
  </si>
  <si>
    <t>0951752b54e065112e8c25f19a63d863</t>
  </si>
  <si>
    <t>GAGAGCCAAGAGATCCGTTGTTAAAAGTTTTATGTTTGTTATGATATTACATTCATTACTAACAGTTTGTGTAAATGGCCGAAGCCACAGTTCACGGTGTGTGAGATAAGGTCGACTCCGAAGAGACCGACACAAACCCTACCAGTCCAAAGACTTCGAG</t>
  </si>
  <si>
    <t>6692ffe8463c3ef6872edd077e7d7ff7</t>
  </si>
  <si>
    <t>f7b375b721966c1ccec0bc652ee9ff5b</t>
  </si>
  <si>
    <t>GAGAGCCAAGAGATCCGTTGTTGAAACTTAGTATTAGATGCGTTACATCCATTACATTCATTTCTAAATAAATTGAGTTTATGTATTGAGTAGACAGAGGGTCCAGCACCAATTGTTCTTAAAAAACAATCAATAAATTCCCCATCTGCCTCACAAGTGC</t>
  </si>
  <si>
    <t>d772a5e352e7a028334b60d1c24c31a6</t>
  </si>
  <si>
    <t>GAGAGCCAAGAGATCCGTTGTTGAAAGTTGTATTTTGAATTGTTTATTCATAATATTTTTCAGACAAAGAGTTAAAAAATAAAGGTTGATGTTTGGTCGATCTCCATGAAGAAGATCGACTGACATTGCACACAAGGTGGATATGGATTTAAAAAGTGCC</t>
  </si>
  <si>
    <t>ea75bafcbefde93b4d57838a97140bec</t>
  </si>
  <si>
    <t>CAGAACCAAGAGATCCGTTGTTAAAAGTTTTAATTATTTGCTTGTGCCACTCAGAAGAAACGTCGTTAAAATAGAGTTTGGTATCCTCCGGCGGGCGCCTCGCCCCGTGAAGGGCGTGGCCGGGAGGGCGTCCCCGAGGGGACCCCCTGCCCGCCGAAGC</t>
  </si>
  <si>
    <t>80f48ac6e55fcf90a5ecd3b27ceddcb9</t>
  </si>
  <si>
    <t>CAGAACCAAGAGATCCGTTGTTGAAAGTTGTAATAATTACATTGTGTACTGACGCTGATTGCAATTACAAAAAAGGTTTATGGTTGGGTCCTGGTGGCGGGCGAACCCGCCCAGGAAACAAGAAGTGCGCAAAAGACATGGGTGAATAATTCAGACAAGC</t>
  </si>
  <si>
    <t>007c30a938ad57cd27088fe51290a459</t>
  </si>
  <si>
    <t>CAGAACCAAGAGATCCGTTGTTGAAAGTTTTAACTTGTTTTTTTTTGTAAATCAGAACGTACAGTCCGCTGTAAATTTAGAGTTTGGCGCCGCCGGCGGGGACGGGAGCGGCACGGCCCGCTGGGGGCGCGAGACGCCCACCGCCTCCCGCCGAGACAAC</t>
  </si>
  <si>
    <t>6f2a1ffc3f976b97fb7d6648e8f3fe68</t>
  </si>
  <si>
    <t>CAGAACCAAGAGATCCGTTGTTGAAAGTTTTTATTTATTTGTAAAAACTACTCAGAAGATTCCAAAATAAAACAAGAGTTGAGTTTCCTAGGCGGGCGCCTGATCCGGGGCACACGAGGCGCCCGGGGCAATCCCGCCGAAGCAACAGTAGGTATGTTCA</t>
  </si>
  <si>
    <t>ed17a52aa660cbb5f4266c72a2715114</t>
  </si>
  <si>
    <t>CAGAGCCAAGAGATCCGTTGTTGAAAGTTTTGATTCATTTGTTTTTTTTTACTCAGAAGATTCACTGTGTAATACAAAGGGTTTGTGTTTTCCCCCGGCGGTCGCCTGGGTCCGGTCGCCGAAGCGCCGGGGCGGGTCCGCCGAAGCAACGTGTAGGTAA</t>
  </si>
  <si>
    <t>4c9a9c90585348b17a6dccd56ba17c27</t>
  </si>
  <si>
    <t>CAGAACCAAGAGATCCGTTGTTGAAAGTTTTGTTTCGATTTACTCGTAAACTCCGACGCAGAGATGCAGTGTTTTTTGGTGGTCCTCCGGGGGCGCCCGGCAGGGTCGCCCCCGAAGCAACGGGATGTGTTCACAAAGGGTTGGAGGTCGGACCCGGAGG</t>
  </si>
  <si>
    <t>3222869bfced736fad9103b5459a8dd5</t>
  </si>
  <si>
    <t>26451520693e598cc01e73bc1812d4de</t>
  </si>
  <si>
    <t>CAGAACCAAGAGATCCGTTGTTGAAAGTTTTGACTTATTAAGTACAAAGACTCAGAGAGGCCATAAAAGTTCAAGAGTTAGATACCTCCGGCGGGCGCCCGAGTAGGGCCGGGGACCCCGGAGACCGGGGCCAACCCGCCGAAGCAACGTTGAAGGTATG</t>
  </si>
  <si>
    <t>7c56aa37c5568be80be1b61600a8da6a</t>
  </si>
  <si>
    <t>GAGAGCCAAGAGATCCGTTGTTAAAAGTTTTGTTTTTGTTATGATTTTACATTCATTACTAACAGTTTGTGATGGCCGAAGCCACAGTTCACGGTGTGTATGGAAACCCTCCTCTTGCGAGGAGAGCAGATCTAACCCAATGACTTGCATCAGAGGGCAC</t>
  </si>
  <si>
    <t>814127669e55a5987d515a0a585a2c46</t>
  </si>
  <si>
    <t>GAGAGCCAAGAGATCCGTTGTTGAAACTTAGTATTAGATGCGTTACATCCATTACATTCATTTCTAAATAAATTGAGTTTATATATTGAGTAGACAGAGGGTCCAGCACCAATTGTTCTTAAAAAACAATCAATAAATTCCCCATCTGCCTCACAAGTGC</t>
  </si>
  <si>
    <t>990b9f058cabdfaac526dc045e6ac1f5</t>
  </si>
  <si>
    <t>CAGAACCAAGAGATCCGTTGTTGAAAGTTTTGATTTATTTGTTTGTTTTACTCAGAAGTTCCACTAAAAACAGAGTTTAGGGGTCCTCGGGCGGGCCGTCCCTTTTTACGAGGCGCGGGCTGATCCGCCGAGGCAACGTATAGGTATGTTCACAGGGGTT</t>
  </si>
  <si>
    <t>83ad72888df4a16e5d8b029fa6564149</t>
  </si>
  <si>
    <t>CAGAACCAAGAGATCCGTTGTTGAAAGTTTTGATTTATTTGTTTGTTTTACTCAGAAGTTACAATAAGAAACATTAGAGTTTGGGTCCTCTGGCGGGCCGTCCCGTTTTACGGGGCGCGGGCTGATCCGCCGAGGCAACATTAAGGTATGTTCACAGGGG</t>
  </si>
  <si>
    <t>498eef5e1666d41677b2f78dc0dbf61f</t>
  </si>
  <si>
    <t>f7a047a12b19866bbb76fabaa2b0b4bf</t>
  </si>
  <si>
    <t>5f0fe553c2111a935570611d4004fae8</t>
  </si>
  <si>
    <t>3b7158ba0db085089e4de39798a28398</t>
  </si>
  <si>
    <t>GAGAGCCAAGAGATCCGTTGTTGAAAGTTTTATTATGTTATAATAAGACTACATTTGTTACAATAATGTTTAGTTTAAAAGTGGATGCAAGCATCCAACAGTGCACAGGTGTTATGGATATGAAAGAAGAACCACTGGCTTTCGCCTATGGTTCAATCTA</t>
  </si>
  <si>
    <t>9d32f0228a8abfd743722afbf34a2ed7</t>
  </si>
  <si>
    <t>CAGAACCAGGAGATCCGTTGTTGAAAGTTTTGATTTATTTGTTTTTTATACTCAGAAGTTCCACTAAAAACAGAGTTTAGGGTTCCTGCGGCGGGCCGTCCCTTTTTACGGGGCGCGGGCTGATCCGCCGAGGCAACATAAGGTATGTTCACAGGGGTTT</t>
  </si>
  <si>
    <t>b031e9d451743b882bbfeff611f62f94</t>
  </si>
  <si>
    <t>CAGAACCAAGAGATCCGTTGTTGAAAGTTTTGATTTATTTGTTTGTTTTACTCAGAAGTTCCACTAAAAACAGAGTTTAGGGTCCTCGGGCGGGCCGTCCCGTTTTACGGGGCGCGGGCTGATCCGCCGAGGCAACGTATAGGTATGTTCACAGGGGTTT</t>
  </si>
  <si>
    <t>34c664775664549412d3cac139e2fab6</t>
  </si>
  <si>
    <t>1be5048b384b1f4571a98dcf1b5294bf</t>
  </si>
  <si>
    <t>TGGAGCCAAGAGATCCATTGTTAAAAGTTGTTTTAGATTAAAATTCTTGTCCCTTTCGGTACAAATATCAATCAGACAAAGCTTAAGTGAAAAAATTTTACAGTGCACAAAAGGTCCCTTTTGGGGGCAGGTCTTGGGTTAAACCCAAGCCCGACTTTTT</t>
  </si>
  <si>
    <t>c428505de626eebc8a143383ae6b4e0a</t>
  </si>
  <si>
    <t>GAGAACCAAGAGATCCGTTGTTGAAAGTTTTATTTTGTTTATATAAAACGGTTACATTCATTAAACTAAGAGTTTGTATAAAATGATTGGCTTTCGATTGCTCAAAAGCCAAAACAGTGCACAGGTGTATGTGGATTGTGAAGGGATGGGGAGGTCAGTT</t>
  </si>
  <si>
    <t>9a523d33992b0885769baf4f16af912f</t>
  </si>
  <si>
    <t>656624943be20cd6dbc4b854b204ccea</t>
  </si>
  <si>
    <t>CAGAACCAAGAGATCCGTTGTTGAAAGTTTTGATTTATTTAATCGGTTTACTCAGAAGACTTCTTAAATGTAATCAGGGTTTGGGGTCCTCTGGCGGGCTGTCGGAACAGGCACCGCCGAGGCAACAAATAGGTATGTTCACAGGGGTTTGGGAGTTGTA</t>
  </si>
  <si>
    <t>99f79248fe5f906cfc23e6a591eae823</t>
  </si>
  <si>
    <t>GAGAGCCAAGAGATCCGTTGTTAAAAGTTTTGTTTTTGTTATGATATTACATTCATTACTAACAGTTTGTGATGGCCGAAGCCACAGTTCACGGTGTGTATGGAAACCCTCTTCTTGCGAAGAGAGCAGATCTAACCCAATGATTTGCATCAGAGGGCAC</t>
  </si>
  <si>
    <t>a74d0480904bb4f4a830010e84dffc1c</t>
  </si>
  <si>
    <t>ec29b8ffab8a499188dcaea60ba37a8c</t>
  </si>
  <si>
    <t>98e2ac9ca04b0900875f98c4438c47d5</t>
  </si>
  <si>
    <t>01005373797d8032419a4ffbbf16ddd5</t>
  </si>
  <si>
    <t>db3f3e4f2de5bf727a8bf2811e4ce29a</t>
  </si>
  <si>
    <t>8a629ac9bd016a21d18a9ed6443d3ad9</t>
  </si>
  <si>
    <t>662c3008fa454493d9ad9791f02d97a0</t>
  </si>
  <si>
    <t>GAGAGCCAAGAGATCCGTTGCTGAAAGTTGTATATAGTTTATAAGGCAATTAAGCCTAATAATGACATTCTGTTACATTCTTAAGGTGTATATGAAAACATAGCCCTGGAAACTAACAAGGAAAGCCTATTAAGCAATTCCTCACAACCGAGTTTCCTCG</t>
  </si>
  <si>
    <t>33be7b202c0e632c2a07fd90196b4ab4</t>
  </si>
  <si>
    <t>CAGAACCAAGAGATCCGTTGTTGAAAGTTTTGATTGATTTATCAATTCACTCAGACGTCACAGATGCAGCGTTTGATCAAAGTCCGCCGGGGGCCCCCGCGCCGAAACGCCGGGTCGCCCCCGAGGCAACAGAGGTCGGTACAACAAAGGGTGGGAGGTC</t>
  </si>
  <si>
    <t>92559448c301eb18d19247d608378ef7</t>
  </si>
  <si>
    <t>CAGAGCCAAGAGATCCATTGTTGAAAGTTGTAACGATTGTTTGTTTCGGAACAGGTAATGCTAGATGCAAAAAGAGTTTATTCGGTTCCAACGGCAGGTTGCCCCGCCGAGGGAGAACAGAAGGTGCTCGTAAAGTAAGGATGGCAGTCGTGCGCGCGTG</t>
  </si>
  <si>
    <t>b889bccfb18967db187746f108d0661c</t>
  </si>
  <si>
    <t>CAGAACCAAGAGATCCGTTGTTGAAAGTTTTATTATGTTATAATAAGACTACATTTGTTACAATAATGTTTAGTTTAAAAGTGGATGCAAGCATCCAACAGTGCACAGGTGTTATGGATAGAACCAGCCCCTAGCACTTAAGCCTAGGGCGTAAAATTCA</t>
  </si>
  <si>
    <t>2669c1d72c9c0c4e6823ef598cb8d4d1</t>
  </si>
  <si>
    <t>CAGAACCAAGAGATCCGTTGTTGAAAGTTTTGATTGAATTTCTCAATACGCTCAGACGACAATTGATGCAGAGTTTTGGTTGGTGACCACCGGGGGGACCGGCGGACCGCGAGGTCCGGGTCGCCCCCGAGGCAGAAGGAGGTCTTGATCAAATCAAAGG</t>
  </si>
  <si>
    <t>09278dce8cf66373bb444386d9d35bee</t>
  </si>
  <si>
    <t>6a8ba8987a8383543997fad4602f1085</t>
  </si>
  <si>
    <t>6763296c3bbb3b73657e63849f6230f4</t>
  </si>
  <si>
    <t>GAGAGCCAAGAGATCCGTTGTTAAAAGTTTTATTTTGTTATGATTTTTACATTCATTACTAAAAGTTTGTGATGACCGAAGTCACAGTTCACGGTGTGTGTGGATGGCCATCTCCGAAGAGATGACACACATTGAACCCAGCTGACCGAAGCCAGAGGGC</t>
  </si>
  <si>
    <t>1ebc8c91763fd623aabd57ec2948c68c</t>
  </si>
  <si>
    <t>GAGAACCAAGAGATCCATTGTTAAAAGTTTTAATTTTTTTGGTGTTGATTATAAAATTATTGTTTGCTGTATAAATTTCACAAATATTATCAATTCTTAATGATCCTTCCGCAGGTTCACCTACGGAAACCTTGTTACGACTTTTACTTCCTCTAAATGA</t>
  </si>
  <si>
    <t>fee5f790651a2880ef63f155d936eae9</t>
  </si>
  <si>
    <t>GAGAACCAAGAGATCCGTTGTTGAAAGTTTTGATATTTTTATTTGTTGACTAAGTAAATTATTAGTGTTCTTGCAAGCAAGTTCTCTAAAAAAACATGTGTAATGCAATTAAGCAAACTTTAATGATCCTTCCGCAGGTTCACCTACGGAAACCTTGTTA</t>
  </si>
  <si>
    <t>ac7db209e3bb15648a3570c0e9508fd7</t>
  </si>
  <si>
    <t>CTGAACCAAGAGATCCGTTGCTGAAAGTTTTATTAAACTTTTATAATTTCAACAGCTTAACTGCTTGGACATTCTAGTAAACATTTTAAAACAGTGGTTTGTAATAGAAGATTATGAGTTTTTACACTCAATAATTAATCACTAATGATCCTTCCGCAGG</t>
  </si>
  <si>
    <t>2bb72b5c939fd184f7921699b9375b31</t>
  </si>
  <si>
    <t>3311724ab5381fdb5743667b34e66dc1</t>
  </si>
  <si>
    <t>CAGAACCAAGAGATCCGTTGTTGAAAGTTTTGACTTATTGTATAAGTTACTCAGAGAGGCCACTGATGACGAAGAGTTTTGGTCTTCTGACGGGCTGCCGGCACGGGGGCCGGCGCGGCCCCGGTGGGGGCCACCCGCCGAAGCAACGGTGAGGTAGGTT</t>
  </si>
  <si>
    <t>b26a5dde1f3c8786d15ff2481f7ed5ab</t>
  </si>
  <si>
    <t>CAGAACCAAGAGATCCGTTGTTGAAAGTTTTATTAAATTAACTTTTTACTCCGACGTAAGAATGCAGTGTTTGAATGACCTCCGGGGGGAATGCCGCTTGCGCGGCAGGGTCGCCCCCGAAGCAACATGATGCGTTCACAAAGGGTTGGAGGTCGGGATT</t>
  </si>
  <si>
    <t>1d96a1af6326497d812c28c9a0d766b3</t>
  </si>
  <si>
    <t>GAGAGCCAAGAGATCCGTTGTTAAAAGTTTTATTTTGTTATGATATTACATTCATTACTAATAGTTTGTGATGGCCGAAGCCACAGTTCACGGTGTGTGTGGATGGCCAACTCCGAAGAGAAGGCACACATTGAACCCAATAGACCGAAGTCAAAGGGCA</t>
  </si>
  <si>
    <t>1dbd9c879e6726b9a2c4b38d20774bb4</t>
  </si>
  <si>
    <t>GAGAGCCAAGAGATCCGTTGTTGAAAGTTGTATTTGTTATAATAGTTTACATTCATTACATTATGTTTAAGTTTGTGCCCAAAGGCAAATAGTTCACAGGTGTATAAGGATATAAAAGCTAAGCTCGAAAGCGTCGCCGTTTATTAATGATCCTTCCGCA</t>
  </si>
  <si>
    <t>ca1707b0ce0adaaa458118acc7bfa8ef</t>
  </si>
  <si>
    <t>TGGAGCCAAGAGATCCGTTGTTGAAAGTTTTAACAGTTCGCTTAGAACACTCAGAAGTATCGTCGGGTTCAAACAGAGATTCTGATAATGCCGGCGGGCACGCCCCGAGAGGCGCGCCGCCGAAGCAACAGGTATGAAGGTTCACAAAGGGTTATGAGTT</t>
  </si>
  <si>
    <t>b33d70bc13b05650e59d6e24f1fce59a</t>
  </si>
  <si>
    <t>CAGAACCAAGAGATCCGTTGTTGAAAGTTTTAACTATTATATAGTACTCAGACGACATTAATAAAAAGAGTTTTGGTATTCTCTGGCGAGCATACAAGGCCCGGAGGCAGCTCGCCAAAGCAACAAAGTAATAATACACAAGGGTGGGAGGTCTACCCTT</t>
  </si>
  <si>
    <t>97ba9b0c7da2bd7498460706bac9fdc9</t>
  </si>
  <si>
    <t>GAGAGCCAAGAGATCCGTTGTTGAAAGTTGTATTGATTATAATACTTTACATTCGTTACACTGATGTTTGTAGTAAATTGTCCGAAGACAATAAGGTGCACAGGTGTAATAAGGGATTATAAAGCTAGGCCGTGAGGCTTCGCATTTAATAATGATCCTT</t>
  </si>
  <si>
    <t>4c259d4bf2d74bd72c84e7e8cf631fbd</t>
  </si>
  <si>
    <t>CAGAACCAAGAGATCCGTTGTTGAAAGTTGTAACTATTAAGTTTTTTCAGACGCTGATTGCAACTGCAAATGGTTTAAATTGTCCAATCGGCGGGCGGACCCGCCGAGGAAACGAAGGTACTCAAAAGACATGGGTAAGAGATAGCAGGCAAAGCCTACA</t>
  </si>
  <si>
    <t>a11c0e7171f913308b28c73e84551a2e</t>
  </si>
  <si>
    <t>CAGAACCAAGAGATCCGTTGTTGAAAGTTTTGACTTATTCAGTACAGAAGACTCAGAGAGGCCATGTAAATTCAAGAGTTTGGTGTACCTCCGGCGGGCCCCCGAGAGGGGCCGAGGGCAGGGCCGAAGCCCGCCACCCGCCGAAGCAACGATGTAGGTA</t>
  </si>
  <si>
    <t>ed36ca48f123c214518b41c19a729839</t>
  </si>
  <si>
    <t>GAGAGCCAAGAGATCCGTTGTTGAAACTTAGTATTAGATGCGTTACATCCATTACATTCATTTCTAAATAAATTGGGTTTATGTATTGAGTAGACAGAGGGTCCAGCACCAATTGTTCTTAAAAAACAATCAATAAATTCCCCATCTGCCTCACAAGTGC</t>
  </si>
  <si>
    <t>dc2ce4ef9d869a0bb696823011c24c9c</t>
  </si>
  <si>
    <t>CAGAACCAAGAGATCCGTTGTTGAAAGTTGTAATTAATTACGTTGTTACTGACGCTGATTGCTATTGCAAAAGGTTTGTGGTTGGTCCTGAGGGCGGGCGAGCCCACCCAGGAAACAAGAAGTACGCAAAAGACACGGGTAAATAATTCAGCAGGGCCGG</t>
  </si>
  <si>
    <t>5a7c6ec88945e37973ac60e12cbb358d</t>
  </si>
  <si>
    <t>CAGAACCAAGAGATCCGTTGTTGAAAGTTTTGATTCATTTTGAATTTTTGCTCAGAGCTGTAAGAAATACGTCCGCGAGGGGACTACAGAAAGAGTTTGGTTGGTTCCTCCGGCGGGCGCCTGGTTCCGGGGCTTTTACGCACCCGGGGCGTGACCCCGC</t>
  </si>
  <si>
    <t>3a3c8867d3a1b18575e2cf3c03b64c00</t>
  </si>
  <si>
    <t>CGGAACCAAGAGATCCGTTGTTGAAAGTTTTAACGATTTTTCTTATATGAAAACTCAGACTGCAAACTTCAGACAGTGTTCAATGTTGGAGTCTCCGGCGGGCGCGGGCCCGGGGGGCTAGAGAGCCCCCCCGGCGGCCATGAAGGCGGGCCCGCCGAAG</t>
  </si>
  <si>
    <t>842ab191a9d90c3d65c00bb4f2cd81a2</t>
  </si>
  <si>
    <t>GAGAGCCAAGAGATCCATTGTTAAAAGTTGTTTTAGATTAAAATTCTTGTCCCTTTCGGTACAAATATCAATCAGACAAAGCTTAAGTGAAAAAATTTTACAGTGCACAAAAGGTCCCTTTTGGGGGCAGGTCTTGGGTTAAACCCAAGCCCGAATTTTT</t>
  </si>
  <si>
    <t>b74b7108570927d1fcb3f0514a39f03e</t>
  </si>
  <si>
    <t>GAGAGCCAAGAGATCCGTTGTTAAAAGTTGTATTTATTATAATAGTTTACATTCTTTACACTGATGTTTGTATAATATCGCCGGAGCGACAAGATGCACAGGTGTTAAAGGATTATAAAGTTACCAGAGGCAACATTTATTAATGATCCTTCCGCAGGTT</t>
  </si>
  <si>
    <t>887aa2acd0951d8c15251169f3a9b842</t>
  </si>
  <si>
    <t>CAGAACCAAGAGATCCGTTGTTGAAAGTTTTGATTCATTTATGTTTTTTACTCAGAGATTCACTGTAGAAACAAGAGTTTGGTTGGCCGCCGGCGGGCTGCTCCCTGTTTCCAGGGGGCCTCAGTGAAGAGGCCGGCCTACGCCGAGGCAACAATAGGTA</t>
  </si>
  <si>
    <t>0591dc24fcacc2135571b408a26f11a5</t>
  </si>
  <si>
    <t>GAGAGCCAAGAGATCCGTTGTTGAAAGTTATATTTATTATAGTAGATTACATTCATTACATTATGTTTGGATTGGTGCCCGAAGGCAAATAGTTCACAGGTGTTATGGATAATAGAAAGCTTTCGCCATTTATTAATGATCCTTCCGCAGGTTCACCTAC</t>
  </si>
  <si>
    <t>290d763aad9e242961b3b2d00f3e5b50</t>
  </si>
  <si>
    <t>CGGAACCAAGAGATCCGTTGTTGAAAGTTTTAAATAATTTATATTTAATCTCAGACTACAATCTTCAGACAGAGTTCTAAGGTGTCTTCGGCGAGCGCGGACCCGGGGACAGACGTCCCCCGGCAGCCAAAAGGCAGGCTCGCCGAAGCAACAAGGTAAA</t>
  </si>
  <si>
    <t>a0413358e121c981ea417816154667bd</t>
  </si>
  <si>
    <t>80b1774a4f6a293738c881d1753cec64</t>
  </si>
  <si>
    <t>GAGAACCAAGAGATCCGTTGTTGAAAGTTTTATTTTGTTTATATAAAACGGTTACATTCATTAAACTAAGAGTTTGTATAAAATGATTGGCTTTCGATTGCTCAAAAGCCAAAACAGTGCACAGGTGTATGTGGATTGTGAAGGGATGGGGAGGTCAATT</t>
  </si>
  <si>
    <t>5b2514bd9e5c14bd8f3438125f0a34d5</t>
  </si>
  <si>
    <t>GAGAGCCAAGAGATCCGTTGTTGAAAGTTTTATTAGGTTATAATAAGACTACGTTTGTTACATTAATTGTTTGTTAAAAAGGGCAGACGATGACTTGGGCGAACCTAGTCATGCGCCTTACAGTTCACAGGTGTTGGGATGTGAGTTAAGCAAGGGCCTT</t>
  </si>
  <si>
    <t>9613c2dc163e4f605e92537dc7f792f8</t>
  </si>
  <si>
    <t>GAGAGCCAAGAGATCCGTTGTTGAAAGTTTTATTATGTTATAATAAGACTACATTTGTTACAATAATGTTTAGTTTAAAAGTGGATGCAAGCATCCAACAGTGCACAGGTGTTATGGATATGAATGAGCGGGACCGAAGTCACCACCCCACATACTGCGT</t>
  </si>
  <si>
    <t>715dd70201774676393db778324944ad</t>
  </si>
  <si>
    <t>CAGAACCAAGAGATCCGTTGTTGAAAGTTTTGACTTATTCAGTACAGAAGACTCAGAGAGGCCATAATAATCAAGAGTTGGGTTTCCTCCGGCGGGCGCCCCGCTAGGGGGCCAGGGGGCACCGGGCGGACCCGGGCCGCCCGCCGAAGCAACGGTTTGA</t>
  </si>
  <si>
    <t>b3a7c4e183383ca7256178dffc8dc3de</t>
  </si>
  <si>
    <t>CAGAGCCAAGAGATCCGTTGTTGAAAGTTTTAATTTATTTGCTTGTTTACTCAGAAGAAACATTATAGAAACAGAGTTAGGGGGTCCTCTGGCGGGGGCGGCCCGTGTTACGGGGCCGTCTGTTCCCGCCGAGGCAACGTTATAGGTATGTTCACAGGGT</t>
  </si>
  <si>
    <t>f33c74f4efe5423f9c5fe814ffd07aaf</t>
  </si>
  <si>
    <t>GAGAGCCAAGAGATCCGTTGTTGAAAGTTTTGTTTTGTTATAAACTTTATACATTCATAGACTTTGTGTTTGTAAATGAAGAGGTGTTCAGACGAATCCTACTAACCAAAACAAATGCACAGGGTTAGAAAGTGAGAGTTCGGACTTCAAGTTAAATTGA</t>
  </si>
  <si>
    <t>7077548626e8c5b25c223a969889778e</t>
  </si>
  <si>
    <t>GAGAACCAAGAGATCCGTTGTTGAAAGTTTTGAAGATTAATTCAAAATTTGACTAACTGTAAAAATAATTAAATTGTGTTTTGTTAAACCTCTGGCCCAACCTATCTCTAGGCCAAACCAAAGCAAGAGTTCTGTATCAAAAAGACACTGTGTGTAAGGT</t>
  </si>
  <si>
    <t>6d276e10fcbc7f9570c1f873b127c607</t>
  </si>
  <si>
    <t>b7cfd16c7b365b056d35dbd352d5a720</t>
  </si>
  <si>
    <t>CAGAGCCAAGAGATCCGTTGTTGAAAGTTTTGATTCATTTTGTTTTCGGGCTTTCGCCCCTCAGAGAAATACGATTAAATCAGGGTTTGGTTTTCCCCGGCGGACGCCCGGAGGCCCGGAGGCCACCGCGCGCTGAGCCCGCCGAGGGAACGTTTGGTAA</t>
  </si>
  <si>
    <t>b019e6dd63ab0419d220b89adc85254e</t>
  </si>
  <si>
    <t>CAGAACCAAGAGATCCGTTGTTGAAAGTTGTAACTATTAAGTTTTTTCAGACGCTGATTGCAACTGCAAAGGGTTTGAATGTTGTCCAACCGGCGGGCGGACCCGCCGAGGAAACGAAGGTACTCAAAAGACATGGGTAAGAGGTAGCAGACCGAAGTCC</t>
  </si>
  <si>
    <t>e810a1577a6d096627adb02d164de852</t>
  </si>
  <si>
    <t>GAGAGCCAAGAGATCCGTTGCTAAAAGTTGTATTATAGATGCGTTAGACGCGTTTACATTCTGATACTTTAAAGTGTTTGTAGTATACATAGGCCGGCAGAATGCTCCCGTTAAGGAGCCCACGCCAACCTACAGTAAGTGCACAGGGGTAGAGTGGATG</t>
  </si>
  <si>
    <t>6329d0b7c7ab8b42f78692f21d23a5b3</t>
  </si>
  <si>
    <t>CAGAACCAAGAGATCCATTGTTAAAAGTTGTAATAATTTAGTTTTGTATCGGAAGTGTTAAATGTATAATGCAAAGGGTTTAGTTGGTTCCTGTCGGCGGGCGAACCCGCCGAGGGAAGCAATAGGGGTACACATAGGCAAAGGGTGGGTGTAAAGTCAG</t>
  </si>
  <si>
    <t>1008c2d2d393c7d6c29000c503546978</t>
  </si>
  <si>
    <t>GAGAGCCAAGAGATCCGTTGTTGAAAGTTTTGTTTTGTTTAATGATATATACGTTCATTACACTGATGTTTGTTAAATAGACCCGGAGGTCCACAGTTCACAGAGGTGAGGGATATAGAGATAAGACCTTTCGGTCAATCTTTAATGATCCTTCCGCAGG</t>
  </si>
  <si>
    <t>88f8bb24c3fd04cab0d548c2cea24bb1</t>
  </si>
  <si>
    <t>GAGAGCCAAGAGATCCGTTGTTGAAAGTTTTATTATGTTATAATAAGACTACATTTGTTACAATAATGTTTAGTTTAAAAGTGGATGCAAGCATCCAACAGTGCACAGGTGTTATGGATAGAACCAGCCCCTATCAGTTAAGACTAGGGCGTAAAATTCA</t>
  </si>
  <si>
    <t>ba56f0f37d00cb0ec355c59f4658e8ce</t>
  </si>
  <si>
    <t>CGGAACCAAGAGATCCGTTGTTGAAAGTTTTAACGATTGTTTAACTAAAAACTCAGACTGCAAACTTCAGACAGCGTTCAAATGTTAGTCTCCGGCGGGCCGTGGCCACGCCGAAGCAACAGGGTACAGATAGACACGGATGGGAGGTTGGACCCAGAGG</t>
  </si>
  <si>
    <t>6ca012254e115bd30af0270d4157161d</t>
  </si>
  <si>
    <t>CAGAACCAAGAGATCCGTTGTTGAAAGTTTTAATTATTTGCTTGTGCCACTCAGAAGAAACGTCGTTAAAATAGAGTTTGGTATCCTCCGGCGGGCGCTCCGCCCGTGAGGGCAGGGCCGGGAGGGGGGTCCGCAGGCGGCACCCCCTGCCCGCCGAAGC</t>
  </si>
  <si>
    <t>ef0aa4b2853061c2856b8e26345fab5b</t>
  </si>
  <si>
    <t>GAGAACCAAGAGATCCGTTGTTGAAAGTTTTATTTTGTTTATATAAAACGGTTACATTCATTAAACTAGGGGTTTGTATAAAATGATTGGCTTTCGATTGCTCAAAAGCCAAAACAGTGCACAGGTGTATGTGGATTGTGAAGGGTTGGGGAGGTCAGTT</t>
  </si>
  <si>
    <t>c87fd036d2ff846b01e1ad5d8aee9010</t>
  </si>
  <si>
    <t>GAGAGCCAAGGGATCCGTTGTTGAAAGTTGTATTTTGAATTGTTTATTCATAATATTTTTCAGACAAAGGGTTAAAAAATAAAGGTTGATGTTTGGTCGATCTCCATGAAGAAGATCGACCGACATTGCACACAAGGTGGATATGGATTTAAAAAGTGCC</t>
  </si>
  <si>
    <t>2196f2664411dc4564dbd20b7339caf6</t>
  </si>
  <si>
    <t>GAGAGCCAAGAGATCCGTTGTTGAAAGTTGTATATAGTTTTAGAGGACATAAGTCCAGTAAACAAGACATTCATGACATACAAAGAGTATATGAATTCATAAGCCTGGAAAGTCAAAAGGAGCTTTAAAAAAGCAACCTTTCAAACCACAAAGTAAACTT</t>
  </si>
  <si>
    <t>f5f7fd3073770955118d33b89618a6ae</t>
  </si>
  <si>
    <t>GAGAGCCAAGAAATCCGTTGCTGAAAGTTGTTCTTTCAAATTTCATTGGTTATTTACATCCTCATCTCTTATTAAATATTCAAAGGGGTTATGTATGTGTGTTATAGACTTCGACAACCCGTGAAGGTATTTGAAGAATATAAGATTTCAAGTGCACTAA</t>
  </si>
  <si>
    <t>e2a7309ce67a8601d0e1ff3945a9461d</t>
  </si>
  <si>
    <t>CGGAACCAAGAGATCCGTTGTTGAAAGTTTTAATTATTGTTTAACTAAAAACTCAGACTGCAAACTTCAGACAGTGTTCAAATGTTAGTCTTCGGCGGGCCGTGGCCACGCCGAAGCAACAGGGTACAGATAGACACGGATGGGAGGTTGGACCCAGAGG</t>
  </si>
  <si>
    <t>8131e1ed1733eb4cc2457dc97beee415</t>
  </si>
  <si>
    <t>CAGAACCAAGAGATCCGTTGTTGAAAGTTTTGATTTATTTATGGTTTTACTCAGAAGTTACATATAGAAACAGAGTTTAGGGGTCCTCTGGCGGGCCGTCCCGTTTTACCGGGAGCGGGCTGATCCGCCGAGGCAACAATTGGTATGTTCACAGGGGTTT</t>
  </si>
  <si>
    <t>65d222f9c967701b4b356590bbac7cd4</t>
  </si>
  <si>
    <t>GAGAGCCAAGAGATCCGTTGTTGAAAGTTGTATTTGAATTGTTTATTCATAATAGTTTTCAGACAGACAGTTAAAAAATAAGTTGATGTTTGGCCGCTTTCATAAAGAAAACGGCTGACATTGCACACAAGGTGGATATGGATTTAAGAAGTGCCATAAA</t>
  </si>
  <si>
    <t>71bc29b6817201b7ac7dfe4e54b485d8</t>
  </si>
  <si>
    <t>GAGAGCCAAGAGATCCGTTGTTAAAAGTTGTATTTTGTTATGATATATTACATTCAAGACTTCAAGTTTGGGCCGAAGCCACGGTTCACAGTGTATATTATGTGTATAAGGCCAAAAGGCCGAATTCAATAATGATCCTTCCGCAGGTTCACCTACGGAA</t>
  </si>
  <si>
    <t>7e1b7648ae904f899ada5e066391f006</t>
  </si>
  <si>
    <t>46ee3d8ffc05b118900e0bd03dcc3922</t>
  </si>
  <si>
    <t>CAGAACCAAGAGATCCGTTGTTGAAAGTTTTTACTTATTGAATAAGTACTCAGAGAAACAATAATAACAAGAGTTTGCGTTCTTCCGGCGGCAGCAGAGCTGTCCGCCGAAGCAACGGGTTCGTTCGTTCACAATGGTTTTAGAGAGTTATACTCGCTAA</t>
  </si>
  <si>
    <t>91890cee208ac187055c054fb0c40076</t>
  </si>
  <si>
    <t>12375de0a965391e2eac8a9a7971999c</t>
  </si>
  <si>
    <t>CAGAACCAAGAGATCCGTTGTTGAAAGTTTTGATTTATTTAATCGGTTACTCAGAAGAATTCTTTAATGTAATCAGGGTTTGGGGTCCTCTGGCGGGCTGTCGGAACAGGCACCGCCGAGGCAACAATAGGTATGTTCACAGGGGTTTGGGAGTTGTAAA</t>
  </si>
  <si>
    <t>b97537d3852afe551da03198b5501a4f</t>
  </si>
  <si>
    <t>CAGAACCAAGAGATCCGTTGTTGAAAGTTGTAATTATTATTTGTTTTCTGACGCTGATTGCAACTACAAAAAGGTTTGATATTGTCCAACCGGCAGGCAAGCCCGCCGAGGAAACATACGGTACGCAAAAGACAAGGGTGCAGCAAGGACCGAAGTCCGC</t>
  </si>
  <si>
    <t>467251a63ef19dbc8e98d095883fa430</t>
  </si>
  <si>
    <t>GAGAGCCAAGAGATCCGTTGTTAAAAGTTTTATTAATTATAATAAGACTACATTTGTTACAAATTGTTTAGTATAAAAGTGGATGCAAGCATCCAACAGTGCACAGGTGTTATGGATAAGAAGGTTAGTGCCGGGATTATGGGCCCCGGCAACACATTTT</t>
  </si>
  <si>
    <t>b071217fbc79db1798e68694ed2a9574</t>
  </si>
  <si>
    <t>CAGAACCAAGAGATCCGTTGTTGAAAGTTGTAATTATTAAAATAATTCAGACGCTGATTCAAAATTAAAAAGGTTATTGATTTGTCCAATCGGCAGGCAAGCCTGCCGAGGAAACACAAGTGCGCAAAAAGTCAAGGGTTAAGAAAAGGCACGTACTCCT</t>
  </si>
  <si>
    <t>973236358f89e396328d80cb0e01dfaf</t>
  </si>
  <si>
    <t>GAGAGCCAAGAGATCCGTTGTTGAAAGTTTTATTATGTTATAATAAGACTACATTTGTTACAATAATGTTTAGTTTAAAAGTGGATGCAAGCATCCAACAGTGCACAGGTGTTATGGATAGAACCAGCCCCTAGCACTTAAGCCTAGGGCGTAAAATTCA</t>
  </si>
  <si>
    <t>b340f062929794b68ba9e01d23d58ec4</t>
  </si>
  <si>
    <t>GAGAGCCAAGAGATCCGTTGTTGAAAGTTGTATTTTGAATTGTTTATTCATAATATTTTTCAGACAAAGAGTTAAAAAATAAAGGTTGATGTTTGGTCGATCTCCATGAAGAAGATCGACCGACATTGCACACAAGGTGGATATGGATTTAAAAAGTGCC</t>
  </si>
  <si>
    <t>taxo isolat</t>
  </si>
  <si>
    <t xml:space="preserve">isolat </t>
  </si>
  <si>
    <t>yes</t>
  </si>
  <si>
    <t>sum</t>
  </si>
  <si>
    <t>count</t>
  </si>
  <si>
    <t>rel abund</t>
  </si>
  <si>
    <t>prevalence</t>
  </si>
  <si>
    <t>prevalence in seedling</t>
  </si>
  <si>
    <t>Bilan</t>
  </si>
  <si>
    <t>nb d'ASV unique (160bp) dans le microbiote</t>
  </si>
  <si>
    <t>Abund rel de ces 22 ASV dans le microbiote</t>
  </si>
  <si>
    <t>unique MD5</t>
  </si>
  <si>
    <t>taxo</t>
  </si>
  <si>
    <t>isolat</t>
  </si>
  <si>
    <t>c__Dothideomycetes</t>
  </si>
  <si>
    <t>o__Pleosporales</t>
  </si>
  <si>
    <t>g__Alternaria</t>
  </si>
  <si>
    <t>g__Stemphylium</t>
  </si>
  <si>
    <t>s__solani</t>
  </si>
  <si>
    <t>o__Capnodiales</t>
  </si>
  <si>
    <t>g__Cladosporium</t>
  </si>
  <si>
    <t>s__delicatulum</t>
  </si>
  <si>
    <t>g__Mycosphaerella</t>
  </si>
  <si>
    <t>s__tassiana</t>
  </si>
  <si>
    <t>o__Hypocreales</t>
  </si>
  <si>
    <t>g__Gibberella</t>
  </si>
  <si>
    <t>s__intricans</t>
  </si>
  <si>
    <t>g__Fusarium</t>
  </si>
  <si>
    <t>s__oxysporum</t>
  </si>
  <si>
    <t>o__Glomerellales</t>
  </si>
  <si>
    <t>g__Gibellulopsis</t>
  </si>
  <si>
    <t>s__piscis</t>
  </si>
  <si>
    <t>c__Cystobasidiomycetes</t>
  </si>
  <si>
    <t>o__Cystobasidiomycetes_ord_Incertae_sedis</t>
  </si>
  <si>
    <t>g__Symmetrospora</t>
  </si>
  <si>
    <t>s__coprosmae</t>
  </si>
  <si>
    <t>g__Plectosphaerella</t>
  </si>
  <si>
    <t>s__oratosquillae</t>
  </si>
  <si>
    <t>c__Tremellomycetes</t>
  </si>
  <si>
    <t>o__Tremellales</t>
  </si>
  <si>
    <t>g__Vishniacozyma</t>
  </si>
  <si>
    <t>s__carnescens</t>
  </si>
  <si>
    <t>s__sphaerospermum</t>
  </si>
  <si>
    <t>c__Eurotiomycetes</t>
  </si>
  <si>
    <t>o__Eurotiales</t>
  </si>
  <si>
    <t>g__Penicillium</t>
  </si>
  <si>
    <t>s__olsonii</t>
  </si>
  <si>
    <t>o__Dothideales</t>
  </si>
  <si>
    <t>g__Aureobasidium</t>
  </si>
  <si>
    <t>s__pullulans</t>
  </si>
  <si>
    <t>s__langeronii</t>
  </si>
  <si>
    <t>g__Acremonium</t>
  </si>
  <si>
    <t>s__hyalinulum</t>
  </si>
  <si>
    <t>g__Aspergillus</t>
  </si>
  <si>
    <t>s__ochraceus</t>
  </si>
  <si>
    <t>s__aurantiogriseum</t>
  </si>
  <si>
    <t>g__Chordomyces</t>
  </si>
  <si>
    <t>s__antarcticus</t>
  </si>
  <si>
    <t>s__oxalicum</t>
  </si>
  <si>
    <t>Unique ASV</t>
  </si>
  <si>
    <t>Rank Prevalence</t>
  </si>
  <si>
    <t>Rank abundance</t>
  </si>
  <si>
    <t>nb top 50 prev</t>
  </si>
  <si>
    <t>nb top 50 rel abund</t>
  </si>
  <si>
    <t>954c617d4484e7696d6ed6258d27dd27</t>
  </si>
  <si>
    <t>f43122d1b872ab9cd043b89c153fce62</t>
  </si>
  <si>
    <t>1686e3ecc6e6580aac586bc21b037acc</t>
  </si>
  <si>
    <t>82296e76f994b0a5ad1eca6c16772bab</t>
  </si>
  <si>
    <t>b6d82aba922565d5f5d65e1f7ee61745</t>
  </si>
  <si>
    <t>b8fe600476c530d38dc5d7f3a450cfae</t>
  </si>
  <si>
    <t>a59945f9d0e60ecbeb7f551b02f6e185</t>
  </si>
  <si>
    <t>9796f17064409a1fa8e454e51af2dc12</t>
  </si>
  <si>
    <t>2909348242b4ee403fe74b76d78bde87</t>
  </si>
  <si>
    <t>b466bf8b0d7c95c9544178d269a5bbba</t>
  </si>
  <si>
    <t>87a064b3f8daff8a08a02c2845da4279</t>
  </si>
  <si>
    <t>ff0dc877f7a8aff04b87c3bd90eeb72b</t>
  </si>
  <si>
    <t>07226812dae41889a9855c0ae4b37719</t>
  </si>
  <si>
    <t>a0e837bd83d53c6b0b6f69c34a27ed89</t>
  </si>
  <si>
    <t>24bda0af56a7d85ab63cb13231f2acac</t>
  </si>
  <si>
    <t>292db1aa132490bdfbdfe41c9e7e55fc</t>
  </si>
  <si>
    <t>ccc20046e5d73d7860a70f606d1e74c5</t>
  </si>
  <si>
    <t>fa15225fadc4883ff6c2f3b129618580</t>
  </si>
  <si>
    <t>fdc5c83054ea8c51eb208bd23fea8d5a</t>
  </si>
  <si>
    <t>95b69b6eddd7e4f3a0646d3bb4bae1d5</t>
  </si>
  <si>
    <t>fasta</t>
  </si>
  <si>
    <t>CAGAACCAAGAGATCCGTTGTTGAAAGTTGTAATTATTAATTTGTTACTGACGCTGATTGCAATTACAAAAGGTTTATGTTTGTCCTAGTGGTGGGCGAACCCACCAAGGAAACAAGAAGTACGCAAAAGACAAGGGTGAATAATTCAGCAAGGCTGTAACCCCGAGAGGTTCCAGCCCGCCTTCATATTTGTGTAATGATCCCTCCGCAGGTTCACCTACGGAGACCTTG</t>
  </si>
  <si>
    <t>CAGAACCAAGAGATCCGTTGTTGAAAGTTGTAATAATTACATTGTTTACTGACGCTGATTGCAATTACAAAAAGGTTTATGGTTTGGTCCTGGTGGCGGGCGAACCCGCCCAGGAAACAAGAAGTGCGCAAAAGACATGGGTGAATAATTCAGACAAGCTGGAGCCCTCACCGAGGTGAGGTCCCAACCCGCTTTCATATTGTGTAATGATCCCTCCGCAGGTTCACCTAC</t>
  </si>
  <si>
    <t>CAGAACCAAGAGATCCGTTGTTGAAAGTTTTAACTATTATATAGTACTCAGACGACATTAATAAAAAGAGTTTTGGTATTCTCTGGCGAGCATACAAGGCCCGAAGGCAGCTCGCCAAAGCAACAAAGTAATAATACACAAGGGTGGGAGGTCTACCCTTTCGGGCATGAACTCTGTAATGATCCTTCCGCAGGTTCACCTACGGAAACCTTGTTACGACTTTTACTTCCT</t>
  </si>
  <si>
    <t>CAGAACCAAGAGATCCGTTGTTAAAAGTTTTAATTTATTAATTAAGTTTACTCAGACTGCAAAGTTACGCAAGAGTTTGAAGTGTCCACCCGGAGCCCCCGCCCGAAGGCAGGGTCGCCCCGGAGGCAACAGAGTCGGACAACAAAGGGTTATGAACATCCCGGTGGTTAGACCGGGGTCACTTGTAATGATCCCTCCGCAGGTTCACCTACGGAGACCTTGTTACGACTT</t>
  </si>
  <si>
    <t>CAGAACCAAGAGATCCGTTGTTGAAAGTTTTGATTTATTTGTTTGTTTTACTCAGAAGTTCCACTAAAAACAGAGTTTAGGGTCCTCGGGCGGGCCGTCCCTTTTTACAGGGCGCGGGCTGATCCGCCGAGGCAACGTATAGGTATGTTCACAGGGGTTTGGGAGTTGTAAACTCGGTAATGATCCCTCCGCTGGTTCACCAACGGAGACCTTGTTACGACTTTTACTTCC</t>
  </si>
  <si>
    <t>CAGAACCAAGAGATCCGTTGTTGAAAGTTTTGATTTATTTGTTTGTTTTACTCAGAAGTTCCACTAAAAACAGAGTTTAGGGGTCCTCGGGCGGGCCGTCCCTTTTTACGGGGCGCGGGCTGATCCGCCGAGGCAACGTATAGGTATGTTCACAGGGGTTTGGGAGTTGTAAACTCGGTAATGATCCCTCCGCTGGTTCACCAACGGAGACCTTGTTACGACTTTTACTTC</t>
  </si>
  <si>
    <t>CAGAACCAAGAGATCCGTTGTTGAAAGTTTTGATTTATTTATGGTTTTACTCAGAAGTTACATATAGAAACAGAGTTTAGGGGTCCTCTGGCGGGCCGTCCCGTTTTACCGGGAGCGGGCTGATCCGCCGAGGCAACAAGTGGTATGTTCACAGGGGTTTGGGAGTTGTAAACTCGGTAATGATCCCTCCGCTGGTTCACCAACGGAGACCTTGTTACGACTTTTACTTCC</t>
  </si>
  <si>
    <t>CAGAACCAAGAGATCCGTTGTTAAAAGTTTTAATTTATTAATTAAGTTTACTCAGACTGCAAAGTTACGCAAGAGTTTGAAGTGTCCACCCGGAGCCCCCGCCCGAAGGCAGGGTCGCCCCGGAGGCAACAGAGTCGGACAACAAAGGGTTATGAATAACCAGGCCGAAGCCCGGGCGTTCTTGTAATGATCCCTCCGCAGGTTCACCTACGGAGACCTTGTTACGACTTT</t>
  </si>
  <si>
    <t>TGGAGCCAAGAGATCCGTTGTTAAAAGTTTTGACAGTTCGCTAAGAACACTCAGAAGTATCGTCGGGTTCGAAAACAGAGATTCTGATGAGACCGGCGGGCACCCTCGCGGGCGCCGCCGAAGCAACAGGTATAATAGTTCACAAAGGGTAGAGAGTGTAGTACTCAGTAATGATCCCTCCGCTGGTTCACCAACGGAGACCTTGTTACGACTTTTACTTCCTCTAAATGA</t>
  </si>
  <si>
    <t>TGGAGCCAAGAGATCCGTTGTTGAAAGTTTTAACAGTTCGCTTAGAACACTCAGAAGTATCGTCGGGTTCGAACAGAGATTCTGATAATGCCGGCGGGCACGCCCCGAGAGGCGCGCCGCCGAAGCAACAGGTATGAAGGTTCACAAAGGGTTATGAGTTATAGTACTCGGTAATGATCCCTCCGCTGGTTCACCAACGGAGACCTTGTTACGACTTTTACTTCCTCTAAA</t>
  </si>
  <si>
    <t>CAGAGCCAAGAGATCCGTTGTTGAAAGTTTTAATTTATTTGCTTGTTTACTCAGAAGAAACATTATAGAAACAGAGTTAGGGGGTCCTCTGGCGGGGGCGGCCCGTGTTACGGGGCCGTCTGTTCCCGCCGAGGCAACGTTATAGGTATGTTCACAGGGTTGATGAGTTGTATAACTCGGTAATGATCCCTCCGCTGGTTCACCAACGGAGACCTTGTTACGACTTTTACT</t>
  </si>
  <si>
    <t>CAGAACCAAGAGATCCGTTGTTGAAAGTTGTAACTATTATGTTTTTTCAGACGCTGATTGCAACTGCAAAGGGTTTGAATGTTGTCCAATCGGCGGGCGGACCCGCCGAGGAAACGAAGGTACTCAAAAGACATGGGTAAGAGGTAGCAGACCGAAGTCTACAAACTCTAGGTAATGATCCTTCCGCAGGTTCACCTACGGAAACCTTGTTACGACTTTTACTTCCTCTAA</t>
  </si>
  <si>
    <t>CAGAACCAAGAGATCCGTTGTTGAAAGTTGTAATTAATTACGTTGTTACTGACGCTGATTGCTATTGCAAAAGGTTTGTGGTTGGTCCTGAGGGCGGGCGAGCCCACCCAGGAAACAAGAAGTACGCAAAAGACACGGGTGAATAATTCAGCAGGGCCGGCCCCGCCGCGCACGCCGTGAAGCAGTGCCCAGCGGGGGGTGTCCAGCCCGCCTTGTTATTGTGTAATGATC</t>
  </si>
  <si>
    <t>GAGAGCCAAGAGATCCATTGTTAAAAGTTGTTTTAGATTAAAATTCTTGTCCCTTTCGGTACAAATATCAATCAGACAAAGCTTAAGTGAAAAAATTTTACAGTGCACAAAAGGTCCCTTTTGGGGGCAGGTCTTGGGTTAAACCCAAGCCCGACTTTTTTATAATGATCCTTCCGCAGGTTCACCTACGGAAACCTTGTTACGACTTTTACTTCCTCTAAATGACCAAGA</t>
  </si>
  <si>
    <t>GAGAACCAAGAGATCCGTTGTTGAAAGTTTTATTTTGTTTATATAAAACGGTTACATTCATTAAACTAAGAGTTTGTATAAAATGATTGGCTTTCGATTGCTCAAAAGCCAAAACAGTGCACAGGTGTATGTGGATTGTGAAGGGATGGGGAGGTCAGTTAAGACGCTCCCCGGTTTATTCACTAGTGATCCTTCCGCAGGTTCACCTACGGAAACCTTGTTACGACTTTT</t>
  </si>
  <si>
    <t>CAGAACCAAGAGATCCGTTGTTGAAAGTTGTAATAATTACATTGTTTACTGACGCTGATTGCAATTACAAAAAGGTTTATGGTTTGGTCCTGGTGGCGGGCGAACCCGCCCAGGAAACAAGAAGTGCGCAAAAGACATGGGTGAATAATTCAGACAAGCTGGAGCCCTCACCGAAGTGAGGTCCCAACCCGCTTTCATATTGTGTAATGATCCCTCCGCAGGTTCACCTAC</t>
  </si>
  <si>
    <t>GAGAGCCAAGAGATCCGTTGTTGAAACTTAGTATTAGATGCGTTACATCCATTACATTCATTTCTAAATAAATTGAGTTTATATATTGAGTAGACAGAGGGTCCAGCACCAATTGTTCTTAAAAAACAATCAATAAATTCCCCATCTGCCTCACAAGTGCACAGGTGTGTGTGGATGAAAGAGATAGGTGTGCACATGCCCAAATTCATGAGCCAGCTACAACCAAATATC</t>
  </si>
  <si>
    <t>GAGAGCCAAGAGATCCGTTGTTAAAAGTTTTATGTTTGTTATGATGTTACATTCATTACTAACAGTTTGTGTAAATGGCCGAAGCCACAGTTCACGGTGTGTGAGATAAGGTCGACTCCGAAGAGACCGACACAAACCCTACCAGTCCAAAGACTTCGAGGGCATCATTAATGATCCTTCCGCAGGTTCACCTACGGAAACCTTGTTATGACTTTTACTTCCTCTAAATGA</t>
  </si>
  <si>
    <t>CAGAACCAAGAGATCCGTTGTTGAAAGTTGTAATTTATTACATTGTTTGTTCAGACGCTGATTGCAATTACAAAAAGGTTTATAGTTGGGTCCTAATGGCGGGCGAACCCGCCAAGGAAACAAGTAGTACGCAAAAGACATGGGTGAATATGGCGTCAGACCGGCCCAGGAGGGGGGGTGCGACGAATCGCTCCTCTCTAGGGTGCCCAGTCTGCGTTCATATTTGGGTAA</t>
  </si>
  <si>
    <t>GAGAGCCAAGAGATCCGTTGTTAAAAGTTTTGTTTTTGTTATGATATTACATTCATTACTAACAGTTTGTGATGGCCGAAGCCACAGTTCACGGTGTATATGGAAGCCCTCATCTTGCGATAAGGGCAGATCTAACCCAATGATTTGCATCAATGGGCACTATTAATGATCCTTCCGCAGGTTCACCTACGGAAACCTTGTTATGACTTTTACTTCCTCTAAATGACCAAG</t>
  </si>
  <si>
    <t>TGGAGCCAAGAGATCCGTTGTTAAAAGTTTTGACAGTTCGCTAAGAACACTCAGAAGTATCGTCGGGTTCGAAAACAGAGATTCTGATGAGACCGGCGGGCACCCTTGCGGGCGCCGCCGAAGCAACAGGTATAATAGTTCACAAAGGGTAGAGAGTGTAGTACTCAGTAATGATCCCTCCGCTGGTTCACCAACGGAGACCTTGTTACGACTTTTACTTCCTCTAAATGA</t>
  </si>
  <si>
    <t>GAGAGCCAAGAGATCCGTTGTTGAAACTTAGTATTAGATGCGTTACATCCATTACATTCATTTCTAAATAAATTGGGTTTATGTATTGAGTAGACAGAGGGTCCAGCACCAATTGTTCTTAAAAAACAATCAATAAATTCCCCATCTGCCTCACAAGTGCACAGGTGTGTGTGGATGAAAGAGATAGGTGTGCACATGCCCAAATTCATGAGCCAGCTACAACCAGATATC</t>
  </si>
  <si>
    <t>CGGAACCAAGAGATCCGTTGTTGAAAGTTTTAAATAATTTATATTTTGTCTCAGACTACAATCTTCAGACAGAGTTCAAGGTGTCTCCGGCGAGCGCGGACCCGGGGGCAGATGCCCCCCGGCAGCCCGAAGGCAGGCTCGCCGAAGCAACAAGGTAAAATAAACACGGGTGGGAGGTTGGACCCAGAGGGCCCTCACTCGGTAATGATCCTTCCGCAGGTTCACCTACGG</t>
  </si>
  <si>
    <t>CAGAACCAAGAGATCCGTTGTTGAAAGTTTTGATTTATTTGTTTGTTTTACTCAGAAGTTACAATAAGAAACATTAGAGTTTGGGTCCTCTGGCGGGCCGTCCCGTTTTACGGGGCGCGGGCTGATCCGCCGAGGCAACATTAAGGTATGTTCACAGGGGTTTGGGAGTTGTAAACTCGGTAATGATCCCTCCGCTGGTTCACCAACGGAGACCTTGTTACGACTTTTACT</t>
  </si>
  <si>
    <t>CGGAACCAAGAGATCCATTGTTGAAAGTTTTAACTGATTGCGATACAATCGACTCAGACGACAAAACTTCAGACAGTGTTCACGTTGGTGTCTCCGGCGAGCGCTGTGCCCCCTAAAAGAAAAAGGGGGCGGGCTCGCCGAAGCAACAAGGTACGGTATACACGGGTGGGAGGTTGGGCCCCGAGGGACCCTCACTCAGTAATGATCCTTCCGCAGGTTCACCTACGGAAA</t>
  </si>
  <si>
    <t>CAGAACCAAGAGATCCGTTGTTGAAAGTTTTAACTATTATATAGTACTCAGACGACATTAATAAAAAGAGTTTTGGTATTCTCTGGCGAGCATACAAGGCCCGGAGGCAGCTCGCCAAAGCAACAAAGTAATAATACACAAGGGTGGGAGGTCTACCCTTTCGGGCATGAACTCTGTAATGATCCTTCCGCAGGTTCACCTACGGAAACCTTGTTACGACTTTTACTTCCT</t>
  </si>
  <si>
    <t>CAGAACCAAGAGATCCGTTGTTGAAAGTTTTGATTCATTTATGTTTTTTACTCAGAGATTCACTATAGAAACAGAGTTTAGTTGGCCACCGGCGGGCTGCTCCCTGTTTCCAGGGGGCCTCAGTGAAGAGGCCGGCCTGCGCCGAGGCAACAGTGGGTATAAGTTCACAAAGGGTTTCTGGGTGCGCCGAAGCGCGTTCCAGCAATGATCCCTCCGCTGGTTCACCAACGG</t>
  </si>
  <si>
    <t>CAGAACCAAGAGATCCGTTGTTGAAAGTTTTAGTTTATTTAATATTTTTTTTCAGACTGCAACGTTTCCTGACTGGAGTTTGATAGTCCTCTGGCGGGCACTAGCCACCCCCCAAAATCGGGGGGCGGCCGCGGAAGACCGCGGCCCGCCAAAGCAACAGAGGTAGGTATACAAAGGGTGGGAGGATCGGGACGGAGCCCGAATCAACTCGGTAATGATCCTTCCGCAGGT</t>
  </si>
  <si>
    <t>GAGAGCCAAGAGATCCGTTGTTGAAAGTTGTATTTTGAATTGTTTATTCATAATATTTTTCAGACAAAGAGTTAAAAAATAAAGGTTGATGTTTGGTCGATCTCCATGAAGAAGATCGACTGACATTGCACACAAGGTGGATATGGATTTAAAAAGTGCCATAAAACACTTATTATGAATGATCCTTCCGCAGGTTCACCTACGGAAACCTTGTTACGACTTTTACTTCCT</t>
  </si>
  <si>
    <t>GAGAGCCAAGAGATCCGTTGCTGAAAGTTGTATTTCAATGCGATTATCGCAAATAGACATTCTGATACAAATATGTTTATTGAATACACAGAGAGACTACTGAGCAGGATGAACCCACCGTTTGCCAATCTATGAAGGGTGCACAGAGGTATGTGGATGAATTAACAAAGTGTGCACATGCCTCGTAAGAAGCCAGCGACAACTTTGTTGTTTAATTCATTAATGATCCTT</t>
  </si>
  <si>
    <t>CAGAACCAAGAGATCCGTTGTTGAAAGTTGTAATAATTACATTGCTTACTGACGCTGATTGCAATTACAAAAAGGTTTATGGTTTGGTCCTGGTGGCGGGCGAACCCGCCCAGGAAACAAGAAGTGCGCAAAAGACATGGGTGAATAATTCAGACAAGCTGGAGCCCTCACCGAGGTGAGGTCCCAACCCGCTTTCATATTGTGTAATGATCCCTCCGCAGGTTCACCTAC</t>
  </si>
  <si>
    <t>CAGAACCAAGAGATCCGTTGTTGAAAGTTTTGATTTGTTTTGTTGCCTTTCGGCTCGCTCAGAGGATACACATGTTTGTTAAACAGGGTTCGTGTGGTCCCCGGCGGGCGCCTTGGGTCCGGGGCACGCAGCGCCCGGGGCGGTCCGCCGAAGCAACGGTAGGTAAGGTTCACAAAGGGTTGGGAGTTGTTTTGTTAACTCTATAATGATCCCTCCGCTGGTTCACCAACG</t>
  </si>
  <si>
    <t>CAGAACCAAGAGATCCGTTGTTGAAAGTTGTAATTAATTACGTTGTTACTGACGCTGATTGCTATTGCAAAAGGTTTGTGGTTGGTCCTGAGGGCGGGCGAGCCCACCCAGGAAACAAGAAGTACGCAAAAGACACGGGTGAATAATTCAGCAGGGCCGGCCCCGCCGCGCACGCCGTGAAGCAGTGCCCAGCGGGGGGTGTCCAGCCCGCCTGGTTATTGTGTAATGATC</t>
  </si>
  <si>
    <t>CTGAACCAAGAGATCCGTTGCTGAAAGTTTTATAAAACTTTTAATATTTCAACAGCTTAACTGCTTGGACATTCTAGTAAACATTTTAAAACAGTGGTTTGTAGAAGATTATGAGTTTTTTATCACTCAATAATTAATCACTAATGATCCTTCCGCAGGTTCACCTACGGAAACCTTGTTACGACTTTTACTTCCTCTAAATGACCAAGAGATCGGAAGAGCGTCGTGTAG</t>
  </si>
  <si>
    <t>CAGAACCAAGAGATCCGTTGTTGAAAGTTGTAATAATTACATTGTTTACTGACGCTGATTGCAATTACAAAAAAGGTTTATGGTTGGGTCCTGGTGGCGGGCGAACCCGCCCAGGAAACAAGAAGTGCGCAAAAGACATGGGTGAATAATTCAGACAAGCTGGAGTCCTCACCGAAATGAGGTCCCCAACCCGCTTTCATATTGTGTAATGATCCCTCCGCAGGTTCACCT</t>
  </si>
  <si>
    <t>CAGAACCAAGAGATCCGTTGTTGAAAGTTTTGATTTATTTGTTTTTTATACTCAGAAGTTCCACTAAAAACAGAGTTTAGGGTTTCCTGCGGCGGGCCGTCCCGTTTTACGGGGCGCGGGCTGATCCGCCGAGGCAACATAAAGGTATGTTCACAGGGGTTTGGGAGTTGTAAACTCGGTAATGATCCCTCCGCTGGTTCACCAACGGAGACCTTGTTACGACTTTTACTT</t>
  </si>
  <si>
    <t>CAGAACCAAGAGATCCGTTGTTGAAAGTTGTAACTATTATGTTTTTTCAGACGCTGATTTCAATTACAAAGGGTTTAAGTTTGTCCAATCGGCGGGCGGACCCGCCGAGGAAACGAAGGTACTCAAAAGACATGGGTAAGAGATGGTAGGCAAAGCCTACAACTCTAGGTAATGATCCTTCCGCAGGTTCACCTACGGAAACCTTGTTACGACTTTTACTTCCTCTAAATG</t>
  </si>
  <si>
    <t>GAGAGCCAAGAGATCCGTTGCCGAAAGTTTTGTTTTGTTATGTTGCTCTTTCGAGACTTGTTTTACATTCTTAAAACTATAGAGTTAAAAAATGGTGTAAAGAGTAGTGTGTGCACAGAGTAAAGGTAAAATGTAATTGGTCGGACCTCTAAAAAGAGCGTCCTTGAATTTCATTAATGATCCTTCCGCAGGTTCACCTACGGAAACCTTGTTACGACTTTTACTTCCTCT</t>
  </si>
  <si>
    <t>CAGAACCAAGAGATCCGTTGTTGAAAGTTTTGATTTATTTGTTTTTTATACTCAGAAGTTCCACTAAAAACAGAGTTTAGGGTTCCTGCGGCGGGCCGTCCCTTTTTACGGGGCGCGGGCTGATCCGCCGAGGCAACATAAGGTATGTTCACAGGGGTTTGGGAGTTGTAAACTCGGTAATGATCCCTCCGCTGGTTCACCAACGGAGACCTTGTTACGACTTTTACTTCC</t>
  </si>
  <si>
    <t>GAGAGCCAAGAGATCCGTTGCTGAAAGTTGTATATAGTTTATAAGGCAATTAAGCCTAATAATGACATTCTGTTACATTCTTAAGGTGTATATGAAAACATAGCCCTGGAAACTAACAAGGAAAGCCTATTAAGCAATTCCTCACAACCGAGTTTCCTCGGAAAGTTGAATCCAGGTCTACAAAAGGTGCACAGGTGGAGATATAAAGATGACAAGGTGTGCACATGTCTC</t>
  </si>
  <si>
    <t>CAGAGCCAAGAGATCCGTTGCTGAAAGTTTTTATTTATTTTTGTTTGATACTCAGAAATTCATGTAAATTCAAGAATATAGGCCTTCGGCGGCCGGTGAGGACCGCCGAAGCAACAGGTATGTTCACAAAGGTTAGGGAGTTTACACTCTATAATGATCCCTCCGCTGGTTCACCAACGGAGACCTTGTTACGACTTTTACTTCCTCTAAATGACCAAGAGATCGGAAGAG</t>
  </si>
  <si>
    <t>CAGAACCAAGAGATCCGTTGTTGAAAGTTTTAGTTTATTTAATATTTTTTTTCAGACTGCAACGTTTCCTGACTGGAGTTTGATAGTCCTCTGGCGGGCACTAGCCACCCCCCAAAATCGGGGGGCGGCCGCGGAAGACCGCGGCCCGCCAAAGCAACAGAGGTAGGTATACAAAGGGTGGGAGGATCGGGACGGAGCCCGAATCAACTCGGTAATGATCCTTCCGCAGGG</t>
  </si>
  <si>
    <t>CAGAACCAAGAGATCCGTTGTTAAAAGTTTTAATTTATTAATTAAGTTTACTCAGACTGCAAAGTTACGCAAGAGTTTGAAGTGTCCACCCGGAGCCCCCGCCCGAAGGCAGGGTCGCCCCGGAGGCAACAGAGTCGGAAAACAAAGGGTTGTGCGTTCCCAGCTGTACAAGCCTGGGGCGTCATATAATGATCCCTCCGCAGGTTCACCTACGGAGACCTTGTTACGACT</t>
  </si>
  <si>
    <t>CAGAACCAAGAGATCCGTTGTTGAAAGTTGTAACTATTAAGTTTTTTCAGACGCTGATTGCAACTGCAAATGGTTTAAATTGTCCAATCGGCGGGCGGACCCGCCGAGGAAACGAAGGTACTCAAAAGACATGGGTAAGAGATAGCAGGCAAAGCCTACAACTCTAGGTAATGATCCTTCCGCAGGTTCACCTACGGAAACCTTGTTACGACTTTTACTTCCTCTAAATGA</t>
  </si>
  <si>
    <t>CAGAACCAAGAGATCCGTTGTTGAAAGTTGTAATAATTACATTGTGTACTGACGCTGATTGCAATTACAAAAAAGGTTTATGGTTGGGTCCTGGTGGCGGGCGAACCCGCCCAGGAAACAAGAAGTGCGCAAAAGACATGGGTGAATAATTCAGACAAGCTGGAGCCCTCACCGAGATGAGGTCCCAACCCGCTTTCATATTGTGTAATGATCCCTCCGCAGGTTCACCTA</t>
  </si>
  <si>
    <t>CAGAACCAAGAGATCCGTTGTTGAAAGTTTTGATTTATTTGTTTTTTAGACTCAGAAGTTACACTAAAATCAGAGTTTTGTGGTTCCTGCGGCGGGCCGTCCCGTTTTACGGGGCGCGGGCTGATCCGCCGAGGCAACATAAAGGTATGTTCACAGGGGTTTGGGAGTTGTAAACTCGGTAATGATCCCTCCGCTGGTTCACCAACGGAGACCTTGTTACGACTTTTACTT</t>
  </si>
  <si>
    <t>GAGAACCAAGAGATCCGTTGTTGAAAGTTTTATTTTGTTTATATAAAACGGTTACATTCATTAAACTAAGAGTTTGTATAAAATGATTGGCTTTCGATTGCTCAAAAGCCAAAACAGTGCACAGGTGTATGTGGATTGTGAAGGGATGGGGAGGTCAATTAAGACGCTCCCCGGTTTATTCACTAGTGATCCTTCCGCAGGTTCACCTACGGAAACCTTGTTACGACTTTT</t>
  </si>
  <si>
    <t>CAGAACCAAGAGATCCGTTGTTGAAAGTTGTAACTATTAAGTTTTTTCAGACGCTGATTGCAACTGCAAAGGGTTTGAATGTTGTCCAACCGGCGGGCGGACCCGCCGAGGAAACGAAGGTACTCAAAAGACATGGGTAAGAGGTAGCAGACCGAAGTCCACAAACTCTAGGTAATGATCCTTCCGCAGGTTCACCTACGGAAACCTTGTTACGACTTTTACTTCCTCTAA</t>
  </si>
  <si>
    <t>GAGAGCCAAGAGATCCGTTGTTGAAAGTTATATTTTGAATTAAGTATATTCATAATATGTTATCAGACGAATGTTGTTAAAGATATAGGTTGATATTTATGAAGGGAAAGAAAAGACTTTCCCAACAAACATTGCACACAAGGTGGATATGGATTTTTAAAGAGTGCCATAAAACACTCGTTTGTGAATGATCCTTCCGCAGGTTCACCTACGGAAACCTTGTTACGACTT</t>
  </si>
  <si>
    <t>CAGAACCAAGAGATCCGTTGTTGAAAGTTTTGTATACTATTAAAGTAACTAAATCAGACTACAAGTATCCCAATTATTGGTTAACAAAATGGTTTGGTATGTATCCCCTGGCAGAACACAAGGCTCTGCCAAAGCAACTAAGAAAAAATAACAAAGGGTGAAGAGTGTAAGAGTAGTTTAGTATTTGCATACCAAAGCTACCCTTAAAAACTCAATAATGATCCTTCCGCA</t>
  </si>
  <si>
    <t>GAGAGCCAAGAGATCCGTTGTTAAAAGTTTTGTTTTTGTTATGATTTTACATTCATTACTAACAGTTTGTGATGGCCGAAGCCACAGTTCACGGTGTGTATGGAAACCCTCCTCTTGCGAGGAGAGCAGATCTAACCCAATGACTTGCATCAGAGGGCACTATTAATGATCCTTCCGCAGGTTCACCTACGGAAACCTTGTTATGACTTTTACTTCCTCTAAATGACCAAG</t>
  </si>
  <si>
    <t>GAGAGCCAAGAGATCCGTTGTTAAAAGTTTTGTTTTTGTTATGATATTACATTCATTACTAACAGTTTGTGATGGCCGAAGCCACAGTTCACGGTGTGTATGGAAACCCTCTTCTTGCGAAGAGAGCAGATCTAACCCAATGATTTGCATCAGAGGGCACTATTAATGATCCTTCCGCAGGTTCACCTACGGAAACCTTGTTATGACTTTTACTTCCTCTAAATGACCAAG</t>
  </si>
  <si>
    <t>CAGAACCAAGAGATCCGTTGTTGAAAGTTTTAATTTATTAATTAAATTTACTCAGACTGCAAAGTTACGCAAGAGTTTTGATGTGTCCACCCGGGGCCCCCGCCCGTGAAAAGGCAGGGTCGCCCCGGAGGCAACAGAGTCGGACAACAAAGGGTTATGAACATCCCCGGCCGGAGCCGGGGGTCACTTGTAATGATCCCTCCGCAGGTTCACCTACGGAGACCTTGTTAC</t>
  </si>
  <si>
    <t>GAGAGCCAAGAGATCCGTTGTTGAAAGTTTTTATTTGTTATAAAAATTTTACATTCATAGACTAGTGTTTATAAAGTGAAATGGCTCACAATCCGAAAATTGCTCGCCATTAATACAGATGCACAGGGTTAGATGTGAGAAGGTCGGGTTCCAAGTTAAATTGGACACCCTATTTATTCACTAATGATCCTTCCGCAGGTTCACCTACGGAAACCTTGTTACGACTTTTAC</t>
  </si>
  <si>
    <t>GAGAGCCAAGAGATCCGTTGTTAAAAGTTTTATTAGTTATAATAAGACTACATTTGTTACAATAATGTTTAGTATAAAAGTGGATGCAAGCATCCAACAGTTCACAGGTGTTATGGATAGAATTACCAACAGTGTTACCTGTTGGCACATCCGGACCGAAGCCACAGATGATTTGAATTCAATAATGATCCTTCCGCAGGTTCACCTACGGAAACCTTGTTACGACTTTTA</t>
  </si>
  <si>
    <t>GAGAGCCAAGAGATCCGTTGTTAAAAGTTTTATATGATTAATATAGGTTACGTTCATTACACAGATGTTTGTTATAAGAATCGGTCCGAAGACCAACGGTTCACAGAGGTAGAAGATTATAGTTATTAAGACCCGGAGGTCAATCACTAATGATCCTTCCGCAGGTTCACCTACGGAAACCTTGTTACGACTTTTACTTCCTCTAAATGACCAAGAGATCGGAAGAGCGTC</t>
  </si>
  <si>
    <t>CGGAACCAAGAGATCCGTTGTTGAAAGTTTTAAATAATTTATATTTTCACTCAGACTTCAATCTTCAGACAGAGTTCGGGGGTGTCTTCGGCGGGCGCGGGCCCGGGGGCGTGAGCCCCCCGGCGGCCAGTAAAGGCGGGCCCGCCGAAGCAACAAGGTAAAATAAACACGGGTGGGAGGTTGGACCCAAAGGGCCCTCACTCGGTAATGATCCTTCCGCAGGTTCACCTA</t>
  </si>
  <si>
    <t>GAGAGCCAAGAGATCCGTTGTTAAAAGTTTTGTTTTTGTTATGATATTACATTCATTACTAACAGTTTGTGATGGCCGAAGCCACAGTTCACGGTGTGTATGGATGGCCAACTCCGAAGAGAAGGCACTCATTGAACTCAACTGACCGAAGCCAGAGAGCATTATTAATGATCCTTCCGCAGGTTCACCTACGGAAACCTTGTTATGACTTTTACTTCCTCTAAATGACCA</t>
  </si>
  <si>
    <t>CAGAACCAAGAGATCCGTTGTTGAAAGTTTTGATTTATTTGTTTGTTTTACTCAGAAGTTCCACTAAAAACAGAGTTTAGGGTCCTCGGGCGGGCCGTCCCTTTTTACAGGGCGCGGGCTGATCCGCCGAGGCAACGTATAGGTATGTTCACAGGGGTTTGGGAGTTGTAAACTCGGTAATGATCCTTCCGCAGGTCCACCTACGGAAACCTTGTTACGACTTTTACTTCC</t>
  </si>
  <si>
    <t>TGGAGCCAAGAGATCCGTTGTTGAAAGTTTTAACAGTTCGCTTAGAACACTCAGATGTATCGTCGGGTTCGAACAGAGATTCTGATAATGCCGGCGGGCACGCCCCGGGAGGCGCGCCGCCGAAGCAACAGGTATAAAGGTTCACAAAGGGTTATGAGTTATAGTACTCGGTAATGATCCCTCCGCTGGTTCACCAACGGAGACCTTGTTACGACTTTTACTTCCTCTAAA</t>
  </si>
  <si>
    <t>CAGAACCAAGAGATCCGTTGTTGAAAGTTTTGATTCATTTTGAATTTTTGCTCAGAGCTGTAAGAAATAACGTCCGCGAGGGGACTACAGAAAGAGTTTGGTTGGTCCCTCCGGCGGGCGCCTGGTTCCGGGGCTGCGACGCACCCGGGGCGTGACCCCGCCGAGGCAACAGTTTGGTATGGTTCACATTGGGTTTGGGAGTTGTAAACTCGGTAATGATCCCTCCGCTGG</t>
  </si>
  <si>
    <t>CAGAACCAAGAGATCCGTTGTTGAAAGTTTTGTTTCGATTTACTCGTAAACTCCGACGCAGAGATGCAGTGTTTTTTGGTGGTCCTCCGGGGGCGCCCGGCAGGGTCGCCCCCGAAGCAACGGGATGTGTTCACAAAGGGTTGGAGGTCGGACCCGGAGGCCCTCGCTCGGTAATGATCCCTCCGCAGGTTCACCTACGGAGACCTTGTTACGACTTTTACTTCCTCTAAA</t>
  </si>
  <si>
    <t>GAGAGCCAAGAGATCCGTTGTTAAAAGTTTTGTTTTTGTTATGATTTTACATTCATTACTAACAGTTTGTGATGGCCGAAGCCACAGTTCACGGTGTGTATGGAAACCCTCCTCTTGCGAGGAGAGCAGATCTAACCCAATGACTTGCATCAAAGGGCACTATTAATGATCCTTCCGCAGGTTCACCTACGGAAACCTTGTTATGACTTTTACTTCCTCTAAATGACCAAG</t>
  </si>
  <si>
    <t>GAGAGCCAAGAGATCCGTTGTTGAAAGTTGTATTTTGAATTGTTTATTCATAATATTTTTCAGACAAAGAGTTAAAAAATAAAGGTTGATGTTTGGTCGATCTCCATGAAGAAGATCGACCGACATTGCACACAAGGTGGATATGGATTTAAAAAGTGCCATAAAACACTTATTATGAATGATCCTTCCGCAGGTTCACCTACGGAAACCTTGTTACGACTTTTACTTCCT</t>
  </si>
  <si>
    <t>CAGAACCAAGAGATCCGTTGTTGAAAGTTTTGATTTATTTGTTTGTTTTACTCAGAAGTTCCACTAAAAACAGAGTTTAGGGGTCCTCGGGCGGGCCGTCCCTTTTTACGGGGCGCGGGCTGATCCGCCGAGGCAACAAGTGGTATGTTCACAGGGGTTTGGGAGTTGTAAACTCGGTAATGATCCCTCCGCTGGTTCACCAACGGAGACCTTGTTACGACTTTTACTTCC</t>
  </si>
  <si>
    <t>CAGAACCAAGAGATCCGTTGTTGAAAGTTTTGATTTATTTGTTTGTTTTACTCAGAAGTTCCACTAAAAACAGAGTTTAGGGGTCCTCGGGCGGGCCGTCCCTTTTTACAGGGCGCGGGCTGATCCGCCGAGGCAACGTATAGGTATGTTCACAGGGGTTTGGGAGTTGTAAACTCGGTAATGATCCCTCCGCTGGTTCACCAACGGAGACCTTGTTACGACTTTTACTTC</t>
  </si>
  <si>
    <t>CGGAACCAAGAGATCCGTTGTTGAAAGTTTTAAATAATTTATATTTAATCTCAGACTACAATCTTCAGACAGAGTTCTAAGGTGTCTTCGGCGAGCGCGGACCCGGGGACAGACGTCCCCCGGCAGCCAAAAGGCAGGCTCGCCGAAGCAACAAGGTAAAATAAACACGGGTGGGAGGTTGGACCCAGAGGGCCCTCACTCGGTAATGATCCTTCCGCAGGTTCACCTACG</t>
  </si>
  <si>
    <t>CAGAACCAAGAGATCCGTTGTTGAAAGTTTTGATTTATTTGTTTGTTTTACTCAGAAGTTCCACTAAAAACAGAGTTTAGGGGTCCTCGGGCGGGCCGTCCCTTTTTACGAGGCGCGGGCTGATCCGCCGAGGCAACGTATAGGTATGTTCACAGGGGTTTGGGAGTTGTAAACTCGGTAATGATCCCTCCGCTGGTTCACCAACGGAGACCTTGTTACGACTTTTACTTC</t>
  </si>
  <si>
    <t>CAGAACCAAGAGATCCGTTGTTGAAAGTTTTGATTTATTTGTTTGTTTTACTCAGAAGTTCCACTAAAAACAGAGTTTAGGGTCCTCGGGCGGGCCGTCCCTTTTTACAGGGCGCGGGCTGATCCGCCGAGGCAACATAGAGGTATGTTCACAGGGGTTTGGGAGTTGTAAACTCGGTAATGATCCCTCCGCTGGTTCACCAACGGAGACCTTGTTACGACTTTTACTTCC</t>
  </si>
  <si>
    <t>GAGAGCCAAGAGATCCATTGTTAAAAGTTGTTTTAGATTAAAATTCTTGTCCCTTTCGGTACAAATATCAATCAGACAAAGCTTAAGTGAAAAAATTTTACAGTGCACAAAAGGTCCCTTTTGGGGGCAGGTCTTGGGTTAAACCCAAGCCCGAATTTTTTATAATGATCCTTCCGCAGGTTCACCTACGGAAACCTTGTTACGACTTTTACTTCCTCTAAATGACCAAGA</t>
  </si>
  <si>
    <t>CAGAACCAAGAGATCCATTGTTAAAAGTTGTAATAATTTAGTTTTGTATCGGAAGTGTTAAATGTATAATGCAAAGGGTTTAGTTGGTTCCTGTCGGCGGGCGAACCCGCCGAGGGAAGCAATAGGGGTACACATAGGCAAAGGGTGGGTATAAAGTCAGGCTGTAGCACCCCTCCGCCGAAGCTTCGAGGGCCAGGGAACCTTGTTGTAATGATCCTTCCGCAGGTTCAC</t>
  </si>
  <si>
    <t>GAGAGCCAAGAGATCCGTTGTTGAAAGTTGTATATAGTTTTAGAGGACATAAGTCCAGTAAACAAGACATTCATGACATACAAAGAGTATATGAATTCATAAGCCTGGAAAGTCAAAAGGAGCTTTAAAAAAGCAACCTTTCAAACCACAAAGTAAACTTCATGATAATTTTCCAGACTTACAGAAGTGCACAGGTGGATGAATATTCACAACAACAAGTGTGCACATGTC</t>
  </si>
  <si>
    <t>GAGAGCCAAGAGATCCGTTGTTGAAAGTTTTATTATGTTATAATAAGACTACATTTGTTACAATAATGTTTAGTTTAAAAGTGGATGCAAGCATCCAACAGTGCACAGGTGTTATGGATAGAACCAGCCCCTATCAGTTAAGACTAGGGCGTAAAATTCATTAATGATCCTTCCGCAGGTTCACCTACGGAAACCTTGTTACGACTTTTACTTCCTCTAAATGACCAAGAG</t>
  </si>
  <si>
    <t>GAGAGCCAAGAGATCCGTTGTTGAAAGTTTTATTAGGTTATAATAAGACTACGTTTGTTACATTAATTGTTTGTTAAAAAGGGCAGACGATGACTTGGGCGAACCTAGTCATGCGCCTTACAGTTCACAGGTGTTGGGATGTGAGTTAAGCAAGGGCCTTGCCGAAGCGAAGACACCAAGCATGTTTAATTCACTAATGATCCTTCCGCAGGTTCACCTACGGAAACCTTG</t>
  </si>
  <si>
    <t>CAGAACCAAGAGATCCGTTGTTGAAAGTTTTAACTATTATATAGTACTCAGACGACATTAATAAAAAGAGTTTTGGTATTCTCTGGCGAGCATACAAGGCCCGAGGGCAGCTCGCCAAAGCAACAAAGTAATAATACACAAGGGTGGGAGGTCTACCCTTTCGGGCATGAACTCTGTAATGATCCTTCCGCAGGTTCACCTACGGAAACCTTGTTACGACTTTTACTTCCT</t>
  </si>
  <si>
    <t>CAGAACCAAGAGATCCGTTGTTGAAAGTTGTAATTAATTACGTTGTTACTGACGCTGATTGCTATTGCAAAAGGTTTGTGGTTGGTCCTGAGGGCGGGCGAGCCCACCCAGGAAACAAGAAGTACGCAAAAGACACGGGTAAATAATTCAGCAGGGCCGGCCCCGCCGCGCACGCCGTGAAGCAGTGCCCAGCGGGGGGTGTCCAACCCGCCTTGTTATTGTGTAATGATC</t>
  </si>
  <si>
    <t>CAGAACCAAGAGATCCGTTGTTGAAAGTTTTAATTTATTAATTAAATTTACTCAGACTGCAAAGTTACGCAAGAGTTTGAAGTGTCCACCCGGAGCCCCCGCCCGAAGGCAGGGTCGCCCCGGAGGCAACAGAGTCGGACAACAAAGGGTTATGAACATCCCGGTGGTAAACCGGGGTCACTTGTAATGATCCCTCCGCAGGTTCACCTACGGAGACCTTGTTACGACTTT</t>
  </si>
  <si>
    <t>CAGAACCAAGAGATCCGTTGTTGAAAGTTTTGACTTATTAAATAAGACACTCAGATAATCAACGAAGATAACAGAGTTTGGTTTGTCCGCCGGCGGGCCGCCCGGGGCGCGAGGTCCCGGGTAGCTTGCGCCGAGGCAACAAAGAGATATGTTCACATGGGTTTGGGAGTTGGATAACTCTGTAATGATCCCTCCGCTGGTTCACCAACGGAGACCTTGTTACGACTTTTA</t>
  </si>
  <si>
    <t>GAGAGCCAAGAGATCCGTTGTTGAAAGTTTTATTATGTTATAATAAGACTACATTTGTTACAATAATGTTTAGTTTAAAAGTGGATGCAAGCATCCAACAGTGCACAGGTGTTATGGATAGAACCAGCCCCTAGCACTTAAGCCTAGGGCGTAAAATTCATTAATGATCCTTCCGCAGGTTCACCTACGGAAACCTTGTTACGACTTTTACTTCCTCTAAATGACCAAGAG</t>
  </si>
  <si>
    <t>CAGAACCAAGAGATCCGTTGTTGAAAGTTTTAACTTATTTCTTAGTTATGATTCAGAATGCCAAAAATTAACAAGAGTTTAGTAGTCCACCGGTGGTCAGTCCGAAGACCAACCACCGAGGCAACAGTGGTAAGTTCACATGGTTTGGAGAGTTAAAAACTCAGTAATGATCCCTCCGCAGGTTCACCTACGGAGACCTTGTTACGACTTTTACTTCCTCTAAATGACCAA</t>
  </si>
  <si>
    <t>CAGAACCAAGAGATCCGTTGTTGAAAGTTTTAATTTATTTAACTTATATTACTCAGAAGATACTTTAGAATTCAAGAGTTTGTTTGGGTCCTCCGGCGGGCGCCTGATACCGGTGCGAGGCTTTCGCCAACGCCCGGGGCTCTCCCGCCGAGGCAACGATTGGTATGTTCACAGGGGTTTGGGAGTTGAAAACTCGGTAATGATCCCTCCGCTGGTTCACCAACGGAGACC</t>
  </si>
  <si>
    <t>CGGAACCAAGAGATCCATTGTTGAAAGTTTTAATAGGTTTGCTATCAAGCTCAGACAACACTAAAGACAGGAGGTTCGGTGTGGTCTCCGGCGGCTACCCCCGGGGGGGCGCACCGCCGAAGCAACGTTGGTCAGGTATTCACGGGTGGGAGGTTAGGCCTGCCCGGGGGCAGACCTGCACTCGGTAATGATCCTTCCGCAGGTTCACCTACGGAAACCTTGTTACGACTT</t>
  </si>
  <si>
    <t>CAGAACCAAGAGATCCGTTGTTGAAAGTTTTGATTTATTTGTTTGTTTTACTCAGAAGTTCCACTAAAAACAGAGTTTAGGGTCCTCGGGCGGGCCGTCCCGTTTTACGGGGCGCGGGCTGATCCGCCGAGGCAACGTATAGGTATGTTCACAGGGGTTTGGGAGTTGTAAACTCGGTAATGATCCCTCCGCTGGTTCACCAACGGAGACCTTGTTACGACTTTTACTTCC</t>
  </si>
  <si>
    <t>CAGAACCAAGAGATCCGTTGTTGAAAGTTTTGATTCATTTTGAATTTTTGCTCAGAGCTGTAAGAAATACGTCCGCGAGGGGACTACAGAAAGAGTTTGGTTGGTTCCTCCGGCGGGCGCCTGGTTCCGGGGCTTTTACGCACCCGGGGCGTGACCCCGCCGAGGCAACAGTTTGGTAACGTTCACATTGGGTTTGGGAGTTGTAAACTCGGTAATGATCCCTCCGCTGGT</t>
  </si>
  <si>
    <t>CAGAACCAAGAGATCCGTTGTTGAAAGTTTTGATTTATTTGTTTGTTTTACTCAGAAGTTCCACTAAAAACAGAGTTTAGGGTCCTCGGGCGGGCCGTCCCGTTTTACAGGGCGCGGGCTGATCCGCCGAGGCAACGTATAGGTATGTTCACAGGGGTTTGGGAGTTGTAAACTCGGTAATGATCCCTCCGCTGGTTCACCAACGGAGACCTTGTTACGACTTTTACTTCC</t>
  </si>
  <si>
    <t>GAGAGCCAAGAGATCCGTTGTTGAAAGTTTTGTTTTGTTTAATGATATATACGTTCATTACACTGATGTTTGTTAAATAGACCCGGAGGTCCACAGTTCACAGAGGTGAGGGATATAGAGATAAGACCTTTCGGTCAATCTTTAATGATCCTTCCGCAGGTTCACCTACGGAAACCTTGTTACGACTTTTACTTCCTCTAAATGACCAAGAGATCGGAAGAGCGTCGTGTA</t>
  </si>
  <si>
    <t>TGGAGCCAAGAGATCCATTGTTAAAAGTTGTTTTAGATTAAAATTCTTGTCCCTTTCGGTACAAATATCAATCAGACAAAGCTTAAGTGAAAAAATTTTACAGTGCACAAAAGGTCCCTTTTGGGGGCAGGTCTTGGGTTAAACCCAAGCCCGACTTTTTTATAATGATCCTTCCGCAGGTTCACCTACGGAAACCTTGTTACGACTTTTACTTCCTCTAAATGACCAAGA</t>
  </si>
  <si>
    <t>GAGAACCAAGAGATCCGTTGTTGAAAGTTTTGATTTATTTGTTTGTTTTACTCAGAAGTTCCACTAAAAACAGAGTTTAGGGGTCCTCGGGCGGGCCGTCCCTTTTTACGGGGCGCGGGCTGATCCGCCGAGGCAACGTATAGGTATGTTCACAGGGGTTTGGGAGTTGTAAACTCGGTAATGATCCCTCCGCTGGTTCACCAACGGAGACCTTGTTACGACTTTTACTTC</t>
  </si>
  <si>
    <t>CAGAACCAAGAGATCCGTTGTTAAAAGTTTTAATTTATTAATTAAGTTTACTCAGACTGCAAAGTTACGCAAGAGTTTGAAGTGTCCACCCGGAGCCCCCGCCCGAAGGCAGGGTCGCCCCGGAGGCAACAGAGTCGGACAACAAAGGGTTATGAACATCCCGGCCGTAGCCGGGGTCACTTGTAATGATCCCTCCGCAGGTTCACCTACGGAGACCTTGTTACGACTTTT</t>
  </si>
  <si>
    <t>CAGAACCAAGAGATCCGTTGTTGAAAGTTGTAATTATTAAAATAATTCAGACGCTGATTCAAAATTAAAAAGGTTATTGATTTGTCCAATCGGCAGGCAAGCCTGCCGAGGAAACACAAGTGCGCAAAAAGTCAAGGGTTAAGAAAAGGCACGTACTCCTGCTTTAAAGGCAGTTTCCACACCCCTCAAACGATAGTAAACTACCGATATTTAATGATCCTTCCGCAGGTT</t>
  </si>
  <si>
    <t>CAGAACCAAGAGATCCGTTGTTGAAAGTTGTAATAATTACATTGTTTACTGACGCTGATTGCAATTACAAAAAGGTTTATGGTTTGGTCCTGGTGGCGGGCGAACCCGCCCAGGAAACAAGAAGTGCGCAAAAGACATGGGTGAATAATTCAGACAAGCTGGAGTCCTCACCGAAATGAGGTCCCCAACCCGCTTTCATATTGTGTAATGATCCCTCCGCAGGTTCACCTA</t>
  </si>
  <si>
    <t>CAGAACCAAGAGATCCGTTGTTGAAAGTTTTGATTTATTTATGGTTTTACTCAGAAGTTACATATAGAAACAGAGTTTAGGGGTCCTCTGGCGGGCCGTCCCGTTTTACCGGGAGCGGGCTGATCCGCCGAGGCAACAATTGGTATGTTCACAGGGGTTTGGGAGTTGTAAACTCGGTAATGATCCCTCCGCTGGTTCACCAACGGAGACCTTGTTACGACTTTTACTTCC</t>
  </si>
  <si>
    <t>GAGAGCCAAGAGATCCGTTGTTGAAAGTTTTATTATGTTATAATAAGACTACATTTGTTACAATAATGTTTAGTTTAAAAGTGGATGCAAGCATCCAACAGTGCACAGGTGTTATGGATATGAATGAGCGGGACCGAAGTCACCACCCCACATACTGCGTGAACAGTACGATTTATATTCATTAATGATCCTTCCGCAGGTTCACCTACGGAAACCTTGTTACGACTTTTA</t>
  </si>
  <si>
    <t>CGGAACCAAGAGATCCGTTGTTGAAAGTTTTAACTGATTTAGTCAAGTACTCAGACTGCAATCTTCAGACAAGAGTTCGTTTGTGTGTCTTCGGCGGGCGCGGGCCCGGGGGCAGATGCCCCCCGGCGGCCGTGAGGCGGGCCCGCCGAAGCAACAAGGTACGATAAACACGGGTGGGAGGTTGGACCCAGAGGGCCCTCACTCGGTAATGATCCTTCCGCAGGTTCACCT</t>
  </si>
  <si>
    <t>GAGAGCCAAGAGATCCGTTGCTAAAAGTTGTATTATAGATGCGTTAGACGCGTTTACATTCTGATACTTTAAAGTGTTTGTAGTATACATAGGCCGGCAGAATGCTCCCGTTAAGGAGCCCACGCCAACCTACAGTAAGTGCACAGGGGTAGAGTGGATGAGCAGAGCGTGCACATGCCTCGGAAGGCCAGCTACAACTCGTTTCAAAACTCGTTAATGATCCTTCCGCAG</t>
  </si>
  <si>
    <t>GAGAACCAAGAGATCCGTTGTTGAAAGTTTTGATTTATTCAAAATTTTAACTCAGACGACCGGTTAAATAACAAGAGTTTGGTTTAACTCTGGCGGGCGCTCGCCTGGGACGAATCCCCAGCGGCTCGAGACCGAGCGGTCCCGCCAAAGCAACAAGGTAGTTTTAACAACAAAGGGTTGGAGGTCGGGCGCTGAGCACCCTTACTCTTTAATGATCCTTCCGCAGGTTCA</t>
  </si>
  <si>
    <t>GAGAGCCAAGAGATCCGTTGTTGAAAGTTGTATTTGAATTGTTTATTCATAATAGTTTTCAGACAGACAGTTAAAAAATAAGTTGATGTTTGGCCGCTTTCATAAAGAAAACGGCTGACATTGCACACAAGGTGGATATGGATTTAAGAAGTGCCATAAACACTTATTATGAATGATCCTTCCGCAGGTTCACCTACGGAAACCTTGTTACGACTTTTACTTCCTCTAAAT</t>
  </si>
  <si>
    <t>CAGAACCAAGAGATCCGTTGTTAAAAGTTTTAATTTATTAATTAAGTTTACTCAGACTGCAAAGTTACACAAGAGTTTGAAGTGTCCACCCGGAGCCCCCGCCCGAAGGCAGGGTCGCCCCGGAGGCAACAGAGTCGGACAACAAAGGGTTATGAGCATCCCGGTGGTTAGACCGGGGTCACTTGTAATGATCCCTCCGCAGGTTCACCTACGGAGACCTTGTTACGACTT</t>
  </si>
  <si>
    <t>CAGAACCAAGAGATCCGTTGTTGAAAGTTTTGATTTATTTGTTTGTTTTACTCAGAAGTTCCACTAAAAACAGAGTTTAGGGTCCTCGGGCGGGCCGTCCCTTTTTACAGGGCGCGGGCTGATCCGCCGAGGCAACGTATAGGTATGTTCACAGGGGTTTGGGAGTTGTAAACTCGGTAATGATCCCTCCGCAGGTTCACCTACGGAGACCTTGTTACGACTTTTACTTCC</t>
  </si>
  <si>
    <t>GAGAACCAAGAGATCCGTTGTTGAAAGTTTTATTTTGTTTATATAAAACGGTTACATTCATTAAACTAGGGGTTTGTATAAAATGATTGGCTTTCGATTGCTCAAAAGCCAAAACAGTGCACAGGTGTATGTGGATTGTGAAGGGTTGGGGAGGTCAGTTAAGACGCTCCCCGATGTATTCACTAGTGATCCTTCCGCAGGTTCACCTACGGAAACCTTGTTACGACTTTT</t>
  </si>
  <si>
    <t>GAGAGCCAAGAGATCCGTTGTTGAAAGTTGTATTTTGAATTAAGTTATTCATAATATTTTTCAGACAAAATCACTAAAGTTCTGAGTAGATATAAATCCCAAAGGTGACCAAACGGGCTTTTGACAGCCAGCTGGCCTCCAGTGAGATGACATTGCACACAAGGTGGATATGGATTTTTTTAAAAGTGCCATAAAAACACTTTGATTATGAATGATCCTTCCGCAGGTTCA</t>
  </si>
  <si>
    <t>CAGAACCAAGAGATCCGTTGTTGAAAGTTGTAATTATTAAAATAATTCAGACGCTGATTAAATATTAAATAGGTTATTGGTTTGTCCATTCGGCAGGCAAGCCCGCCGAGGAAACATGAGTGCGCAAAAAGTCAAGGGTTAAGAATAGGATGTACTCACCCCCAGGAAGACCTGGAAACTTTCCACCCCCTTCAAACGGTAGTAAACTACCGATAATTAATGATCCTTCCG</t>
  </si>
  <si>
    <t>GAGAGCCAAGAGATCCGTTGTTGAAACTTAGTTTAAAGATGCGTTACATCAATTTACATTCAGTTCAATTAAATGGGTTTGTATATGGATTTAGCAGACTGAAGACTTTTTTTACCGGTCTCCAGTCTCACAAGTGCACAGGGGTGTGTGTGGATGAAAAGAGAAGGCGTGCACATGCTGCCAAATAAGACAGCCAGCGACAACCGACTCCAAGTTCATTCAATAATGATC</t>
  </si>
  <si>
    <t>CAGAACCAAGAGATCCGTTGTTGAAAGTTTTGATTTATTTGTTTTTTATACTCAGAAGTTCCACTAAAAACAGAGTTTAAGGTTCCTGCGGCGGGCCGTCCCTTTTTACGGGGCGCGGGCTGATCCGCCGAGGCAACATAAGGTATGTTCACAGGGGTTTGGGAGTTGTAAACTCGGTAATGATCCCTCCGCTGGTTCACCAACGGAGACCTTGTTACGACTTTTACTTCC</t>
  </si>
  <si>
    <t>CAGAACCAAGAGATCCGTTGTTGAAAGTTGTAATTATTAAGTTTTTTCAGACGCTGATTGAAAATTAAAAAGGTTATAGTTTTGTCCAGTCGGCGGGCAAGCCCGCCGAGGAAACATGAGTGCGCAAAAGACAAGGGTACAGACAGAGGGCCGGCCGCTCATCAGTAAATGAATACTATGCGGAGTTACAGCGCCTCCCGACCAGTAGCAAGCTACTGAATGTAATGATCC</t>
  </si>
  <si>
    <t>GAGAGCCAAGAGATCCGTTGTTAAAAGTTTTATTTGTTATAATAATTTACGTTCGTCACAGTTGTAATTAAAGACCCGAAGGCCAACAGTTCACAGGTGTGTATAGATCAGAGCGGCCGAAGCCAGCTCAATTCACTAATGATCCTTCCGCAGGTTCACCTACGGAAACCTTGTTACGACTTTTACTTCCTCTAAATGACCAAGAGATCGGAAGAGCGTCGTGTAGGGAAA</t>
  </si>
  <si>
    <t>GAGAGCCAAGAGATCCGTTGTTGAAAGTTTTATTATGTTATAATAAGACTACATTTGTTACAATAATGTTTAGTTTAAAAGTGGATGCAAGCATCCAACAGTGCACAGGTGTTATGGATATGAAAGAAGAACCACTGGCTTTCGCCTATGGTTCAATCTAAATTCATTAATGATCCTTCCGCAGGTTCACCTACGGAAACCTTGTTACGACTTTTACTTCCTCTAAATGAC</t>
  </si>
  <si>
    <t>CAGAACCAAGAGATCCGTTGTTGAAAGTTTTAATTTATTTAACTTATATTACTCAGAAGATACTTTAGAATTCAAGAGTTTGTTTGGGTCCTCCGGCGGGCGCCTGATACCGGTGCGAGGCTTTCGCCAACGCCCGGGGCTCTCCCGCCGAGGCAACGATTGGTATGTTCACAGGGGTTTGGGAGTTGTAAACTCGGTAATGATCCCTCCGCTGGTTCACCAACGGAGACC</t>
  </si>
  <si>
    <t>CATACCCCAGATATCCGTTGTTGAACTTTGTCCTTATTAATTTGTTACTGACGCTGATTGCAATTACAAAAGGTTTATGTTTGTCCTAGTGGTGGGCGAACCCACCAAGGAAACAAGAAGTACGCAAAAGACAAGGGTGAATAATTCAGCAAGGCTGTAACCCCGAGAGGTTCCAGCCCGCCTTCATATTTGTGTAATGATCCCTCCGCAGGTTCACCTACGGAGACCTTG</t>
  </si>
  <si>
    <t>GAGAGCCAAGAGATCCGTTGCTGAAAGTTGTATTTAAATGCGTTAATTCGCAGTAGACATTCTGATACTTTAATAGTTTGTAGTAAAACGTGAGCCCAGTTGAACGACGACGCCGCGAAGCGACCGACGCTCGCCTGAGACCCACAGTAAGTGCACAGGTGTAGAGTGGAATGAGCAGGGCGTGCACATGCCTCGGAAGGCCAGCTACAACCCCTTTCAAAACTCGTTAAT</t>
  </si>
  <si>
    <t>CAGAACCAAGAGATCCGTTGTTAAAAGTTTTAATTTATTAATTAAGTTTACTCAGACTGCAAAGTTACGCAAGAGTTTGAAGTGTCCACCCGGAGCCCCCGCCCGAAGGCAGGGTCGCCCCGGAGGCAACAGAGTCGGACAACAAAGGGTTATGAACATCCCCGGCCGGAGCCGGGGGTCACTTGTAATGATCCCTCCGCAGGTTCACCTACGGAGACCTTGTTACGACTT</t>
  </si>
  <si>
    <t>GAGAGCCAAGAGATCCGTTGTTGAAAGTTGTATTTTGAATTGTTTATTCATAATATTTTTCAGACAAAGAGTTAAAAAATAAAGGTCGATGTTTGGTCGATCTCCATGAAGAAGATCGACCGACATTGCACACAAGGTGGATATGGATTTAAAAAGTGCCATAAAACACTTATTATGAATGATCCTTCCGCAGGTTCACCTACGGAAACCTTGTTACGACTTTTACTTCCT</t>
  </si>
  <si>
    <t>GAGAACCAAGAGATCCATTGTTAAAAGTTTTGATTATTTTTGTTTTGATTGTATGATTATTGTTTGCTGTGTAAATTTCACAAATATTATCAATTCTTAATGATCCTTCCGCAGGTTCACCTACGGAAACCTTGTTACGACTTTTACTTCCTCTAAATGACCAAGAGATCGGAAGAGCGTCGTGTAGGGAAAGAGTGTCGTACGATGTGTAGATCTCGGTGGTCGCCGTAT</t>
  </si>
  <si>
    <t>CAGAACCAAGAGATCCGTTGTTGAAAGTTTTGATTTATTTAATCGGTTTACTCAGAAGACTTCTTAAATGTAATCAGGGTTTGGGGTCCTCTGGCGGGCTGTCGGAACAGGCACCGCCGAGGCAACAAATAGGTATGTTCACAGGGGTTTGGGAGTTGTAAACTCGGTAATGATCCCTCCGCTGGTTCACCAACGGAGACCTTGTTACGACTTTTACTTCCTCTAAATGAC</t>
  </si>
  <si>
    <t>CAGAACCAAGAGATCCGTTGTTGAAAGTTGTAATTATTATTTGTTTTCTGACGCTGATTGCAACTACAAAAAGGTTTGATATTGTCCAACCGGCAGGCAAGCCCGCCGAGGAAACATACGGTACGCAAAAGACAAGGGTGCAGCAAGGACCGAAGTCCGCTGTTTTGATAATGATCCTTCCGCAGGTTCACCTACGGAAACCTTGTTACGACTTTTACTTCCTCTAAATGA</t>
  </si>
  <si>
    <t>CAGAACCAAGAGATCCGTTGTTGAAAGTTTTAGTTTATTAAATGTTTTTCAGACTGCATCGTTTACTGACTGGAGTTTGATGGTCCTCTGGCGGGCGCTGGCCACCCCCCGGGGAGGGGGGCCGGCCGCGGAGGACCGCGGCCCGCCAAAGCAACAGAGGTAGGTACACAAAGGGTGGGAGGATCGGGCCGGAGCCCGAATCAACTCGGTAATGATCCTTCCGCAGGTTCA</t>
  </si>
  <si>
    <t>CATACCCCAGATATCCGTTGTTGAACTTTTTGCTTTATTTATGGTTTTACTCAGAAGTTACATATAGAAACCGAGTTTAGGGGTCCTCTGGCGGGCCGTCCCGTTTTACCGGGAGCGGGCTGATCCGCCGAGGCAACAAGTGGTATGTTCACAGGGGTTTGGGAGTTGTAAACTCGGTAATGATCCCTCCGCTGGTTCACCAACGGAGACCTTGTTACGACTTTTACTTCC</t>
  </si>
  <si>
    <t>CGGAACCAAGAGATCCGTTGTTGAAAGTTTTAATTATTGTTTAACTAAAAACTCAGACTGCAAACTTCAGACAGTGTTCAAATGTTAGTCTTCGGCGGGCCGTGGCCACGCCGAAGCAACAGGGTACAGATAGACACGGATGGGAGGTTGGACCCAGAGGGCCCGCACTCGGTAATGATCCTTCCGCAGGTTCACCTACGGAAACCTTGTTACGACTTTTACTTCCTCTAA</t>
  </si>
  <si>
    <t>GAGAGCCAAGGGATCCGTTGTTGAAAGTTGTATTTTGAATTGTTTATTCATAATATTTTTCAGACAAAGGGTTAAAAAATAAAGGTTGATGTTTGGTCGATCTCCATGAAGAAGATCGACCGACATTGCACACAAGGTGGATATGGATTTAAAAAGTGCCATAAAACACTTATTATGAATGATCCTTCCGCAGGTTCACCTACGGAAACCTTGTTACGACTTTTACTTCCT</t>
  </si>
  <si>
    <t>CAGAACCAAGAGATCCGTTGTTGAAAGTTTTAATTTATTTGCTTGTTTTACTCAGAAGAAACATTATAGAAACAGAGTTAGGGGTCCTCTGGCGGGGGCGGCCCGTTTCACGGGGCCGTCTGTTCCCGCCGAAGCAACGTTTAGGTATGTTCACAGGGTTGATGAGTTGAATAACTCGGTAATGATCCCTCCGCTGGTTCACCAACGGAGACCTTGTTACGACTTTTACTT</t>
  </si>
  <si>
    <t>CAGAACCAAGAGATCCGTTGTTGAAAGTTTTTACTTATTGAATAAGTACTCAGAGAAACAATAATAACAAGAGTTTGCGTTCTTCCGGCGGCAGCAGAGCTGTCCGCCGAAGCAACGGGTTCGTTCGTTCACAATGGTTTTAGAGAGTTATACTCGCTAATGATCCCTCCGCTGGTTCACCAACGGAGACCTTGTTACGACTTTTACTTCCTCTAAATGACCAAGAGATCG</t>
  </si>
  <si>
    <t>CAGAACCAAGAGATCCGTTGTTGAAAGTTTTGTTTAATTTACTTAAACTCCGACGCAAAGATGCAGTGTTTGAAGGCCTCCGGGGGCGCTCGCCGTCGAAACGGCAGGGTCGCCCCCGAAGCAACAAGTTGTGTTCACAAAGGGTTGGAGGTCGAGCCCGAAGGCCCTCACTCAGTAATGATCCCTCCGCAGGTTCACCTACGGAGACCTTGTTACGACTTTTACTTCCTC</t>
  </si>
  <si>
    <t>GAGAACCAAGAGATCCGTTGTTGAAAGTTATATTAGTTTATAACGATTTTACATTCAATGACTTGTGTATATGGGTATAAATAAAGAGACACACCTACTAACGCAGTTAAGCGCGGCAGGTGGCCAAAGTGCACAGGGGTGTGTGAATAAAGAGAGCCCCGGAGGGCGTTTACTTTAGTGATCCTTCCGCAGGTTCACCTACGGAAACCTTGTTACGACTTTTACTTCCTC</t>
  </si>
  <si>
    <t>CAGAACCAAGAGATCCGTTGTTAAAAGTTTTAATTTATTAATTAAGTTTACTCAGACTGCAAAGTTACGCAAGAGTTTGAAGTGTCCACCCGGAGCCCCCGCCCGAAGGCAGGGTCGCCCCGGAGGCAACAGAGTCGGACAACAAAGGGTTATGAACATGCCGGTGGTTAGACCGGGGTCACTTGTAATGATCCCTCCGCAGGTTCACCTACGGAGACCTTGTTACGACTT</t>
  </si>
  <si>
    <t>TGGAGCCAAGAGATCCGTTGTTGAAAGTTTTAACAGTTCGCTTAGAACACTCAGAAGTATCGTCGGGTTCAAACAGAGATTCTGATAATGCCGGCGGGCACGCCCCGAGAGGCGCGCCGCCGAAGCAACAGGTATGAAGGTTCACAAAGGGTTATGAGTTATAGTACTCGGTAATGATCCCTCCGCTGGTTCACCAACGGAGACCTTGTTACGACTTTTACTTCCTCTAAA</t>
  </si>
  <si>
    <t>CAGAACCAAGAGATCCGTTGTTGAAAGTTTTGATTCATTTTGAATTTTTGCTCAGAGCTGTAAGAAATAACGTCCGCGAGGGGACTACAGAAAAGAGTTTGGTTGGTCCCTCCGGCGGGCGCCTGGTTCCGGGGCTGCGACGCACCCGGGGCGTGACCCCGCCGAGGCAACAGTTTGGTATGGTTCACATTGGGTTTGGGAGTTGTAAACTCGGTAATGATCCCTCCGCTG</t>
  </si>
  <si>
    <t>GAGAACCAAGAGATCCGTTGTTGAAAGTTTTGAAGATTAATTCAAAATTTGACTAACTGTAAAAATAATTAAATTGTGTTTTGTTAAACCTCTGGCCCAACCTATCTCTAGGCCAAACCAAAGCAAGAGTTCTGTATCAAAAAGACACTGTGTGTAAGGTTTTTCGCCGCGCAGTTAAGCGCTGGCAAAAGAATACTGTAATGATCCTTCCGCAGGTTCACCTACGGAAAC</t>
  </si>
  <si>
    <t>GAGAACCAAGAGATCCGTTGTTGAAAGTTTTGAAGTATTATAATAATCACTCAGATGGCTGATTCAAAGGGGTTCAATATAGTCCATCGGCGGGCACTCGAGGGTCCGAGGACCGACGGCGAAAGCCCGTGTGAACAGGCTCCCGGCGGCCCGCCGAGGCAACAAAGTAATGTAGACATAGGGTTGGAGGTCGGGCCCCGAAGGACCCGGAATCTCGATAATGATCCTTCC</t>
  </si>
  <si>
    <t>TGGAGCCAAGAGATCCGTTGTTGAAAGTTTTAACAGTTCGCTTAGAACACTCAGATGTATCGTCGGGTTCAAACAGAGATTCTGATGATACCGGCGGGCACGCCCCGGAGGACGCGCCGCCGAAGCAACAGGTATAAAGGTTCACAAAGGGTTATGAGTTATAGTACTCGGTAATGATCCCTCCGCTGGTTCACCAACGGAGACCTTGTTACGACTTTTACTTCCTCTAAA</t>
  </si>
  <si>
    <t>GAGAGCCAAGAGATCCGTTGTTGAAAGTTGTATTTGTTATAATAATTTACATTCATTACACTGATGTTTGTATAATATCGCCGAAGCGACAAAATGCACAGGTGTTAAGGGATTATAAAGTTACCGGAGTAACATTTAATAATGATCCTTCCGCAGGTTCACCTACGGAAACCTTGTTACGACTTTTACTTCCTCTAAATGACCAAGAGATCGGAAGAGCGTCGTGTAGGG</t>
  </si>
  <si>
    <t>CAGAACCAAGAGATCCGTTGTTGAAAGTTGTAATTTATTACATTGTTTGTTCAGACGCTGATTGCAATTACGAAAAGGTTTATAGTTGGGTCCTAATGGCGGGCGAACCCGCCAAGGAAACAAGTAGTACGCAAAAGACATGGGTGAATATGGCGTCAGACCGGCCCAGGAGGGGGGGTGCGACGAATCGCTCCTCTCTAGGGTGCCCAGTCTGCGTTCATATTTGGGTAA</t>
  </si>
  <si>
    <t>CAGAACCAAGAGATCCATTGTTAAAAGTTGTAATAATTTAGTTTTGTATCGGAAGTGTTAAATGTATAATGCAAAGGGTTTAGTTGGTTCCTGTCGGCGGGCGAACCCGCCGAGGGAAGCAATAGGGGTACACATAGGCAAAGGGTGGGTGTAAAGTCAGGCTGTAGCACCCCTCCGCCGAAGCTTCGAGGGCCAGGGAACCTTGTTGTAATGATCCTTCCGCAGGTTCAC</t>
  </si>
  <si>
    <t>CGGAACCAAGAGATCCGTTGTTGAAAGTTTTAAATAATTTATATTTAATCTCAGACTACAATCTTCAGACAGAGTTCTAAGGTGTCTCCGGCGAGCACGGACCCGGGGACTGACGTCCCCCGGCAGCCAAAAGGCAGGCTCGCCGAAGCAACAAGGTAAATAAACACGGGTGGGAGGTTGGACCCAGAGGGCCCTCACTCGGTAATGATCCTTCCGCAGGTTCACCTACGG</t>
  </si>
  <si>
    <t>CAGAACCAAGAGATCCGTTGTTAAAAGTTTTAATTTATTAATTAAGTTTACTCAGACTGCAAAGTTACGCAAGAGTTTGAAGTGTCCACCCGGAGCCCCCGCCCGAAGGCAGGGTCGCCCCGGAGGCAACAGAGTCGGAAATCAAAGGGTTGTCAGTCCCCAGCTGTACAAGCCTGGGTGAACTTATAATGATCCCTCCGCAGGTTCACCTACGGAGACCTTGTTACGACT</t>
  </si>
  <si>
    <t>GAGAGCCAAGAGATCCGTTGTTGAAAGTTGTATTTGTTATGATAATTTACATTCATTACACTGATGTTTGTATAATATCGCCGAAGCGACAAAATGCACAGGTGTTAAGGGATTATAAAGTTACCGGAGTAACATTTAATAATGATCCTTCCGCAGGTTCACCTACGGAAACCTTGTTACGACTTTTACTTCCTCTAAATGACCAAGAGATCGGAAGAGCGTCGTGTAGGG</t>
  </si>
  <si>
    <t>GAGAACCAAGAGATCCATTGTTAAAAGTTTTGATTATTTTTGTTTTGATTGTATGATTATTGTTTGCTGTGTAAATTTCACAAATATTATCAATTCTTAATGATCCTTCCGCAGGTTCACCTACGGAAACCTTGTTACGACTTTTACTTCCTCTAAATGACCAAGAGATCGGAAGAGCGTCGTGTAGGGAAAGAGTGTCACTCACGGTGTAGATCTCGGTGGTCGCCGTAT</t>
  </si>
  <si>
    <t>CAGAACCAAGAGATCCGTTGTTGAAAGTTTTGACTTATTCAGTACAGAAGACTCAGAGAGGCCATTAATGCAATAGTTTGGTTTACCTCCGGCGGGCGCCCGCGAGGGCCGGGGGGCGCCGGGAAGGACCCGGGCCGCCCGCCGAAGCAACGGTTTAGGTAACGTTCACAATGGTTTAGGGAGTTTTGCAACTCTGTAATGATCCCTCCGCTGGTTCACCAACGGAGACCT</t>
  </si>
  <si>
    <t>GAGAGCCAAGAGATCCGTTGTTAAAAGTTTTATTTTGTTATGATATTACATTCATTACTAATAGTTTGTGATGGCCGAAGCCACAGTTCACGGTGTGTGTGGATGGCCAACTCCGAAGAGAAGGCACACATTGAACCCAATAGACCGAAGTCAAAGGGCATTATTAATGATCCTTCCGCAGGTTCACCTACGGAAACCTTGTTATGACTTTTACTTCCTCTAAATGACCAA</t>
  </si>
  <si>
    <t>TGGAGCCAAGAGATCCGTTGTTGAAAGTTTTAACAGTTCGCTTAGAACACTCAGATGTATCGTCGGGTTCAAACAGAGATTCTGATGATACCGGCGGGCACGCCCCGGAGGGCGCGCCGCCGAAGCAACAGGTATAAAGGTTCACAAAGGGTTATGAGTTATAGTACTCGGTAATGATCCCTCCGCTGGTTCACCAACGGAGACCTTGTTACGACTTTTACTTCCTCTAAA</t>
  </si>
  <si>
    <t>GAGAGCCAAGAGATCCGTTGTTGAAAGTTGTATTTGTTATAATATAATACATTCTTTACACTGATGTTTGTATAATATCGCCGGAGCGACAAGATGCACAGGTGTTAAGGATATTAAGTTACCGAAGTAACGTTTAATAATGATCCTTCCGCAGGTTCACCTACGGAAACCTTGTTACGACTTTTACTTCCTCTAAATGACCAAGAGATCGGAAGAGCGTCGTGTAGGGAA</t>
  </si>
  <si>
    <t>GAGAGCCAAGAGATCCGTTGTTGAAAGTTGTATTTGTTATGATAAATTACATTCTTTACACTGGTGTTTGTATGATATCGCCGGAGCGACAAGATGCACAGGTGTTAAAGGATTATAAAGTTACCGAAGCAACATTTATTAATGATCCTTCCGCAGGTTCACCTACGGAAACCTTGTTACGACTTTTACTTCCTCTAAATGACCAAGAGATCGGAAGAGCGTCGTGTAGGG</t>
  </si>
  <si>
    <t>GAGAGCCAAGAGATCCGTTGTTGAAACTTAGTATGAGATGTGTTACATCCATTACATTTGTTTTAAAATAAATTGAGTTTATATTAATTGAGTAGACAGAGGGTCCAATAACCTATTGCCTTTGTATTCCAAAAAGCAACAAGTAAATTCCCCATCTGTCTCACAGGTTCACAGGTGTGTGTGGGATGAAAGAGAAAGGTGTGCACATGCCCAAATGAATGGGCCAGCTAC</t>
  </si>
  <si>
    <t>CAGAACCAAGAGATCCGTTGTTGAAAGTTTTGATTTATTTGTTTGTTTTACTCAGAAGTTCCACTAAAAACAGAGTTTAGGGTCCTCGGGCGGGCCGTCCCTTTTTACAGGGCGCGGGCTGATCCGCCGGGGCAACGTATAGGTATGTTCACAGGGGTTTGGGAGTTGTAAACTCGGTAATGATCCCTCCGCTGGTTCACCAACGGAGACCTTGTTACGACTTTTACTTCC</t>
  </si>
  <si>
    <t>CAGAGCCAAGAGATCCGTTGTTGAAAGTTTTGATTCATTTTGTTTTCGGGCTTTCGCCCCTCAGAGAAATACGATTAAATCAGGGTTTGGTTTTCCCCGGCGGACGCCCGGAGGCCCGGAGGCCACCGCGCGCTGAGCCCGCCGAGGGAACGTTTGGTAAGTTCACAATGGGTTGGAGAGCCTAGGGCACTCTGGTAATGATCCCTCCGCTGGTTCACCAACGGAGACCTT</t>
  </si>
  <si>
    <t>CAGAACCAAGAGATCCGTTGTTGAAAGTTGTAACTATTAAGTTTTTTCAGACGCTGATTTCAATTACAAAGGGTTTAAGTTTTGTCCAATCGGCGGGCGGACCCGCCGAGGAAACGAAGGTACTCAAAAGACATGGGTAAGAGATGGCAGGCAAAGCCCGCAACTCTAGGTAATGATCCTTCCGCAGGTTCACCTACGGAAACCTTGTTACGACTTTTACTTCCTCTAAAT</t>
  </si>
  <si>
    <t>CAGAACCAAGAGATCCGTTGTTAAAAGTTTTAATTTATTAATTAAGTTTACTCAGACTGCAAAGTTACGCAAGAGTTTGAAGTGTCCACCCGGAGCCCCCGCCCGAAGGCAGGGTCGCCCCGGAGGCAACAGAGTCGGACAACAAAGGGTTATGAATAACCAGGCCGAAGCCCGGAAGTTCTTGTAATGATCCCTCCGCAGGTTCACCTACGGAGACCTTGTTACGACTTT</t>
  </si>
  <si>
    <t>GAGAACCAAGAGATCCATTGTTAAAAGTTTTGATTATTTTTGTTTTGATTGTATGATTATTGTTTGCTGTGTAAATTTCACAAATATTATCAATTCTTAATGATCCTTCCGCAGGTTCACCTACGGAAACCTTGTTACGACTTTTACTTCCTCTAAATGACCAAGAGATCGGAAGAGCGTCGTGTAGGGAAAGAGTGTAGATATCCGTGTAGATCTCGGTGGTCGCCGTAT</t>
  </si>
  <si>
    <t>CAGAACCAAGAGATCCGTTGTTGAAAGTTTTGATTTATTTAATCGGTTACTCAGAAGAATTCTTTAATGTAATCAGGGTTTGGGGTCCTCTGGCGGGCTGTCGGAACAGGCACCGCCGAGGCAACAATAGGTATGTTCACAGGGGTTTGGGAGTTGTAAACTCGGTAATGATCCCTCCGCTGGTTCACCAACGGAGACCTTGTTACGACTTTTACTTCCTCTAAATGACCA</t>
  </si>
  <si>
    <t>GAGAGCCAAGAGATCCGTTGTTGAAAGTTGTATTTATTATAGTAGATTACATTCATTACATTATGTTTGTTTGGTGCCCGAAGGCAAATAGTTCACAGGTGTATAGGATGATAAAAGCTAGGCTCGAAAGCTTCGCCATTTATTAATGATCCTTCCGCAGGTTCACCTACGGAAACCTTGTTACGACTTTTACTTCCTCTAAATGACCAAGAGATCGGAAGAGCGTCGTGT</t>
  </si>
  <si>
    <t>GAGAGCCAAGAGATCCATTGTTAAAAGTTGTTTTAGATTAAAATTCTTGTCCCTTTCGGTACAAATATCAATCAGACAAAGCTTAAGTGAAAAAATTTTACAGTGCGCAAAAGGTCCCTTTTGGGGGCAGGTCTTGGGTTAAACCCAAGCCCGACTTTTTTATAATGATCCTTCCGCAGGTTCACCTACGGAAACCTTGTTACGACTTTTACTTCCTCTAAATGACCAAGA</t>
  </si>
  <si>
    <t>GAGAGCCAAGAGATCCGTTGTTAAAAGTTTTTTTTTGTTATGATCTAATGACGTTCATTACACAATGTTTGTAAAATTGAATCAGAAGATTCAATCAAACGGTTCACAGGTGTAGATGGATATAGTTTAAGCCAAGATGGCAATCACTAATGATCCTTCCGCAGGTTCACCTACGGAAACCTTGTTACGACTTTTACTTCCTCTAAATGACCAAGAGATCGGAAGAGCGTC</t>
  </si>
  <si>
    <t>TGGAACCAAGAGATCCGTTGTTGAAGGTTTTAACAGTTCGCTTAGAACACTCAGATGTATCGTCGGGTTCAAACAGAGATTCTGATGATACCGGCGGGCACGCCCCGGAGGACGCGCCGCCGAAGCAACAGGTATAAAGGTTCACAAAGGGTTATGAGTTATAGTACTCGGTAATGATCCCTCCGCTGGTTCACCAACGGAGACCTTGTTACGACTTTTACTTCCTCTAAA</t>
  </si>
  <si>
    <t>GAGAACCAAGAGATCCGTTGTTGAAAGTTTTATTTTGTTTATATAAAACGGTTACATTCATTAAACTAGGGGTTTGTATAAAATGATTGGCTTTCGATTGCTCAAAAGCCAAAACTGTGCACAGGTGTATGTGGATTGTGAAGGGTTGGGGAGGTCAGTTAAGACGCTCCCCGATGTATTCACTAGTGATCCTTCCGCAGGTTCACCTACGGAAACCTTGTTACGACTTTT</t>
  </si>
  <si>
    <t>GAGAGCCAAGAGATCCGTTGCTGAAAGTTGTATAGTGTTTTATAGGCTGTGAAGCCCATTGACTACATTCTGCATCATACTATTGGGGTGTGTAAAAAGACGTAGAGCCTGGAAGTTCGAGGGGAGCCCTTTACGAGCAACCCTCGCATCCGCCTTGCGGCGAGAGGTATCCAGACCTACAGTCGGTGCACAGGTGGAAAGATAAAAATGGCGGGCGTGCACATTGCTCCG</t>
  </si>
  <si>
    <t>GAGAGCCAAGAGATCCGTTGTTAAAAGTTTTGTTTAATTAAGATACTCTTACGTTCGTTACACTGATGTTTGATTATTAACCCGGAGGTCAACGGTTCACAGAGGTGGTAGAATCTGATAAGGTCTTTCGACCAATCAATAATGATCCTTCCGCAGGTTCACCTACGGAAACCTTGTTACGACTTTTACTTCCTCTAAATGACCAAGAGATCGGAAGAGCGTCGTGTAGGG</t>
  </si>
  <si>
    <t>GAGAGCCAAGAGATCCATTGTTAAAAGTTGTTTTAGATTAGAATTCTTGTCCCTTTCGGTACAAATATCAATCAGACAAAGCTTAAGTGAAAAAATTTTACAGTGCACAAAAGGTCCCTTTTGGGGGCAGGTCTTGGGTTAAACCCAAGCCCGACTTTTTTATAATGATCCTTCCGCAGGTTCACCTACGGAAACCTTGTTACGACTTTTACTTCCTCTAAATGACCAAGA</t>
  </si>
  <si>
    <t>CAGAACCAAGAGATCCGTTGTTGAAAGTTTTATTAAATTAACTTTTTACTCCGACGTAAGAATGCAGTGTTTGAATGACCTCCGGGGGGAATGCCGCTTGCGCGGCAGGGTCGCCCCCGAAGCAACATGATGCGTTCACAAAGGGTTGGAGGTCGGGATTGCTCCCTCACTCAGTAATGATCCCTCCGCAGGTTCACCTACGGAGACCTTGTTACGACTTTTACTTCCTCT</t>
  </si>
  <si>
    <t>CAGAACCAGGAGATCCGTTGTTGAAAGTTTTGATTTATTTGTTTTTTATACTCAGAAGTTCCACTAAAAACAGAGTTTAGGGTTCCTGCGGCGGGCCGTCCCTTTTTACGGGGCGCGGGCTGATCCGCCGAGGCAACATAAGGTATGTTCACAGGGGTTTGGGAGTTGTAAACTCGGTAATGATCCCTCCGCTGGTTCACCAACGGAGACCTTGTTACGACTTTTACTTCC</t>
  </si>
  <si>
    <t>CAGAACCAAGAGATCCGTTGTTGAAAGTTTTGATTCATTTATGTTTTTTACTCAGAGATTCACTGTAGAAACAAGAGTTTGGTTGGCCGCCGGCGGGCTGCTCCCTGTTTCCAGGGGGCCTCAGTGAAGAGGCCGGCCTACGCCGAGGCAACAATAGGTATAAGTTCACAAAGGGTTTCTGGGTGCGCCGAAGCGCGTTCCAGCAATGATCCCTCCGCTGGTTCACCAACG</t>
  </si>
  <si>
    <t>GAGAGCCAAGAGATCCGTTGTTGAAAGTTGTATTTGTTATAATAGTTTACATTCATTACATTATGTTTAAGTTTGTGCCCAAAGGCAAATAGTTCACAGGTGTATAAGGATATAAAAGCTAAGCTCGAAAGCGTCGCCGTTTATTAATGATCCTTCCGCAGGTTCACCTACGGAAACCTTGTTACGACTTTTACTTCCTCTAAATGACCAAGAGATCGGAAGAGCGTCGTG</t>
  </si>
  <si>
    <t>CAGAACCAAGAGATCCGTTGTTGAAAGTTTTAACTTGTTTTTTTTTGTAAATCAGAACGTACAGTCCGCTGTAAATTTAGAGTTTGGCGCCGCCGGCGGGGACGGGAGCGGCACGGCCCGCTGGGGGCGCGAGACGCCCACCGCCTCCCGCCGAGACAACGCGGCAAGAGGTAAGGTTCACAGTGGGTTTTGAAGGTAACTTCGGTAATGATCCCTCCGCTGGTTCACCAA</t>
  </si>
  <si>
    <t>GAGAGCCAAGAGATCCGTTGTTAAAAGTTTTATTTTGTTATGATTTTTACATTCATTACTAAAAGTTTGTGATGACCGAAGTCACAGTTCACGGTGTGTGTGGATGGCCATCTCCGAAGAGATGACACACATTGAACCCAGCTGACCGAAGCCAGAGGGCATTATTAATGATCCTTCCGCAGGTTCACCTACGGAAACCTTGTTATGACTTTTACTTCCTCTAAATGACCA</t>
  </si>
  <si>
    <t>GAGAGCCAAGAGATCCGTTGTTGAAAGTTTTGTTTTGTTTAATGATATATACGTTCATTACACTGATGTTTGTTAAGACAGACCCGGAGGTCCACAGTTCACAGAGGTGAGGGATATAGAGATAAGACCTTTCGGTCAATCTTTAATGATCCTTCCGCAGGTTCACCTACGGAAACCTTGTTACGACTTTTACTTCCTCTAAATGACCAAGAGATCGGAAGAGCGTCGTGT</t>
  </si>
  <si>
    <t>CAGAACCAAGAGATCCGTTGTTGAAAGTTTTGATTTATTTATGGTTTTACTCAGAAGTTACATATAGAAACAGAGTTTAGGGGTCCTCTGGCGGGCCGTCCCGTTTTACCGGGAGCGGGCTGATCCGCCGAGGCAACAGTAAGGTATGTTCACAGGGGTTTGGGAGTTGTAAACTCGGTAATGATCCCTCCGCTGGTTCACCAACGGAGACCTTGTTACGACTTTTACTTC</t>
  </si>
  <si>
    <t>GAGAACCAAGAGATCCATTGTTAAAAGTTTTGATTATTTTTGTTTTGATTGTATGATTATTGTTTGCTGTGTAAATTTCACAAATATTATCAATTCTTAATGATCCTTCCGCAGGTTCACCTACGGAAACCTTGTTACGACTTTTACTTCCTCTAAATGACCAAGAGATCGGAAGAGCGTCGTGTAGGGAAAGAGTGTCTCGATGAGTGTAGATCTCGGTGGTCGCCGTAT</t>
  </si>
  <si>
    <t>CAGAACCAAGAGATCCGTTGTTGAAAGTTTTAATTTATTAATTAAATTTACTCAGACTGCAAAGTTACGCAAGAGTTTGAAGTGTCCACCCGGAGCCCCCGCCCGAAGGCAGGGTCGCCCCGGAGGCAACAGAGTCGGACAACAAAGGGTTATGAACATCCCGGTGGTTAGACCGGGGTCACTTGTAATGATCCCTCCGCAGGTTCACCTACGGAGACCTTGTTACGACTT</t>
  </si>
  <si>
    <t>TAGAGCCAAGAGATCCGTTGTTAAAAGTTTTAATAGTTCGTAAGAACACTCAGAAGTATCGTTGGTAAAAATATAGAGACTGATGTACCGGCGGGCTCGCGGACGAGCCGCCGAAGCAACAATTTGGTTCACAAAGGGTTATGAGTAGATACTCGGTAATGATCCCTCCGCTGGTTCACCAACGGAGACCTTGTTACGACTTTTACTTCCTCTAAATGACCAAGAGATCGG</t>
  </si>
  <si>
    <t>GAGAACCAAGAGATCCATTGTTAAAAGTTTTAATTTTTTTGGTGTTGATTATAAAATTATTGTTTGCTGTATAAATTTCACAAATATTATCAATTCTTAATGATCCTTCCGCAGGTTCACCTACGGAAACCTTGTTACGACTTTTACTTCCTCTAAATGACCAAGAGATCGGAAGAGCGTCGTGTAGGGAAAGAGTGTAGATATCCGTGTAGATCTCGGTGGTCGCCGTAT</t>
  </si>
  <si>
    <t>GAGAACCAAGAGATCCATTGTTAAAAGTTTTGATTATTTTTGTTTTGACTATAAAATTATTGTTTGCTGTGTAAATTTCACAAATATTTATAATTCTTAATGATCCTTCCGCAGGTTCACCTACGGAAACCTTGTTACGACTTTTACTTCCTCTAAATGACCAAGAGATCGGAAGAGCGTCGTGTAGGGAAAGAGTGTACTCGCTAGTGTAGATCTCGGTGGTCGCCGTAT</t>
  </si>
  <si>
    <t>GAGAACCAAGAGATCCATTGTTAAAAGTTTTGATTATTTTTGTTTTGATTGTATGATTATTGTTTGCTGTGTAAATTTCACAAATATTATCAATTCTTAATGATCCTTCCGCAGGTTCACCTACGGAAACCTTGTTACGACTTTTACTTCCTCTAAATGACCAAGAGATCGGAAGAGCGTCGTGTAGGGAAAGAGTGTCAGATAGTGTGTAGATCTCGGTGGTCGCCGTAT</t>
  </si>
  <si>
    <t>GAGAACCAAGAGATCCATTGTTAAAAGTTTTGATTATTTTTGTTTTGACTATAAAATTATTGTTTGCTGTGTAAATTTCACAAATATTTATAATTCTTAATGATCCTTCCGCAGGTTCACCTACGGAAACCTTGTTACGACTTTTACTTCCTCTAAATGACCAAGAGATCGGAAGAGCGTCGTGTAGGGAAAGAGTGTCAGATAGTGTGTAGATCTCGGTGGTCGCCGTAT</t>
  </si>
  <si>
    <t>CGGAACCAAGAGATCCGTTGTTGAAAGTTTTAACGATTGTTTAACTAAAAACTCAGACTGCAAACTTCAGACAGCGTTCAAATGTTAGTCTCCGGCGGGCCGTGGCCACGCCGAAGCAACAGGGTACAGATAGACACGGATGGGAGGTTGGACCCAGAGGGCCCGCACTCGGTAATGATCCTTCCGCAGGTTCACCTACGGAAACCTTGTTACGACTTTTACTTCCTCTAA</t>
  </si>
  <si>
    <t>CAGAACCAAGAGATCCGTTGTTGAAAGTTGTAATTATTATAATTATTCAGACGCTGATTGAAAATTAAAAAGGTTATTAAGTTGTCCAACCGGCGGGCAAGCCCACCGAGGAAACATGAGTACGCAAAAAGACAAGGGTTCAGATAGAGAGCGTACTCGTTCCCAGCGGCTAAGCCGAAAACTTTCCCCTCTCCCCTGAGTAGTAGAGATCTACTAAGTGTAATGATCCTT</t>
  </si>
  <si>
    <t>CAGAACCAAGAGATCCGTTGTTGAAAGTTTTGTTTCGATTTACTCGTAAACTCCGACGCAGAGATGCAGTGTTTTTTGGTGGTCCTCCGGGGGCGCCCGGCAGGGTCGCCCCCGAAGCAACGGGATGTGTTCACAAAGGGTTGGAGGTCGGACCCGGAGGCCCTCGCTCGGTAATGATCCCTCCGCAGGTTCACCTACGGAAACCTTGTTACGACTTTTACTTCCTCTAAA</t>
  </si>
  <si>
    <t>GAGAGCCAAGAGATCCGTTGTTGAAAGTTATATTTATTATAGTAGATTACATTCATTACATTATGTTTGGATTGGTGCCCGAAGGCAAATAGTTCACAGGTGTTATGGATAATAGAAAGCTTTCGCCATTTATTAATGATCCTTCCGCAGGTTCACCTACGGAAACCTTGTTACGACTTTTACTTCCTCTAAATGACCAAGAGATCGGAAGAGCGTCGTGTAGGGAAAGAG</t>
  </si>
  <si>
    <t>CAGAACCAAGAGATCCGTTGTTGAAAGTTGTAACTATTATGTTTTTCAGACGCTGATTTCAATTACAAAGGGTTTAATTTTGTCCAGTCGGCGGGCGAACCCGCCGAGGAAACGTAAGTACTCAAAAGACATGGGTAAGAGGTAGCGGGCAAAGCCCACAAACTCTAGGTAATGATCCTTCCGCAGGTTCACCTACGGAAACCTTGTTACGACTTTTACTTCCTCTAAATG</t>
  </si>
  <si>
    <t>CAGAACCAAGAGATCCGTTGTTGAAAGTTTTGACTTATTGTATAAGTTACTCAGAGAGGCCACTGATGACGAAGAGTTTTGGTCTTCTGACGGGCTGCCGGCACGGGGGCCGGCGCGGCCCCGGTGGGGGCCACCCGCCGAAGCAACGGTGAGGTAGGTTCACAATGGTTGGGAGTTTTGCAACTCTGTAATGATCCCTCCGCTGGTTCACCAACGGAGACCTTGTTACGA</t>
  </si>
  <si>
    <t>GAGAGCCAAGAGATCCGTTGTTGAAAGTTTTGTTTTGTTATAAACTTTATACATTCATAGACTTTGTGTTTGTAAATGAAGAGGTGTTCAGACGAATCCTACTAACCAAAACAAATGCACAGGGTTAGAAAGTGAGAGTTCGGACTTCAAGTTAAATTGAACGTCCTAGTATTCACTAATGATCCTTCCGCAGGTTCACCTACGGAAACCTTGTTACGACTTTTACTTCCT</t>
  </si>
  <si>
    <t>CAGAACCAAGAGATCCGTTGTTGAAAGTTTTAGTTTATTTAATATTTTTTTCAGACTGCAACGTTTACTGACTGGAGTTTGATAGTCCTCTGGCGGGCACTAGCCACCCCCCAAAATCGGGGGGCGGCCGCGGAAGACCGCGGCCCGCCAAAGCAACAGAGGTAGGTATACAAAGGGTGGGAGGATCGGGACGGAGCCCGAATCAACTCGGTAATGATCCTTCCGCAGGTT</t>
  </si>
  <si>
    <t>CAGAGCCAAGAGATCCGTTGTTGAAAGTTTTGATTCATTTGTTTTTTTTACTCAGAAGATTCACTGTGTAATACAAAGGGTTTGTGTTTTCCCCCGGCGGTCGCCTGGGTCCGGTCGCCGAAGCGCCGGGGCGGGTCCGCCGAAGCAACGTGTAGGTAAGGTTCACATTGGGTTTGGGAGTTTTGCAACTCAGTAATGATCCCTCCGCTGGTTCACCAACGGAGACCTTGT</t>
  </si>
  <si>
    <t>GAGAGCCAAGAGATCCGTTGTTAAAAGTTTTATGTTTGTTATGATATTACATTCATTACTAACAGTTTGTGTAAATGGCCGAAGCCACAGTTCACGGTGTGTGAGATAAGGTCGACTCCGAAGAGACCGACACAAACCCTACCAGTCCAAAGACTTCGAGGGCATCATTAATGATCCTTCCGCAGGTTCACCTACGGAAACCTTGTTATGACTTTTACTTCCTCTAAATGA</t>
  </si>
  <si>
    <t>GAGAACCAAGAGATCCATTGTTAAAAGTTTTGATTATTTTTGTTTTGACTATAAAATTATTGTTTGCTGTGTAAATTTCACAAATATTTATAATTCTTAATGATCCTTCCGCAGGTTCACCTACGGAAACCTTGTTACGACTTTTACTTCCTCTAAATGACCAAGAGATCGGAAGAGCGTCGTGTAGGGAAAGAGTGTAGATATCCGTGTAGATCTCGGTGGTCGCCGTAT</t>
  </si>
  <si>
    <t>GAGAGCCAAGAGATCCGTTGTTAAAAGTTTTATTAATTATAATAAGACTACATTTGTTACAAATTGTTTAGTATAAAAGTGGATGCAAGCATCCAACAGTGCACAGGTGTTATGGATAAGAAGGTTAGTGCCGGGATTATGGGCCCCGGCAACACATTTTCATTAATGATCCTTCCGCAGGTTCACCTACGGAAACCTTGTTACGACTTTTACTTCCTCTAAATGACCAAG</t>
  </si>
  <si>
    <t>GAGAACCAAGAGATCCATTGTTGAAAGTTTTGAATATTTTATTTCTTATGAAATAGAATTGACTAGTTTTCAAAATTTTTGTTTGTGTTTATCCCTGGGCAGTTAGAGCCCAGGAAGAATAGCATATAGTAGAAACTACACGTGTGTTGGTTAGATAGACTGTTAACAGATGCTCAATACCGCCGCGCAACTAAGCGCAGGCAGACCGAAACACCCCAGCACTATCAAATC</t>
  </si>
  <si>
    <t>CAGAGCCAAGAGATCCGTTGTTGAAAGTTTTAATTTATTTGCTTGTTTACTCAGAAAAACATTATAAAAACAGAGTTAGGGGTCCTCTGGCGGGGGCGGCCCGTTGTTACAGGGCCGTCTGTTCCCGCCGAAGCAACGTTTTAGGTATGTTCACAGGGTTGATGAGTTGTATAACTCGGTAATGATCCCTCCGCTGGTTCACCAACGGAGACCTTGTTACGACTTTTACTT</t>
  </si>
  <si>
    <t>TAGAGCCAAGAGATCCGTTGTTAAAAGTTTTAATAGTTCGCTAAGAACACTCAGAAGTATCGTTGGTATAAACAGAGAGACTGATGGACCGGCGGGCTCGCAGAACGAGCCGCCGAAGCAACAATATGGTTCACAAAGGGTTATGAGTAGATACTCGGTAATGATCCCTCCGCTGGTTCACCAACGGAGACCTTGTTACGACTTTTACTTCCTCTAAATGACCAAGAGATC</t>
  </si>
  <si>
    <t>CAGAACCAAGAGATCCATTGTTAAAAGTTGTAATAATTTAGTTTTGTATCGGAAGTGTTAAATGTATAATGCAAAGGGTTTAGTTGGTTCCTGTCGGCGGGCGAACCCGCCGAGGGAAGCAATAGGGGTACACATAGGCAAAGGGTGGGTATAAAGTCAGGCTGTAGCCCCCTCCGCCGAAGCTTCGAGGGCCAGGGAACCTTGTTGTAATGATCCTTCCGCAGGTTCACC</t>
  </si>
  <si>
    <t>CAGAACCAAGAGATCCGTTGTTGAAAGTTTTGACTTATTAAGTACAAAGACTCAGAGAGGCCATAAAAGTTCAAGAGTTAGATACCTCCGGCGGGCGCCCGAGTAGGGCCGGGGACCCCGGAGACCGGGGCCAACCCGCCGAAGCAACGTTGAAGGTATGTTCACAATGGTTTGGGAGTTTTGCAACTCTTTAATGATCCCTCCGCTGGTTCACCAACGGAGACCTTGTTA</t>
  </si>
  <si>
    <t>CAGAGCCAAGAGATCCATTGTTGAAAGTTGTAACGATTGTTTGTTTCGGAACAGGTAATGCTAGATGCAAAAAGAGTTTATTCGGTTCCAACGGCAGGTTGCCCCGCCGAGGGAGAACAGAAGGTGCTCGTAAAGTAAGGATGGCAGTCGTGCGCGCGTGAAGGGGAGGACCCCAAACCGCTCGAGGCTTGTTTCCGCACCTCGGGGGCCGCGACGCACCCTGTTTTGAAA</t>
  </si>
  <si>
    <t>CAGAACCAAGAGATCCGTTGTTGAAAGTTTTGACTTATTCAGTACAGAAGACTCAGAGAGGCCATAATAATCAAGAGTTGGGTTTCCTCCGGCGGGCGCCCCGCTAGGGGGCCAGGGGGCACCGGGCGGACCCGGGCCGCCCGCCGAAGCAACGGTTTGAAGGTAACGTTCACAATGGTTTAGGGAGTTTTGCAACTCTGTAATGATCCCTCCGCTGGTTCACCAACGGAG</t>
  </si>
  <si>
    <t>GAGAGCCAAGAAATCCGTTGCTGAAAGTTGTTCTTTCAAATTTCATTGGTTATTTACATCCTCATCTCTTATTAAATATTCAAAGGGGTTATGTATGTGTGTTATAGACTTCGACAACCCGTGAAGGTATTTGAAGAATATAAGATTTCAAGTGCACTAAGTGTAATGGATAGTTAAAACGAGCCTCAATGAAGAGCACTCTTGTGTTTCACTAATGATCCTTCCGCAGGT</t>
  </si>
  <si>
    <t>CAGAACCAAGAGATCCGTTGTTGAAAGTTTTAATTTATTAATTAAATTTACTCAGACTGCAAAGTTACGCAAGAGTTTGAATTTGTCCACCCGGAGCCCCCGCCCGAAGGCAGGGTCGCCCCGGAGGCAACAGAGTCGGACAACAAAGGGTTATGAAATCACCCGGTGGTAAAACCGGGGTCGTTTCTTGTAATGATCCCTCCGCAGGTTCACCTACGGAGACCTTGTTAC</t>
  </si>
  <si>
    <t>GAGAGCCAAGAGATCCGTTGTTGAAAGTTGTATTAGATGCGTTTTATTACATCGAGTAGACATTCTTAAGACATACAAAGGGTGTGTAAAGGGACGCGAGCCTCTTCGAGTTAACGAAGAGACCCCCGCGAAGGTGCACAGGTGTGTGTGGATTAGTGAAAGGAGCGTGCACATGCCGTTTTTAAAGGCCAGCTACAACTCCAGTCATAAATTTCATTAATGATCCTTCCG</t>
  </si>
  <si>
    <t>CAGAACCAAGAGATCCGTTGTTGAAAGTTTTTATTTATTTGTAAAAACTACTCAGAAGATTCCAAAATAAAACAAGAGTTGAGTTTCCTAGGCGGGCGCCTGATCCGGGGCACACGAGGCGCCCGGGGCAATCCCGCCGAAGCAACAGTAGGTATGTTCACATGGGTTTGGGAGTTGTAAACTCGGTAATGATCCCTCCGCTGGTTCACCAACGGAGACCTTGTTACGACT</t>
  </si>
  <si>
    <t>CAGAACCAAGAGATCCGTTGTTGAAAGTTGTAACTATTATGTTTTTTCAGACGCTGATTTCAATTACAAAGGGTTTAAGTTTGTCCAATCGGCGGGCGGACCCGCCGAGGAAACGAAGGTACTCAAAAGACATGGGTAAGAGATGGTAGGCAAAGCCTACAACTCTAGGTAATGATCCTTCCGCAGGTTCACCTACGGAAACCTTGTTACGACTTTTACTTCCTCTAAATT</t>
  </si>
  <si>
    <t>CAGAGCCAAGAGATCCATTGTTGAAAGTTGTAACGATTGTTTGTTTCGGAACAGGTAATGCTAGATGCAAAAAGAGTTTATTCGGTTCCAACGGCAGGTTGCCCCGCCGAGGGAGAACAGAAGGTGCTCGTAAAGTAAGGATGGCAGTCGTGCGTGCGTTAAGGGGTCCGAAGACTCCGCAAACCTCCCAAGGATTGTTTCCGCTCCTCGGGGGCCGCGACGCACCCTGAT</t>
  </si>
  <si>
    <t>GAGAGCCAAGAGATCCGTTGTTGAAAGTTGTATTGATTATAATACTTTACATTCGTTACACTGATGTTTGTAGTAAATTGTCCGAAGACAATAAGGTGCACAGGTGTAATAAGGGATTATAAAGCTAGGCCGTGAGGCTTCGCATTTAATAATGATCCTTCCGCAGGTTCACCTACGGAAACCTTGTTACGACTTTTACTTCCTCTAAATGACCAAGAGATCGGAAGAGCG</t>
  </si>
  <si>
    <t>GAGAGCCAAGAGATCCGTTGTTAAAAGTTGTATTTTGTTATGATATATTACATTCAAGACTTCAAGTTTGGGCCGAAGCCACGGTTCACAGTGTATATTATGTGTATAAGGCCAAAAGGCCGAATTCAATAATGATCCTTCCGCAGGTTCACCTACGGAAACCTTGTTATGACTTTTACTTCCTCTAAATGACCAAGAGATCGGAAGAGCGTCGTGTAGGGAAAGAGTGTC</t>
  </si>
  <si>
    <t>GAGAGCCAAGAGATCCGTTGTTAAAAGTTTTGTTTTTGTTATGATATTACATTCATTACTAACAGTTTGTGATGGCCGAAGCCACAGTTCACGGTGTATATGGAAGCCCTCATCTTGCGATAAGGGCAGATCTAACCCAATGATTTGCATCAATGGGCACTATTAATGATCCTTCCGCAGGTTCACCTACGGAAACCTTGTTATGACTTTTACTTCCTCTAAATGACCAAA</t>
  </si>
  <si>
    <t>CGGAACCAAGAGATCCGTTGTTGAAAGTTTTAAATAATTTATATTTTCACTCAGACTTCAATCTTCAGACAGAGTTCGAGGGTGTCTTCGGCGGGCGCGGGCCCGGGGGCGTGAAGCCCCCCGGCGGCCAGTAAAGGCGGGCCCGCCGAAGCAACAAGGTAAAATAAACACGGGTGGGAGGTTGGACCCAAAGGGCCCTCACTCGGTAATGATCCTTCCGCAGGTTCACCT</t>
  </si>
  <si>
    <t>CAGAGCCAAGAGATCCGTTGTTGAAAGTTTTAACTTATTTTTGCTTTTCAGCCACTCAGAGATTCCAATGATACAGGAGTTAAGGGTCCCCGGCGCAGCCCTAGGGACCGCGCCGAGGCAACGTTTAGGTAGGTTCACAGTGGGTTGGGAGTTTTTACACTCTGTAATGATCCCTCCGCTGGTTCACCAACGGAGACCTTGTTACGACTTTTACTTCCTCTAAATGACCAA</t>
  </si>
  <si>
    <t>GAGAGCCAAGAGATCCGTTGTTGAAACTTAGTATTAGATGCGTTACATCCATTACATTCATTTCTAAATAAATTGAGTTTATGTATTGAGTAGACAGAGGGTCCAGCACCAATTGTTCTTAAAAAACAATCAATAAATTCCCCATCTGCCTCACAAGTGCACAGGTGTGTGTGGATGAAAGAGATAGGTGTGCACATGCCCAAATTCATGAGCCAGCTACAACCAAATATC</t>
  </si>
  <si>
    <t>GAGAGCCAAGAGATCCGTTGTTGAAAGTTTTATTATGTTATAATAAGACTACATTTGTTACAATAATGTTTAGTTTAAAAGTGGATGCAAGCATCCAACAGTGCACAGGTGTTATGGATATGAAAAGGGTTCGAACATAAGCTCAATCCCATAGTATTCAATAATGATCCTTCCGCAGGTTCACCTACGGAAACCTTGTTACGACTTTTACTTCCTCTAAATGACCAAGAG</t>
  </si>
  <si>
    <t>CAGAACCAAGAGATCCGTTGTTGAAAGTTTTAACTTATTAAGTTTTTGATTCAGAATACCAAAATTAACAAGAGTTTAGTAGTCCACCGGCGCGTCCACCCACCGAGAAAACGAGTCTCTCAGCAGGCCTCTGCGCCGAGGCAACAGTGGTAAGTTCACATGGGTTGGAGTTGTAATAACTCAGTAATGATCCCTCCGCAGGTTCACCTACGGAGACCTTGTTACGACTTT</t>
  </si>
  <si>
    <t>CTGAACCAAGAGATCCGTTGCTGAAAGTTTTATTAAACTTTTATAATTTCAACAGCTTAACTGCTTGGACATTCTAGTAAACATTTTAAAACAGTGGTTTGTAATAGAAGATTATGAGTTTTTACACTCAATAATTAATCACTAATGATCCTTCCGCAGGTTCACCTACGGAAACCTTGTTACGACTTTTACTTCCTCTAAATGACCAAGAGATCGGAAGAGCGTCGTGTA</t>
  </si>
  <si>
    <t>GAGAGCCAAGAGATCCGTTGTTGAAAGTTGTATTTATTTATAGTAGATTACATTCATTACATTATGTTTAAGTTTATGCCCAAAGGCAAATAGTTCACAGGTGTATAGATGTTATAAAAGCTAGGCTCGAAAGCTTTGCCGTTTATTAATGATCCTTCCGCAGGTTCACCTACGGAAACCTTGTTACGACTTTTACTTCCTCTAAATGACCAAGAGATCGGAAGAGCGTCG</t>
  </si>
  <si>
    <t>CAGAACCAAGAGATCCGTTGTTGAAAGTTGTAATTAATTACGTTGTTACTGACGCTGATTGCTATTACAAAAAGGTTTATGGTTGGTCCTGATGGCGGGCGAGCCCACCCAGGAAACAAGAAGTACGCAAAAGACACGGGTGAATAATTCAGCAGGGCCGGCTCCAGCCGCGCACGCCGTGAAGCAGTGCCCGGCTGGAGGGTGTCCAGCCCGCCTTCATATTGTGTAATG</t>
  </si>
  <si>
    <t>CAGAACCAAGAGATCCGTTGTTGAAAGTTTTTATTTATTTGTTTATGTATCACTCAGAGGAGAAAACCACTAAAGACATAAGAGTTTGGGGCCTCCGGCGGGCGCCTGGTTCCGTTGCCCGAAGGCGCCGGGGCGGTCCCGCCGAAGCAACGATAGGTAAGGTTCACAAAGGGTTTGGGAGTTTGTAAACTCGGTAATGATCCCTCCGCTGGTTCACCAACGGAGACCTTG</t>
  </si>
  <si>
    <t>CAGAACCAAGAGATCCGTTGTTGAAAGTTGTAACTATTATGTTTTTTCAGACGCTGATTGCAACTGCAAATGGTTTAAATTGTCCAATCGGCGGGCGAACCCGCCGAGGAAACGAAGGTACTCAAAAGACATGGGTAAGAGATAGCAGGCAAAGCCTACAACTCTAGGTAATGATCCTTCCGCAGGTTCACCTACGGAAACCTTGTTACGACTTTTACTTCCTCTAAATGA</t>
  </si>
  <si>
    <t>CAGAACCAAGAGATCCGTTGTTGAAAGTTTTGACTTATTCAGTACAGAAGACTCAGAGAGGCCATGTAAATTCAAGAGTTTGGTGTACCTCCGGCGGGCCCCCGAGAGGGGCCGAGGGCAGGGCCGAAGCCCGCCACCCGCCGAAGCAACGATGTAGGTAACGTTCACGATGGTTTGGGAGTTTTGCAACTCTGTAATGATCCCTCCGCTGGTTCACCAACGGAGACCTTG</t>
  </si>
  <si>
    <t>GAGAGCCAAGAGATCCGTTGTTAAAAGTTGTATTATTTTATAATAGTTTACATTCGTTACACTGTTGTTTGTAAAGATTGTCCGAAGACAATAAGGTGCACAGGTGTAATAAGGATTATAAAGCTAGGCCAGTGATGGCTTCGCGTTTAATAATGATCCTTCCGCAGGTTCACCTACGGAAACCTTGTTACGACTTTTACTTCCTCTAAATGACCAAGAGATCGGAAGAGC</t>
  </si>
  <si>
    <t>GAGAGCCAAGAGATCCGTTGTTAAAAGTTGTATTTATTATAATAGTTTACATTCTTTACACTGATGTTTGTATAATATCGCCGGAGCGACAAGATGCACAGGTGTTAAAGGATTATAAAGTTACCAGAGGCAACATTTATTAATGATCCTTCCGCAGGTTCACCTACGGAAACCTTGTTACGACTTTTACTTCCTCTAAATGACCAAGAGATCGGAAGAGCGTCGTGTAGG</t>
  </si>
  <si>
    <t>CAGAACCAAGAGATCCGTTGTTGAAAGTTTTGATTCATTTATGTTTTGTACTCAGAGTTTCAGTGTAAAAACAGAGTTAATTTGGCCACCGGCCGGCTGCTCCTCTGTCTCCAGAGGGACCCCATCAGGGGACGGCCTGCGCCGAGGCAACAGTAAGGTATAAGTTCACAAAGGGTTTCTGGGTGCGCCAGGGGCGCGTTCCAGCAATGATCCCTCCGCTGGTTCACCAAC</t>
  </si>
  <si>
    <t>CAGAACCAAGAGATCCGTTGTTGAAAGTTTTGACTTATTCAGTACAGAAGACTCAGAGAGGCCATAAATTATCAAGAGTTTGGTGACCTCCGGCGGGCGCCCGCGGTGGGGCCCAGGGGCGCCCGGGGGGTAAACCCCGGGGCCGCCCGCCGAAGCAACGGTATAGGTAACGTTCACAATGGTTTAGGGAGTTTTGCAACTCTGTAATGATCCCTCCGCTGGTTCACCAAC</t>
  </si>
  <si>
    <t>CAGAACCAAGAGATCCGTTGTTGAAAGTTTTAATTATTTGCTTGTGCCACTCAGAAGAAACGTCGTTAAAATAGAGTTTGGTATCCTCCGGCGGGCGCTCCGCCCGTGAGGGCAGGGCCGGGAGGGGGGTCCGCAGGCGGCACCCCCTGCCCGCCGAAGCAACAGTTAGGTATGTTCACAAAGGGTTATAGAGCGGTAACTCAGTAATGATCCCTCCGCTGGTTCACCAAC</t>
  </si>
  <si>
    <t>GAGAGCCAAGAGATCCGTTGTTGAAAGTTTTTATTTGTTATAAAAATTTTACATTCATAGACTAGTGTTTATAAGTGAAGGCTCACAATCCGAAGACTGCTCGCCATAATACAGATGCACAAAGTTAGAATTGAGAAGTTCGGGTTCCAAGTTAAATTGGACACCCTTGTTTTCAATAATGATCCTTCCGCAGGTTCACCTACGGAAACCTTGTTACGACTTTTACTTCCT</t>
  </si>
  <si>
    <t>CGGAACCAAGAGATCCGTTGTTGAAAGTTTTAACGATTTTTCTTATATGAAAACTCAGACTGCAAACTTCAGACAGTGTTCAATGTTGGAGTCTCCGGCGGGCGCGGGCCCGGGGGGCTAGAGAGCCCCCCCGGCGGCCATGAAGGCGGGCCCGCCGAAGCAACAGGGTACAAGAGACACGGATGGGAGGTTGGACCCAGAGGGCCCGCACTCGGTAATGATCCTTCCGCA</t>
  </si>
  <si>
    <t>GAGAACCAAGAGATCCGTTGTTGAAAGTTTTGATATTTTTATTTGTTGACTAAGTAAATTATTAGTGTTCTTGCAAGCAAGTTCTCTAAAAAAACATGTGTAATGCAATTAAGCAAACTTTAATGATCCTTCCGCAGGTTCACCTACGGAAACCTTGTTACGACTTTTACTTCCTCTAAATGACCAAGAGATCGGAAGAGCGTCGTGTAGGGAAAGAGTGTACGGTGTCGT</t>
  </si>
  <si>
    <t>CAGAACCAAGAGATCCGTTGTTGAAAGTTTTAACTTATTAAAAGTTTACTCAGACAGAACAGTAATTAACAAGAGTTTTAGATACTCCGGCAGGCACCCGTAGGGCGAAGGCTCCGGAGGAACCGCCTGCCGAAGCAACGAAACAGGTAGATAAACATATGGTTTGGGAGTTTTGCAACTCTTTAATGATCCCTCCGCTGGTTCACCAACGGAGACCTTGTTACGACTTTT</t>
  </si>
  <si>
    <t>TGGAGCCAAGAGATCCGTTGTTGAAAGTTTTAACAGTTCGCTTAGAACACTCAGATGTAACGTCGATTCACAACTAAGAGACTATAATTGGCCGGCGGGCACGCCCGGAGGCGCGCCGCCGAAGCAACTAGGTATAATGGTTCACAAAGGGTTATGAGTTGTAAAGACTCGGTAATGATCCCTCCGCTGGTTCACCAACGGAGACCTTGTTACGACTTTTACTTCCTCTAA</t>
  </si>
  <si>
    <t>CAGAGCCAAGAGATCCATTGTTGAAAGTTGTAACGATTGTTTGTTTCGGAACAGGTAATGCTAGATGCAAAAAGAGTTTATTCGGTTCCAACGGCAGGTTGCCCCGCCGAGGGAGAACAGAAGGTGCTCGTAAAGTAAGGATGGCAGTCGTGCGTGCGTAAATGGGGGGCTCGAAGCCCCCGCATACCTCCCAAGGATTGTTTCCGCTCCTCGGGGGCCGCGCCGCACCCC</t>
  </si>
  <si>
    <t>GAGAGCCAAGAGATCCGTTGTTGAAAGTTTTATTTTGTTAAAATATAAAGACGTTCTTTACACTGATGTTTGTTATGTAGACCCGGAGGTCAACGGTTCACAGAGGTGAGGGATTATGTTGATAAGGCCGTTAGGCCAATCATTAATGATCCTTCCGCAGGTTCACCTACGGAAACCTTGTTACGACTTTTACTTCCTCTAAATGACCAAGAGATCGGAAGAGCGTCGTGT</t>
  </si>
  <si>
    <t>CAGAACCAAGAGATCCGTTGTTGAAAGTTTTGATTTGTTTTGTTGCCTTTCGGCTCGCTCAGAGGATACACATGTTGTTTAAACAGGGTTCGTGTGGTCCCCGGCGGGCGCCTTGGGTCCGGGGCACGCAGCGCCCGGGGCGGTCCGCCGAAGCAACGGTGGGTAAGGTTCACAAAGGGTTGGGAGTTTTTTGTTAACTCTGTAATGATCCCTCCGCTGGTTCACCAACGG</t>
  </si>
  <si>
    <t>CAGAACCAAGAGATCCGTTGTTAAAAGTTTTAATTATTTGCTTGTGCCACTCAGAAGAAACGTCGTTAAAATAGAGTTTGGTATCCTCCGGCGGGCGCCTCGCCCCGTGAAGGGCGTGGCCGGGAGGGCGTCCCCGAGGGGACCCCCTGCCCGCCGAAGCAACAGTTAGGTATGTTCACAAAGGGTTATAGAGCGGTAACTCAGTAATGATCCCTCCGCTGGTTCACCAAC</t>
  </si>
  <si>
    <t>CAGAACCAAGAGATCCGTTGTTGAAAGTTTTATTATGTTATAATAAGACTACATTTGTTACAATAATGTTTAGTTTAAAAGTGGATGCAAGCATCCAACAGTGCACAGGTGTTATGGATAGAACCAGCCCCTAGCACTTAAGCCTAGGGCGTAAAATTCATTAATGATCCTTCCGCAGGTTCACCTACGGAAACCTTGTTACGACTTTTACTTCCTCTAAATGACCAAGAG</t>
  </si>
  <si>
    <t>CAGAACCAAGAGATCCGTTGTTGAAAGTTTTGATTGATTTATCAATTCACTCAGACGTCACAGATGCAGCGTTTGATCAAAGTCCGCCGGGGGCCCCCGCGCCGAAACGCCGGGTCGCCCCCGAGGCAACAGAGGTCGGTACAACAAAGGGTGGGAGGTCGGGCCGGGGGCCCTCACTCATTAATGATCCCTCCGCAGGTTCACCTACGGAGACCTTGTTACGACTTTTAC</t>
  </si>
  <si>
    <t>GAGAGCCAAGAGATCCGTTGTTAAAAGTTGTATTTATTATAATAATTTACATTCTTTACACTGATGTTTGTTAAAATTGTCCAAAGACAATAAGGTGCACAGGTGTAATAAGGGATTATAAAGCTAGGCCAGTGATGGCTTCGCATTTAATAATGATCCTTCCGCAGGTTCACCTACGGAAACCTTGTTACGACTTTTACTTCCTCTAAATGACCAAGAGATCGGAAGAGC</t>
  </si>
  <si>
    <t>CAGAACCAAGAGATCCGTTGTTGAAAGTTTTGATTGAATTTCTCAATACGCTCAGACGACAATTGATGCAGAGTTTTGGTTGGTGACCACCGGGGGGACCGGCGGACCGCGAGGTCCGGGTCGCCCCCGAGGCAGAAGGAGGTCTTGATCAAATCAAAGGGTTGGGAGGTCGGGCGGCAAGCGCCCTCACTCGGTAATGATCCCTCCGCAGGTTCACCTACGGAGACCTTG</t>
  </si>
  <si>
    <t>CAGAACCAAGAGATCCGTTGTTGAAAGTTTTAACTTATTTCTTAGTTTGATTCAGATTGACAAAAATTAACAGAGTTTAGGTAGTCCACCGGCGGTGGTACCGTCCCGAGAGACAGCACCATCCACCGAGGCAACAGTGGTAAGTTCACATGGTTTGGAGAGTTAAAAACTCAGTAATGATCCCTCCGCAGGTTCACCTACGGAGACCTTGTTACGACTTTTACTTCCTCT</t>
  </si>
  <si>
    <t>GAGAGCCAAGAGATCCGTTGTTAAAAGTTTTGTTTTTGTTATGATATTACATTCATTACTAACAGTTTGTGATGGCCGAAGCCACAGTTCACGGTGTGTATGGATGGCCAACTCCGAAGAGAAGGCACTCATTGAACTCAACTGACCGAAGCCAGAGAGCATTATTAATGATCCTTCCGCAGGTTCACCTACGGAAACCTTGTTACGACTTTTACTTCCTCTAAATGACCA</t>
  </si>
  <si>
    <t>CAGAACCAAGAGATCCGTTGTTGAAAGTTTTAACTTATTTGTTTTTCTCGAGATGCCAACGCAAAGAAACAGAATTTGTAGGCTGCCGGCGGGCTGACGCGCCGCGGGAACGAATCCCCGGGGCGCACCCGCCGAAGCAACGTTCGTATAGTAGGTTCACAGGGTTGTAGGAGTCTTGCGAGTCCTGTAATGATCCCTCCGCTGGTTCACCAACGGAGACCTTGTTACGAC</t>
  </si>
  <si>
    <t>CAGAACCAAGAGATCCGTTGCTGAAAGTTTTGATTTATTTGCTTATGCCACTCAGAAATACACTAAAAGACAAGAGTTTGGAGCCTCCGGCGGACGCCTGGGTCCGGGCCGCGCGAACGCGCCCGGGGCGAGGCCGCCGAAGCAACAGTGGTAGGTTCACAATGGTTTGGGAGTTTTTACACTCGGTAATGATCCCTCCGCTGGTTCACCAACGGAGACCTTGTTACGACT</t>
  </si>
  <si>
    <t>GAGAACCAAGAGATCCGTTGTTGAAAGTTTTGTTTTGTTAAAACTTAGTGACTGGTATTATTACAATTTTAGGTGTTTGGTGCGCTCACGCATGTGTATAAGATATAAATCACAGTAATGATCCTTCCGCAGGTTCACCTACGGAAACCTTGTTACGACTTTTACTTCCTCTAAATGACCAAGAGATCGGAAGAGCGTCGTGTAGGGAAAGAGTGTCGTACGATGTGTAGA</t>
  </si>
  <si>
    <t>GAGAGCCAAGAGATCCGTTGTTAAAAGTTGTATTTTGTTATGATATATTACATTCAAGACTTCAAGTTTGGGCCGAAGCCACGGTTCACAGTGTATATTATGTGTATAAGGCCAAAAGGCCGAATTCAATAATGATCCTTCCGCAGGTTCACCTACGGAAACCTTGTTATGACTTTTACTTCCTCTAAATGACCAAGAGATCGGAAGAGCGTCGTGTAGGGAAAGAGTGTA</t>
  </si>
  <si>
    <t>CAGAACCAAGAGATCCGTTGTTAAAAGTTGTAATTATTAAGTTTTTCAGACGCTGACTGCAACTGCAAATGGTTTAATGTGGTCCTAACGGCAGGCGGACCTGCCGAGGAAACGTGTAGTACGCAAAAGACATGGGTAAGAGATGGCAGACAAAAGCCTGCAACTCTCGGTAATGATCCTTCCGCAGGTTCACCTACGGAAACCTTGTTACGACTTTTACTTCCTCTAAAT</t>
  </si>
  <si>
    <t>CAGAGCCAAGAGATCCGTTGTTGAAAGTTTTGATTCATTTGTTTTTTTTTACTCAGAAGATTCACTGTGTAATACAAAGGGTTTGTGTTTTCCCCCGGCGGTCGCCTGGGTCCGGTCGCCGAAGCGCCGGGGCGGGTCCGCCGAAGCAACGTGTAGGTAAGGTTCACATTGGGTTTGGGAGTTTTGCAACTCAGTAATGATCCCTCCGCTGGTTCACCAACGGAGACCTTG</t>
  </si>
  <si>
    <t>Color Phyla</t>
  </si>
  <si>
    <t>#cbff8c</t>
  </si>
  <si>
    <t>#1b998b</t>
  </si>
  <si>
    <t>#d00000</t>
  </si>
  <si>
    <t>#ff7b9c</t>
  </si>
  <si>
    <t>#ff9b85</t>
  </si>
  <si>
    <t>#3185fc</t>
  </si>
  <si>
    <t>Unclassified</t>
  </si>
  <si>
    <t>#ffffff</t>
  </si>
  <si>
    <t>Seed</t>
  </si>
  <si>
    <t>ASV finale gyrB Seed</t>
  </si>
  <si>
    <t>itol</t>
  </si>
  <si>
    <t>ASV finale gyrB Seedling</t>
  </si>
  <si>
    <t>ASV_md5</t>
  </si>
  <si>
    <t>color</t>
  </si>
  <si>
    <t>itol class</t>
  </si>
  <si>
    <t>Unique Class</t>
  </si>
  <si>
    <t> qseqid     </t>
  </si>
  <si>
    <t> sseqid     </t>
  </si>
  <si>
    <t>comp</t>
  </si>
  <si>
    <t>Relative abundance across all samples (seed, seedling sterile)</t>
  </si>
  <si>
    <t>itol barchart</t>
  </si>
  <si>
    <t>Basidiomycota</t>
  </si>
  <si>
    <t>Agaricomycetes</t>
  </si>
  <si>
    <t>Polyporales</t>
  </si>
  <si>
    <t>gCoAvM018</t>
  </si>
  <si>
    <t>unidentified</t>
  </si>
  <si>
    <t>Agaricostilbomycetes</t>
  </si>
  <si>
    <t>gCoAvM019</t>
  </si>
  <si>
    <t>Russulales</t>
  </si>
  <si>
    <t>Aphelidiomycetes</t>
  </si>
  <si>
    <t>#008080</t>
  </si>
  <si>
    <t>gCoAvM059</t>
  </si>
  <si>
    <t>Polyporaceae</t>
  </si>
  <si>
    <t>Trametes</t>
  </si>
  <si>
    <t>Trametes_versicolor</t>
  </si>
  <si>
    <t>Chytridiomycetes</t>
  </si>
  <si>
    <t>#bcf60c</t>
  </si>
  <si>
    <t>gCoAvM060</t>
  </si>
  <si>
    <t>Cystobasidiomycetes</t>
  </si>
  <si>
    <t>#e6194b</t>
  </si>
  <si>
    <t>gCoAvM061</t>
  </si>
  <si>
    <t>Agaricales</t>
  </si>
  <si>
    <t>Physalacriaceae</t>
  </si>
  <si>
    <t>Dothideomycetes</t>
  </si>
  <si>
    <t>#6a329f</t>
  </si>
  <si>
    <t>gCoAvM062</t>
  </si>
  <si>
    <t>3f2f9767c869e222de42d529314fe930</t>
  </si>
  <si>
    <t>Eurotiomycetes</t>
  </si>
  <si>
    <t>gCoAvM063</t>
  </si>
  <si>
    <t>9bbe1a1e6d0025fce4dd3b86cf28c86d</t>
  </si>
  <si>
    <t>Cantharellales</t>
  </si>
  <si>
    <t>Ceratobasidiaceae</t>
  </si>
  <si>
    <t>Exobasidiomycetes</t>
  </si>
  <si>
    <t>#911eb4</t>
  </si>
  <si>
    <t>gCoAvM131</t>
  </si>
  <si>
    <t>d73b87d5ba555f2d20a0c4b6d3a24120</t>
  </si>
  <si>
    <t>Leotiomycetes</t>
  </si>
  <si>
    <t>gCoAvM132</t>
  </si>
  <si>
    <t>Malasseziomycetes</t>
  </si>
  <si>
    <t>#4363d8</t>
  </si>
  <si>
    <t>gCoAvM134</t>
  </si>
  <si>
    <t>Microbotryomycetes</t>
  </si>
  <si>
    <t>#ce7e00</t>
  </si>
  <si>
    <t>gCoAvM135</t>
  </si>
  <si>
    <t>Mortierellomycetes</t>
  </si>
  <si>
    <t>#8fce00</t>
  </si>
  <si>
    <t>gCoAvM137</t>
  </si>
  <si>
    <t>Olpidiomycetes</t>
  </si>
  <si>
    <t>#e6beff</t>
  </si>
  <si>
    <t>gCoAvM139</t>
  </si>
  <si>
    <t>Pezizomycetes</t>
  </si>
  <si>
    <t>#f58231</t>
  </si>
  <si>
    <t>gCoAvM140</t>
  </si>
  <si>
    <t>Rhizophlyctidomycetes</t>
  </si>
  <si>
    <t>#46f0f0</t>
  </si>
  <si>
    <t>gCoAvM141</t>
  </si>
  <si>
    <t>Agaricostilbales</t>
  </si>
  <si>
    <t>Kondoaceae</t>
  </si>
  <si>
    <t>Bensingtonia</t>
  </si>
  <si>
    <t>Saccharomycetes</t>
  </si>
  <si>
    <t>#ffe119</t>
  </si>
  <si>
    <t>gCoAvM142</t>
  </si>
  <si>
    <t>Sordariomycetes</t>
  </si>
  <si>
    <t>gCoAvM143</t>
  </si>
  <si>
    <t>Taphrinomycetes</t>
  </si>
  <si>
    <t>gCoAvM144</t>
  </si>
  <si>
    <t>Tremellomycetes</t>
  </si>
  <si>
    <t>#c27ba0</t>
  </si>
  <si>
    <t>gCoAvM145</t>
  </si>
  <si>
    <t>Umbelopsidomycetes</t>
  </si>
  <si>
    <t>#f032e6</t>
  </si>
  <si>
    <t>gCoAvM166</t>
  </si>
  <si>
    <t>Ascomycota</t>
  </si>
  <si>
    <t>Capnodiales</t>
  </si>
  <si>
    <t>gCoAvM181</t>
  </si>
  <si>
    <t>Cladosporiaceae</t>
  </si>
  <si>
    <t>Cladosporium</t>
  </si>
  <si>
    <t>Cladosporium_perangustum</t>
  </si>
  <si>
    <t>Ustilaginomycetes</t>
  </si>
  <si>
    <t>#3cb44b</t>
  </si>
  <si>
    <t>gCoAvM182</t>
  </si>
  <si>
    <t>Pleosporales</t>
  </si>
  <si>
    <t>Pleosporaceae</t>
  </si>
  <si>
    <t>Alternaria</t>
  </si>
  <si>
    <t>Alternaria_metachromatica</t>
  </si>
  <si>
    <t>Wallemiomycetes</t>
  </si>
  <si>
    <t>#808000</t>
  </si>
  <si>
    <t>gCoAvM183</t>
  </si>
  <si>
    <t>Feature ID</t>
  </si>
  <si>
    <t>Stemphylium</t>
  </si>
  <si>
    <t>Stemphylium_vesicarium</t>
  </si>
  <si>
    <t>Helotiales</t>
  </si>
  <si>
    <t>Sclerotiniaceae</t>
  </si>
  <si>
    <t>Hypocreales</t>
  </si>
  <si>
    <t>Nectriaceae</t>
  </si>
  <si>
    <t>Fusarium</t>
  </si>
  <si>
    <t>Eurotiales</t>
  </si>
  <si>
    <t>Aspergillaceae</t>
  </si>
  <si>
    <t>Penicillium</t>
  </si>
  <si>
    <t>Didymellaceae</t>
  </si>
  <si>
    <t>Cladosporium_sphaerospermum</t>
  </si>
  <si>
    <t>Tremellales</t>
  </si>
  <si>
    <t>Bulleribasidiaceae</t>
  </si>
  <si>
    <t>Vishniacozyma</t>
  </si>
  <si>
    <t>Vishniacozyma_victoriae</t>
  </si>
  <si>
    <t>Epicoccum</t>
  </si>
  <si>
    <t>Epicoccum_nigrum</t>
  </si>
  <si>
    <t>Thanatephorus</t>
  </si>
  <si>
    <t>Thanatephorus_cucumeris</t>
  </si>
  <si>
    <t>Olpidiomycota</t>
  </si>
  <si>
    <t>Olpidiales</t>
  </si>
  <si>
    <t>Olpidiaceae</t>
  </si>
  <si>
    <t>Olpidium</t>
  </si>
  <si>
    <t>Sporidiobolales</t>
  </si>
  <si>
    <t>Sporidiobolaceae</t>
  </si>
  <si>
    <t>Rhodosporidiobolus</t>
  </si>
  <si>
    <t>Sporobolomyces</t>
  </si>
  <si>
    <t>Sporobolomyces_roseus</t>
  </si>
  <si>
    <t>Glomerellales</t>
  </si>
  <si>
    <t>Plectosphaerellaceae</t>
  </si>
  <si>
    <t>Plectosphaerella</t>
  </si>
  <si>
    <t>Plectosphaerella_cucumerina</t>
  </si>
  <si>
    <t>Cystofilobasidiales</t>
  </si>
  <si>
    <t>Mrakiaceae</t>
  </si>
  <si>
    <t>Itersonilia</t>
  </si>
  <si>
    <t>Itersonilia_perplexans</t>
  </si>
  <si>
    <t>Hypocreales_fam_Incertae_sedis</t>
  </si>
  <si>
    <t>Acremonium</t>
  </si>
  <si>
    <t>Acremonium_furcatum</t>
  </si>
  <si>
    <t>Fusarium_solani</t>
  </si>
  <si>
    <t>Pyrenophora</t>
  </si>
  <si>
    <t>Pyrenophora_lolii</t>
  </si>
  <si>
    <t>Filobasidiales</t>
  </si>
  <si>
    <t>Filobasidiaceae</t>
  </si>
  <si>
    <t>Filobasidium</t>
  </si>
  <si>
    <t>Gibberella</t>
  </si>
  <si>
    <t>Tremellaceae</t>
  </si>
  <si>
    <t>Bulleromyces</t>
  </si>
  <si>
    <t>Bulleromyces_albus</t>
  </si>
  <si>
    <t>Botryosphaeriales</t>
  </si>
  <si>
    <t>Botryosphaeriaceae</t>
  </si>
  <si>
    <t>Macrophomina</t>
  </si>
  <si>
    <t>Macrophomina_phaseolina</t>
  </si>
  <si>
    <t>Gibberella_acuminata</t>
  </si>
  <si>
    <t>Vishniacozyma_carnescens</t>
  </si>
  <si>
    <t>Wallemiales</t>
  </si>
  <si>
    <t>Wallemiaceae</t>
  </si>
  <si>
    <t>Wallemia</t>
  </si>
  <si>
    <t>Wallemia_tropicalis</t>
  </si>
  <si>
    <t>Holtermanniales</t>
  </si>
  <si>
    <t>Holtermanniales_fam_Incertae_sedis</t>
  </si>
  <si>
    <t>Holtermanniella</t>
  </si>
  <si>
    <t>Holtermanniella_takashimae</t>
  </si>
  <si>
    <t>Aspergillus</t>
  </si>
  <si>
    <t>Mortierellomycota</t>
  </si>
  <si>
    <t>Mortierellales</t>
  </si>
  <si>
    <t>Mortierellaceae</t>
  </si>
  <si>
    <t>Mortierella</t>
  </si>
  <si>
    <t>Mortierella_elongata</t>
  </si>
  <si>
    <t>Hyphodermataceae</t>
  </si>
  <si>
    <t>Hyphoderma</t>
  </si>
  <si>
    <t>Hyphoderma_setigerum</t>
  </si>
  <si>
    <t>Diaporthales</t>
  </si>
  <si>
    <t>Diaporthaceae</t>
  </si>
  <si>
    <t>Diaporthe</t>
  </si>
  <si>
    <t>Fusarium_sporotrichioides</t>
  </si>
  <si>
    <t>Dioszegia</t>
  </si>
  <si>
    <t>Hypocreaceae</t>
  </si>
  <si>
    <t>Trichoderma</t>
  </si>
  <si>
    <t>Filobasidium_wieringae</t>
  </si>
  <si>
    <t>Trichothecium</t>
  </si>
  <si>
    <t>Trichothecium_roseum</t>
  </si>
  <si>
    <t>Itersonilia_pannonica</t>
  </si>
  <si>
    <t>Sporobolomyces_ruberrimus</t>
  </si>
  <si>
    <t>Filobasidium_oeirense</t>
  </si>
  <si>
    <t>Strophariaceae</t>
  </si>
  <si>
    <t>Hypholoma</t>
  </si>
  <si>
    <t>Cystofilobasidiaceae</t>
  </si>
  <si>
    <t>Cystofilobasidium</t>
  </si>
  <si>
    <t>Cystofilobasidium_macerans</t>
  </si>
  <si>
    <t>Mycosphaerellaceae</t>
  </si>
  <si>
    <t>Zymoseptoria</t>
  </si>
  <si>
    <t>Penicillium_bialowiezense</t>
  </si>
  <si>
    <t>Acremonium_fusidioides</t>
  </si>
  <si>
    <t>Vishniacozyma_tephrensis</t>
  </si>
  <si>
    <t>Rhynchogastremataceae</t>
  </si>
  <si>
    <t>Papiliotrema</t>
  </si>
  <si>
    <t>Papiliotrema_flavescens</t>
  </si>
  <si>
    <t>Dothideales</t>
  </si>
  <si>
    <t>Aureobasidiaceae</t>
  </si>
  <si>
    <t>Aureobasidium</t>
  </si>
  <si>
    <t>Aureobasidium_pullulans</t>
  </si>
  <si>
    <t>Pyxidiophora</t>
  </si>
  <si>
    <t>Pyxidiophora_arvernensis</t>
  </si>
  <si>
    <t>Verticillium</t>
  </si>
  <si>
    <t>Verticillium_nubilum</t>
  </si>
  <si>
    <t>Sordariales</t>
  </si>
  <si>
    <t>Chaetomiaceae</t>
  </si>
  <si>
    <t>Chaetomium</t>
  </si>
  <si>
    <t>Piskurozymaceae</t>
  </si>
  <si>
    <t>Solicoccozyma</t>
  </si>
  <si>
    <t>Volutella</t>
  </si>
  <si>
    <t>Volutella_ciliata</t>
  </si>
  <si>
    <t>Acremonium_alternatum</t>
  </si>
  <si>
    <t>Xylariales</t>
  </si>
  <si>
    <t>Microdochiaceae</t>
  </si>
  <si>
    <t>Microdochium</t>
  </si>
  <si>
    <t>Penicillium_commune</t>
  </si>
  <si>
    <t>Dioszegia_fristingensis</t>
  </si>
  <si>
    <t>Saccharomycetales</t>
  </si>
  <si>
    <t>Periconiaceae</t>
  </si>
  <si>
    <t>Periconia</t>
  </si>
  <si>
    <t>Cylindrobasidium</t>
  </si>
  <si>
    <t>Cylindrobasidium_evolvens</t>
  </si>
  <si>
    <t>Papiliotrema_laurentii</t>
  </si>
  <si>
    <t>Aspergillus_pseudodeflectus</t>
  </si>
  <si>
    <t>Massarinaceae</t>
  </si>
  <si>
    <t>Stagonospora</t>
  </si>
  <si>
    <t>Stagonospora_pseudovitensis</t>
  </si>
  <si>
    <t>Olpidium_virulentus</t>
  </si>
  <si>
    <t>Mycosphaerella</t>
  </si>
  <si>
    <t>Mycosphaerella_calamagrostidis</t>
  </si>
  <si>
    <t>Vishniacozyma_psychrotolerans</t>
  </si>
  <si>
    <t>Trichosphaeriales</t>
  </si>
  <si>
    <t>Trichosphaeriaceae</t>
  </si>
  <si>
    <t>Nigrospora</t>
  </si>
  <si>
    <t>Nigrospora_oryzae</t>
  </si>
  <si>
    <t>Mortierella_sarnyensis</t>
  </si>
  <si>
    <t>Mortierella_alpina</t>
  </si>
  <si>
    <t>Phaeosphaeriaceae</t>
  </si>
  <si>
    <t>Phaeosphaeria</t>
  </si>
  <si>
    <t>Vishniacozyma_dimennae</t>
  </si>
  <si>
    <t>Daedaleopsis</t>
  </si>
  <si>
    <t>Daedaleopsis_confragosa</t>
  </si>
  <si>
    <t>Trichosporonales</t>
  </si>
  <si>
    <t>Trichosporonaceae</t>
  </si>
  <si>
    <t>Didymosphaeriaceae</t>
  </si>
  <si>
    <t>Pseudopithomyces</t>
  </si>
  <si>
    <t>Pseudopithomyces_chartarum</t>
  </si>
  <si>
    <t>Bionectriaceae</t>
  </si>
  <si>
    <t>Clonostachys</t>
  </si>
  <si>
    <t>Bulleraceae</t>
  </si>
  <si>
    <t>Bullera</t>
  </si>
  <si>
    <t>Bullera_crocea</t>
  </si>
  <si>
    <t>Microdochium_majus</t>
  </si>
  <si>
    <t>Sarocladium</t>
  </si>
  <si>
    <t>Botryosphaeria</t>
  </si>
  <si>
    <t>Botryosphaeria_dothidea</t>
  </si>
  <si>
    <t>Septoria</t>
  </si>
  <si>
    <t>Septoria_campanulae</t>
  </si>
  <si>
    <t>Cucurbitariaceae</t>
  </si>
  <si>
    <t>Pyrenochaetopsis</t>
  </si>
  <si>
    <t>Pyrenochaetopsis_leptospora</t>
  </si>
  <si>
    <t>Microascales</t>
  </si>
  <si>
    <t>Microascaceae</t>
  </si>
  <si>
    <t>Cephalotrichum</t>
  </si>
  <si>
    <t>Cephalotrichum_asperulum</t>
  </si>
  <si>
    <t>Sordariales_fam_Incertae_sedis</t>
  </si>
  <si>
    <t>Ramophialophora</t>
  </si>
  <si>
    <t>Debaryomycetaceae</t>
  </si>
  <si>
    <t>Meyerozyma</t>
  </si>
  <si>
    <t>Meyerozyma_guilliermondii</t>
  </si>
  <si>
    <t>Psathyrellaceae</t>
  </si>
  <si>
    <t>Coprinellus</t>
  </si>
  <si>
    <t>Xylariales_fam_Incertae_sedis</t>
  </si>
  <si>
    <t>Phialemoniopsis</t>
  </si>
  <si>
    <t>Hannaella</t>
  </si>
  <si>
    <t>Hannaella_zeae</t>
  </si>
  <si>
    <t>Hannaella_luteola</t>
  </si>
  <si>
    <t>Aspergillus_caesiellus</t>
  </si>
  <si>
    <t>Chaetosphaeriales</t>
  </si>
  <si>
    <t>Chaetosphaeriaceae</t>
  </si>
  <si>
    <t>Ramularia</t>
  </si>
  <si>
    <t>Ramularia_collo-cygni</t>
  </si>
  <si>
    <t>Saccharomycetaceae</t>
  </si>
  <si>
    <t>Lasiosphaeriaceae</t>
  </si>
  <si>
    <t>Schizothecium</t>
  </si>
  <si>
    <t>Verticillium_albo-atrum</t>
  </si>
  <si>
    <t>Stereaceae</t>
  </si>
  <si>
    <t>Stereum</t>
  </si>
  <si>
    <t>Stereum_hirsutum</t>
  </si>
  <si>
    <t>Dipodascaceae</t>
  </si>
  <si>
    <t>Gibberella_intricans</t>
  </si>
  <si>
    <t>Saccharomycetales_fam_Incertae_sedis</t>
  </si>
  <si>
    <t>Candida</t>
  </si>
  <si>
    <t>Diaporthe_endophytica</t>
  </si>
  <si>
    <t>Botryotrichum</t>
  </si>
  <si>
    <t>Botryotrichum_atrogriseum</t>
  </si>
  <si>
    <t>Stachybotryaceae</t>
  </si>
  <si>
    <t>Humicola</t>
  </si>
  <si>
    <t>Humicola_nigrescens</t>
  </si>
  <si>
    <t>Acremonium_roseolum</t>
  </si>
  <si>
    <t>Pseudoophiobolus</t>
  </si>
  <si>
    <t>Pseudoophiobolus_rosae</t>
  </si>
  <si>
    <t>Rhodosporidiobolus_odoratus</t>
  </si>
  <si>
    <t>Eremothecium</t>
  </si>
  <si>
    <t>Eremothecium_coryli</t>
  </si>
  <si>
    <t>Candida_sake</t>
  </si>
  <si>
    <t>Diaporthe_foeniculina</t>
  </si>
  <si>
    <t>Dipodascus</t>
  </si>
  <si>
    <t>Glomerellaceae</t>
  </si>
  <si>
    <t>Colletotrichum</t>
  </si>
  <si>
    <t>Colletotrichum_coccodes</t>
  </si>
  <si>
    <t>Hannaella_oryzae</t>
  </si>
  <si>
    <t>Dichotomopilus</t>
  </si>
  <si>
    <t>Dichotomopilus_subfunicola</t>
  </si>
  <si>
    <t>Colletotrichum_verruculosum</t>
  </si>
  <si>
    <t>Hannaella_coprosmae</t>
  </si>
  <si>
    <t>Teratosphaeriaceae</t>
  </si>
  <si>
    <t>Devriesia</t>
  </si>
  <si>
    <t>Devriesia_fraserae</t>
  </si>
  <si>
    <t>Acrostalagmus</t>
  </si>
  <si>
    <t>Acrostalagmus_luteoalbus</t>
  </si>
  <si>
    <t>Chloridium</t>
  </si>
  <si>
    <t>Chloridium_aseptatum</t>
  </si>
  <si>
    <t>Dipodascus_geotrichum</t>
  </si>
  <si>
    <t>Chaetomium_elatum</t>
  </si>
  <si>
    <t>Pichiaceae</t>
  </si>
  <si>
    <t>Pichia</t>
  </si>
  <si>
    <t>Pichia_cephalocereana</t>
  </si>
  <si>
    <t>Ceratobasidium</t>
  </si>
  <si>
    <t>Hypholoma_fasciculare</t>
  </si>
  <si>
    <t>Coprinellus_radians</t>
  </si>
  <si>
    <t>Phaeosphaeria_triglochinicola</t>
  </si>
  <si>
    <t>Pseudopithomyces_rosae</t>
  </si>
  <si>
    <t>Dactylonectria</t>
  </si>
  <si>
    <t>Dactylonectria_anthuriicola</t>
  </si>
  <si>
    <t>Solicoccozyma_aeria</t>
  </si>
  <si>
    <t>Trichosporon</t>
  </si>
  <si>
    <t>Trichosporon_chiropterorum</t>
  </si>
  <si>
    <t xml:space="preserve">k__Fungi </t>
  </si>
  <si>
    <t xml:space="preserve">p__Ascomycota </t>
  </si>
  <si>
    <t xml:space="preserve">c__Dothideomycetes </t>
  </si>
  <si>
    <t xml:space="preserve">o__Pleosporales </t>
  </si>
  <si>
    <t xml:space="preserve">f__Pleosporaceae </t>
  </si>
  <si>
    <t xml:space="preserve">g__Stemphylium </t>
  </si>
  <si>
    <t xml:space="preserve">c__Sordariomycetes </t>
  </si>
  <si>
    <t xml:space="preserve">o__Hypocreales </t>
  </si>
  <si>
    <t xml:space="preserve">f__Nectriaceae </t>
  </si>
  <si>
    <t xml:space="preserve">g__Gibberella </t>
  </si>
  <si>
    <t>g__Alternaria NA</t>
  </si>
  <si>
    <t xml:space="preserve">g__Fusarium </t>
  </si>
  <si>
    <t xml:space="preserve">c__Eurotiomycetes </t>
  </si>
  <si>
    <t xml:space="preserve">o__Eurotiales </t>
  </si>
  <si>
    <t xml:space="preserve">f__Aspergillaceae </t>
  </si>
  <si>
    <t xml:space="preserve">g__Penicillium </t>
  </si>
  <si>
    <t xml:space="preserve">o__Capnodiales </t>
  </si>
  <si>
    <t xml:space="preserve">f__Mycosphaerellaceae </t>
  </si>
  <si>
    <t xml:space="preserve">g__Mycosphaerella </t>
  </si>
  <si>
    <t xml:space="preserve">o__Glomerellales </t>
  </si>
  <si>
    <t xml:space="preserve">f__Plectosphaerellaceae </t>
  </si>
  <si>
    <t xml:space="preserve">g__Gibellulopsis </t>
  </si>
  <si>
    <t xml:space="preserve">f__Cladosporiaceae </t>
  </si>
  <si>
    <t xml:space="preserve">g__Cladosporium </t>
  </si>
  <si>
    <t xml:space="preserve">g__Plectosphaerella </t>
  </si>
  <si>
    <t xml:space="preserve">p__Basidiomycota </t>
  </si>
  <si>
    <t xml:space="preserve">c__Cystobasidiomycetes </t>
  </si>
  <si>
    <t xml:space="preserve">o__Cystobasidiomycetes_ord_Incertae_sedis </t>
  </si>
  <si>
    <t xml:space="preserve">f__Symmetrosporaceae </t>
  </si>
  <si>
    <t xml:space="preserve">g__Symmetrospora </t>
  </si>
  <si>
    <t xml:space="preserve">c__Tremellomycetes </t>
  </si>
  <si>
    <t xml:space="preserve">o__Tremellales </t>
  </si>
  <si>
    <t xml:space="preserve">f__Bulleribasidiaceae </t>
  </si>
  <si>
    <t xml:space="preserve">g__Vishniacozyma </t>
  </si>
  <si>
    <t xml:space="preserve">o__Dothideales </t>
  </si>
  <si>
    <t xml:space="preserve">f__Aureobasidiaceae </t>
  </si>
  <si>
    <t xml:space="preserve">g__Aureobasidium </t>
  </si>
  <si>
    <t xml:space="preserve">g__Aspergillus </t>
  </si>
  <si>
    <t xml:space="preserve">f__Hypocreales_fam_Incertae_sedis </t>
  </si>
  <si>
    <t xml:space="preserve">g__Acremonium </t>
  </si>
  <si>
    <t xml:space="preserve">g__Chordomyces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</si>
</sst>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6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  <charset val="1"/>
    </font>
    <font>
      <b/>
      <sz val="10"/>
      <name val="Arial"/>
      <family val="2"/>
    </font>
    <font>
      <sz val="10"/>
      <color rgb="FFFF0000"/>
      <name val="Arial"/>
      <family val="2"/>
    </font>
    <font>
      <b/>
      <sz val="11"/>
      <color rgb="FF000000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left"/>
    </xf>
    <xf numFmtId="11" fontId="0" fillId="0" borderId="0" xfId="0" applyNumberFormat="1"/>
    <xf numFmtId="10" fontId="1" fillId="0" borderId="0" xfId="1" applyNumberFormat="1"/>
    <xf numFmtId="9" fontId="1" fillId="0" borderId="0" xfId="1"/>
    <xf numFmtId="165" fontId="1" fillId="0" borderId="0" xfId="1" applyNumberFormat="1"/>
    <xf numFmtId="0" fontId="4" fillId="0" borderId="0" xfId="0" applyFont="1"/>
    <xf numFmtId="11" fontId="4" fillId="0" borderId="0" xfId="0" applyNumberFormat="1" applyFont="1"/>
    <xf numFmtId="165" fontId="0" fillId="0" borderId="0" xfId="0" applyNumberFormat="1"/>
    <xf numFmtId="0" fontId="5" fillId="2" borderId="0" xfId="0" applyFont="1" applyFill="1" applyAlignment="1">
      <alignment horizontal="center" wrapText="1"/>
    </xf>
    <xf numFmtId="0" fontId="0" fillId="3" borderId="0" xfId="0" applyFill="1"/>
    <xf numFmtId="10" fontId="0" fillId="0" borderId="0" xfId="0" applyNumberFormat="1"/>
    <xf numFmtId="9" fontId="0" fillId="0" borderId="0" xfId="0" applyNumberFormat="1"/>
  </cellXfs>
  <cellStyles count="2">
    <cellStyle name="Normal" xfId="0" builtinId="0"/>
    <cellStyle name="Pourcentage" xfId="1" builtinId="5"/>
  </cellStyles>
  <dxfs count="6">
    <dxf>
      <fill>
        <patternFill patternType="solid">
          <fgColor rgb="FFFFFF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89"/>
  <sheetViews>
    <sheetView zoomScaleNormal="100" workbookViewId="0">
      <pane ySplit="1" topLeftCell="A2" activePane="bottomLeft" state="frozen"/>
      <selection pane="bottomLeft" activeCell="G17" sqref="G17"/>
    </sheetView>
  </sheetViews>
  <sheetFormatPr baseColWidth="10" defaultColWidth="11.453125" defaultRowHeight="12.5" x14ac:dyDescent="0.25"/>
  <cols>
    <col min="1" max="1" width="8.81640625" style="1" customWidth="1"/>
    <col min="2" max="2" width="9" style="1" customWidth="1"/>
    <col min="3" max="3" width="13.6328125" style="1" customWidth="1"/>
    <col min="4" max="4" width="16.36328125" style="1" customWidth="1"/>
    <col min="5" max="5" width="22.453125" style="1" customWidth="1"/>
    <col min="6" max="6" width="23.453125" style="1" customWidth="1"/>
    <col min="7" max="7" width="32" customWidth="1"/>
    <col min="8" max="8" width="33" customWidth="1"/>
  </cols>
  <sheetData>
    <row r="1" spans="1:1024" s="3" customFormat="1" ht="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/>
      <c r="AMG1"/>
      <c r="AMH1"/>
      <c r="AMI1"/>
      <c r="AMJ1"/>
    </row>
    <row r="2" spans="1:1024" x14ac:dyDescent="0.25">
      <c r="A2" s="1" t="s">
        <v>6</v>
      </c>
      <c r="B2" s="1">
        <v>34</v>
      </c>
      <c r="C2" s="1">
        <v>8386</v>
      </c>
      <c r="D2" s="1">
        <v>10</v>
      </c>
      <c r="E2" s="1">
        <v>3</v>
      </c>
      <c r="F2" s="1">
        <v>4</v>
      </c>
    </row>
    <row r="3" spans="1:1024" x14ac:dyDescent="0.25">
      <c r="A3" s="1" t="s">
        <v>7</v>
      </c>
      <c r="B3" s="1">
        <v>29</v>
      </c>
      <c r="C3" s="1">
        <v>18542</v>
      </c>
      <c r="D3" s="1">
        <v>9</v>
      </c>
      <c r="E3" s="1">
        <v>4</v>
      </c>
      <c r="F3" s="1">
        <v>5</v>
      </c>
    </row>
    <row r="4" spans="1:1024" x14ac:dyDescent="0.25">
      <c r="A4" s="1" t="s">
        <v>8</v>
      </c>
      <c r="B4" s="1">
        <v>21</v>
      </c>
      <c r="C4" s="1">
        <v>14089</v>
      </c>
      <c r="D4" s="1">
        <v>8</v>
      </c>
      <c r="E4" s="1">
        <v>5</v>
      </c>
      <c r="F4" s="1">
        <v>7</v>
      </c>
    </row>
    <row r="5" spans="1:1024" x14ac:dyDescent="0.25">
      <c r="A5" s="1" t="s">
        <v>9</v>
      </c>
      <c r="B5" s="1">
        <v>32</v>
      </c>
      <c r="C5" s="1">
        <v>16468</v>
      </c>
      <c r="D5" s="1">
        <v>10</v>
      </c>
      <c r="E5" s="1">
        <v>5</v>
      </c>
      <c r="F5" s="1">
        <v>5</v>
      </c>
    </row>
    <row r="6" spans="1:1024" x14ac:dyDescent="0.25">
      <c r="A6" s="1" t="s">
        <v>10</v>
      </c>
      <c r="B6" s="1">
        <v>23</v>
      </c>
      <c r="C6" s="1">
        <v>18192</v>
      </c>
      <c r="D6" s="1">
        <v>7</v>
      </c>
      <c r="E6" s="1">
        <v>4</v>
      </c>
      <c r="F6" s="1">
        <v>5</v>
      </c>
    </row>
    <row r="7" spans="1:1024" x14ac:dyDescent="0.25">
      <c r="A7" s="1" t="s">
        <v>11</v>
      </c>
      <c r="B7" s="1">
        <v>28</v>
      </c>
      <c r="C7" s="1">
        <v>16759</v>
      </c>
      <c r="D7" s="1">
        <v>8</v>
      </c>
      <c r="E7" s="1">
        <v>4</v>
      </c>
      <c r="F7" s="1">
        <v>6</v>
      </c>
    </row>
    <row r="8" spans="1:1024" x14ac:dyDescent="0.25">
      <c r="A8" s="1" t="s">
        <v>12</v>
      </c>
      <c r="B8" s="1">
        <v>26</v>
      </c>
      <c r="C8" s="1">
        <v>5897</v>
      </c>
      <c r="D8" s="1">
        <v>9</v>
      </c>
      <c r="E8" s="1">
        <v>2</v>
      </c>
      <c r="F8" s="1">
        <v>3</v>
      </c>
    </row>
    <row r="9" spans="1:1024" x14ac:dyDescent="0.25">
      <c r="A9" s="1" t="s">
        <v>13</v>
      </c>
      <c r="B9" s="1">
        <v>13</v>
      </c>
      <c r="C9" s="1">
        <v>15134</v>
      </c>
      <c r="D9" s="1">
        <v>5</v>
      </c>
      <c r="E9" s="1">
        <v>2</v>
      </c>
      <c r="F9" s="1">
        <v>3</v>
      </c>
    </row>
    <row r="10" spans="1:1024" x14ac:dyDescent="0.25">
      <c r="A10" s="1" t="s">
        <v>14</v>
      </c>
      <c r="B10" s="1">
        <v>34</v>
      </c>
      <c r="C10" s="1">
        <v>16573</v>
      </c>
      <c r="D10" s="1">
        <v>12</v>
      </c>
      <c r="E10" s="1">
        <v>3</v>
      </c>
      <c r="F10" s="1">
        <v>4</v>
      </c>
    </row>
    <row r="11" spans="1:1024" x14ac:dyDescent="0.25">
      <c r="A11" s="1" t="s">
        <v>15</v>
      </c>
      <c r="B11" s="1">
        <v>43</v>
      </c>
      <c r="C11" s="1">
        <v>13328</v>
      </c>
      <c r="D11" s="1">
        <v>13</v>
      </c>
      <c r="E11" s="1">
        <v>3</v>
      </c>
      <c r="F11" s="1">
        <v>7</v>
      </c>
    </row>
    <row r="12" spans="1:1024" x14ac:dyDescent="0.25">
      <c r="A12" s="1" t="s">
        <v>16</v>
      </c>
      <c r="B12" s="1">
        <v>46</v>
      </c>
      <c r="C12" s="1">
        <v>16732</v>
      </c>
      <c r="D12" s="1">
        <v>12</v>
      </c>
      <c r="E12" s="1">
        <v>4</v>
      </c>
      <c r="F12" s="1">
        <v>6</v>
      </c>
    </row>
    <row r="13" spans="1:1024" x14ac:dyDescent="0.25">
      <c r="A13" s="1" t="s">
        <v>17</v>
      </c>
      <c r="B13" s="1">
        <v>26</v>
      </c>
      <c r="C13" s="1">
        <v>8713</v>
      </c>
      <c r="D13" s="1">
        <v>10</v>
      </c>
      <c r="E13" s="1">
        <v>4</v>
      </c>
      <c r="F13" s="1">
        <v>5</v>
      </c>
    </row>
    <row r="14" spans="1:1024" x14ac:dyDescent="0.25">
      <c r="A14" s="1" t="s">
        <v>18</v>
      </c>
      <c r="B14" s="1">
        <v>40</v>
      </c>
      <c r="C14" s="1">
        <v>17354</v>
      </c>
      <c r="D14" s="1">
        <v>13</v>
      </c>
      <c r="E14" s="1">
        <v>5</v>
      </c>
      <c r="F14" s="1">
        <v>6</v>
      </c>
    </row>
    <row r="15" spans="1:1024" x14ac:dyDescent="0.25">
      <c r="A15" s="1" t="s">
        <v>19</v>
      </c>
      <c r="B15" s="1">
        <v>30</v>
      </c>
      <c r="C15" s="1">
        <v>15018</v>
      </c>
      <c r="D15" s="1">
        <v>9</v>
      </c>
      <c r="E15" s="1">
        <v>3</v>
      </c>
      <c r="F15" s="1">
        <v>5</v>
      </c>
    </row>
    <row r="16" spans="1:1024" x14ac:dyDescent="0.25">
      <c r="A16" s="1" t="s">
        <v>20</v>
      </c>
      <c r="B16" s="1">
        <v>15</v>
      </c>
      <c r="C16" s="1">
        <v>17821</v>
      </c>
      <c r="D16" s="1">
        <v>7</v>
      </c>
      <c r="E16" s="1">
        <v>3</v>
      </c>
      <c r="F16" s="1">
        <v>6</v>
      </c>
    </row>
    <row r="17" spans="1:6" x14ac:dyDescent="0.25">
      <c r="A17" s="1" t="s">
        <v>21</v>
      </c>
      <c r="B17" s="1">
        <v>15</v>
      </c>
      <c r="C17" s="1">
        <v>11311</v>
      </c>
      <c r="D17" s="1">
        <v>7</v>
      </c>
      <c r="E17" s="1">
        <v>3</v>
      </c>
      <c r="F17" s="1">
        <v>5</v>
      </c>
    </row>
    <row r="18" spans="1:6" x14ac:dyDescent="0.25">
      <c r="A18" s="1" t="s">
        <v>22</v>
      </c>
      <c r="B18" s="1">
        <v>23</v>
      </c>
      <c r="C18" s="1">
        <v>22473</v>
      </c>
      <c r="D18" s="1">
        <v>7</v>
      </c>
      <c r="E18" s="1">
        <v>3</v>
      </c>
      <c r="F18" s="1">
        <v>6</v>
      </c>
    </row>
    <row r="19" spans="1:6" x14ac:dyDescent="0.25">
      <c r="A19" s="1" t="s">
        <v>23</v>
      </c>
      <c r="B19" s="1">
        <v>20</v>
      </c>
      <c r="C19" s="1">
        <v>10081</v>
      </c>
      <c r="D19" s="1">
        <v>8</v>
      </c>
      <c r="E19" s="1">
        <v>3</v>
      </c>
      <c r="F19" s="1">
        <v>6</v>
      </c>
    </row>
    <row r="20" spans="1:6" x14ac:dyDescent="0.25">
      <c r="A20" s="1" t="s">
        <v>24</v>
      </c>
      <c r="B20" s="1">
        <v>38</v>
      </c>
      <c r="C20" s="1">
        <v>17857</v>
      </c>
      <c r="D20" s="1">
        <v>12</v>
      </c>
      <c r="E20" s="1">
        <v>3</v>
      </c>
      <c r="F20" s="1">
        <v>6</v>
      </c>
    </row>
    <row r="21" spans="1:6" x14ac:dyDescent="0.25">
      <c r="A21" s="1" t="s">
        <v>25</v>
      </c>
      <c r="B21" s="1">
        <v>41</v>
      </c>
      <c r="C21" s="1">
        <v>19439</v>
      </c>
      <c r="D21" s="1">
        <v>12</v>
      </c>
      <c r="E21" s="1">
        <v>3</v>
      </c>
      <c r="F21" s="1">
        <v>4</v>
      </c>
    </row>
    <row r="22" spans="1:6" x14ac:dyDescent="0.25">
      <c r="A22" s="1" t="s">
        <v>26</v>
      </c>
      <c r="B22" s="1">
        <v>38</v>
      </c>
      <c r="C22" s="1">
        <v>17666</v>
      </c>
      <c r="D22" s="1">
        <v>9</v>
      </c>
      <c r="E22" s="1">
        <v>5</v>
      </c>
      <c r="F22" s="1">
        <v>5</v>
      </c>
    </row>
    <row r="23" spans="1:6" x14ac:dyDescent="0.25">
      <c r="A23" s="1" t="s">
        <v>27</v>
      </c>
      <c r="B23" s="1">
        <v>26</v>
      </c>
      <c r="C23" s="1">
        <v>5715</v>
      </c>
      <c r="D23" s="1">
        <v>8</v>
      </c>
      <c r="E23" s="1">
        <v>1</v>
      </c>
      <c r="F23" s="1">
        <v>4</v>
      </c>
    </row>
    <row r="24" spans="1:6" x14ac:dyDescent="0.25">
      <c r="A24" s="1" t="s">
        <v>28</v>
      </c>
      <c r="B24" s="1">
        <v>29</v>
      </c>
      <c r="C24" s="1">
        <v>17459</v>
      </c>
      <c r="D24" s="1">
        <v>8</v>
      </c>
      <c r="E24" s="1">
        <v>4</v>
      </c>
      <c r="F24" s="1">
        <v>6</v>
      </c>
    </row>
    <row r="25" spans="1:6" x14ac:dyDescent="0.25">
      <c r="A25" s="1" t="s">
        <v>29</v>
      </c>
      <c r="B25" s="1">
        <v>36</v>
      </c>
      <c r="C25" s="1">
        <v>22060</v>
      </c>
      <c r="D25" s="1">
        <v>10</v>
      </c>
      <c r="E25" s="1">
        <v>3</v>
      </c>
      <c r="F25" s="1">
        <v>5</v>
      </c>
    </row>
    <row r="26" spans="1:6" x14ac:dyDescent="0.25">
      <c r="A26" s="1" t="s">
        <v>30</v>
      </c>
      <c r="B26" s="1">
        <v>14</v>
      </c>
      <c r="C26" s="1">
        <v>15924</v>
      </c>
      <c r="D26" s="1">
        <v>7</v>
      </c>
      <c r="E26" s="1">
        <v>4</v>
      </c>
      <c r="F26" s="1">
        <v>5</v>
      </c>
    </row>
    <row r="27" spans="1:6" x14ac:dyDescent="0.25">
      <c r="A27" s="1" t="s">
        <v>31</v>
      </c>
      <c r="B27" s="1">
        <v>11</v>
      </c>
      <c r="C27" s="1">
        <v>16186</v>
      </c>
      <c r="D27" s="1">
        <v>6</v>
      </c>
      <c r="E27" s="1">
        <v>3</v>
      </c>
      <c r="F27" s="1">
        <v>5</v>
      </c>
    </row>
    <row r="28" spans="1:6" x14ac:dyDescent="0.25">
      <c r="A28" s="1" t="s">
        <v>32</v>
      </c>
      <c r="B28" s="1">
        <v>33</v>
      </c>
      <c r="C28" s="1">
        <v>12351</v>
      </c>
      <c r="D28" s="1">
        <v>10</v>
      </c>
      <c r="E28" s="1">
        <v>5</v>
      </c>
      <c r="F28" s="1">
        <v>6</v>
      </c>
    </row>
    <row r="29" spans="1:6" x14ac:dyDescent="0.25">
      <c r="A29" s="1" t="s">
        <v>33</v>
      </c>
      <c r="B29" s="1">
        <v>22</v>
      </c>
      <c r="C29" s="1">
        <v>18724</v>
      </c>
      <c r="D29" s="1">
        <v>7</v>
      </c>
      <c r="E29" s="1">
        <v>3</v>
      </c>
      <c r="F29" s="1">
        <v>4</v>
      </c>
    </row>
    <row r="30" spans="1:6" x14ac:dyDescent="0.25">
      <c r="A30" s="1" t="s">
        <v>34</v>
      </c>
      <c r="B30" s="1">
        <v>44</v>
      </c>
      <c r="C30" s="1">
        <v>15856</v>
      </c>
      <c r="D30" s="1">
        <v>10</v>
      </c>
      <c r="E30" s="1">
        <v>5</v>
      </c>
      <c r="F30" s="1">
        <v>6</v>
      </c>
    </row>
    <row r="31" spans="1:6" x14ac:dyDescent="0.25">
      <c r="A31" s="1" t="s">
        <v>35</v>
      </c>
      <c r="B31" s="1">
        <v>29</v>
      </c>
      <c r="C31" s="1">
        <v>4403</v>
      </c>
      <c r="D31" s="1">
        <v>7</v>
      </c>
      <c r="E31" s="1">
        <v>1</v>
      </c>
      <c r="F31" s="1">
        <v>2</v>
      </c>
    </row>
    <row r="32" spans="1:6" x14ac:dyDescent="0.25">
      <c r="A32" s="1" t="s">
        <v>36</v>
      </c>
      <c r="B32" s="1">
        <v>22</v>
      </c>
      <c r="C32" s="1">
        <v>12046</v>
      </c>
      <c r="D32" s="1">
        <v>10</v>
      </c>
      <c r="E32" s="1">
        <v>5</v>
      </c>
      <c r="F32" s="1">
        <v>7</v>
      </c>
    </row>
    <row r="33" spans="1:6" x14ac:dyDescent="0.25">
      <c r="A33" s="1" t="s">
        <v>37</v>
      </c>
      <c r="B33" s="1">
        <v>43</v>
      </c>
      <c r="C33" s="1">
        <v>15354</v>
      </c>
      <c r="D33" s="1">
        <v>12</v>
      </c>
      <c r="E33" s="1">
        <v>5</v>
      </c>
      <c r="F33" s="1">
        <v>6</v>
      </c>
    </row>
    <row r="34" spans="1:6" x14ac:dyDescent="0.25">
      <c r="A34" s="1" t="s">
        <v>38</v>
      </c>
      <c r="B34" s="1">
        <v>32</v>
      </c>
      <c r="C34" s="1">
        <v>19924</v>
      </c>
      <c r="D34" s="1">
        <v>11</v>
      </c>
      <c r="E34" s="1">
        <v>3</v>
      </c>
      <c r="F34" s="1">
        <v>6</v>
      </c>
    </row>
    <row r="35" spans="1:6" x14ac:dyDescent="0.25">
      <c r="A35" s="1" t="s">
        <v>39</v>
      </c>
      <c r="B35" s="1">
        <v>42</v>
      </c>
      <c r="C35" s="1">
        <v>14338</v>
      </c>
      <c r="D35" s="1">
        <v>12</v>
      </c>
      <c r="E35" s="1">
        <v>5</v>
      </c>
      <c r="F35" s="1">
        <v>6</v>
      </c>
    </row>
    <row r="36" spans="1:6" x14ac:dyDescent="0.25">
      <c r="A36" s="1" t="s">
        <v>40</v>
      </c>
      <c r="B36" s="1">
        <v>65</v>
      </c>
      <c r="C36" s="1">
        <v>16078</v>
      </c>
      <c r="D36" s="1">
        <v>14</v>
      </c>
      <c r="E36" s="1">
        <v>5</v>
      </c>
      <c r="F36" s="1">
        <v>6</v>
      </c>
    </row>
    <row r="37" spans="1:6" x14ac:dyDescent="0.25">
      <c r="A37" s="1" t="s">
        <v>41</v>
      </c>
      <c r="B37" s="1">
        <v>25</v>
      </c>
      <c r="C37" s="1">
        <v>14122</v>
      </c>
      <c r="D37" s="1">
        <v>7</v>
      </c>
      <c r="E37" s="1">
        <v>5</v>
      </c>
      <c r="F37" s="1">
        <v>6</v>
      </c>
    </row>
    <row r="38" spans="1:6" x14ac:dyDescent="0.25">
      <c r="A38" s="1" t="s">
        <v>42</v>
      </c>
      <c r="B38" s="1">
        <v>55</v>
      </c>
      <c r="C38" s="1">
        <v>12303</v>
      </c>
      <c r="D38" s="1">
        <v>13</v>
      </c>
      <c r="E38" s="1">
        <v>5</v>
      </c>
      <c r="F38" s="1">
        <v>6</v>
      </c>
    </row>
    <row r="39" spans="1:6" x14ac:dyDescent="0.25">
      <c r="A39" s="1" t="s">
        <v>43</v>
      </c>
      <c r="B39" s="1">
        <v>28</v>
      </c>
      <c r="C39" s="1">
        <v>19179</v>
      </c>
      <c r="D39" s="1">
        <v>11</v>
      </c>
      <c r="E39" s="1">
        <v>3</v>
      </c>
      <c r="F39" s="1">
        <v>4</v>
      </c>
    </row>
    <row r="40" spans="1:6" x14ac:dyDescent="0.25">
      <c r="A40" s="1" t="s">
        <v>44</v>
      </c>
      <c r="B40" s="1">
        <v>17</v>
      </c>
      <c r="C40" s="1">
        <v>3138</v>
      </c>
      <c r="D40" s="1">
        <v>5</v>
      </c>
      <c r="E40" s="1">
        <v>2</v>
      </c>
      <c r="F40" s="1">
        <v>4</v>
      </c>
    </row>
    <row r="41" spans="1:6" x14ac:dyDescent="0.25">
      <c r="A41" s="1" t="s">
        <v>45</v>
      </c>
      <c r="B41" s="1">
        <v>34</v>
      </c>
      <c r="C41" s="1">
        <v>18516</v>
      </c>
      <c r="D41" s="1">
        <v>10</v>
      </c>
      <c r="E41" s="1">
        <v>3</v>
      </c>
      <c r="F41" s="1">
        <v>4</v>
      </c>
    </row>
    <row r="42" spans="1:6" x14ac:dyDescent="0.25">
      <c r="A42" s="1" t="s">
        <v>46</v>
      </c>
      <c r="B42" s="1">
        <v>16</v>
      </c>
      <c r="C42" s="1">
        <v>12011</v>
      </c>
      <c r="D42" s="1">
        <v>7</v>
      </c>
      <c r="E42" s="1">
        <v>4</v>
      </c>
      <c r="F42" s="1">
        <v>4</v>
      </c>
    </row>
    <row r="43" spans="1:6" x14ac:dyDescent="0.25">
      <c r="A43" s="1" t="s">
        <v>47</v>
      </c>
      <c r="B43" s="1">
        <v>16</v>
      </c>
      <c r="C43" s="1">
        <v>13911</v>
      </c>
      <c r="D43" s="1">
        <v>7</v>
      </c>
      <c r="E43" s="1">
        <v>4</v>
      </c>
      <c r="F43" s="1">
        <v>5</v>
      </c>
    </row>
    <row r="44" spans="1:6" x14ac:dyDescent="0.25">
      <c r="A44" s="1" t="s">
        <v>48</v>
      </c>
      <c r="B44" s="1">
        <v>32</v>
      </c>
      <c r="C44" s="1">
        <v>15279</v>
      </c>
      <c r="D44" s="1">
        <v>11</v>
      </c>
      <c r="E44" s="1">
        <v>3</v>
      </c>
      <c r="F44" s="1">
        <v>5</v>
      </c>
    </row>
    <row r="45" spans="1:6" x14ac:dyDescent="0.25">
      <c r="A45" s="1" t="s">
        <v>49</v>
      </c>
      <c r="B45" s="1">
        <v>26</v>
      </c>
      <c r="C45" s="1">
        <v>13885</v>
      </c>
      <c r="D45" s="1">
        <v>9</v>
      </c>
      <c r="E45" s="1">
        <v>4</v>
      </c>
      <c r="F45" s="1">
        <v>7</v>
      </c>
    </row>
    <row r="46" spans="1:6" x14ac:dyDescent="0.25">
      <c r="A46" s="1" t="s">
        <v>50</v>
      </c>
      <c r="B46" s="1">
        <v>13</v>
      </c>
      <c r="C46" s="1">
        <v>14859</v>
      </c>
      <c r="D46" s="1">
        <v>8</v>
      </c>
      <c r="E46" s="1">
        <v>5</v>
      </c>
      <c r="F46" s="1">
        <v>7</v>
      </c>
    </row>
    <row r="47" spans="1:6" x14ac:dyDescent="0.25">
      <c r="A47" s="1" t="s">
        <v>51</v>
      </c>
      <c r="B47" s="1">
        <v>16</v>
      </c>
      <c r="C47" s="1">
        <v>20077</v>
      </c>
      <c r="D47" s="1">
        <v>8</v>
      </c>
      <c r="E47" s="1">
        <v>5</v>
      </c>
      <c r="F47" s="1">
        <v>6</v>
      </c>
    </row>
    <row r="48" spans="1:6" x14ac:dyDescent="0.25">
      <c r="A48" s="1" t="s">
        <v>52</v>
      </c>
      <c r="B48" s="1">
        <v>23</v>
      </c>
      <c r="C48" s="1">
        <v>12672</v>
      </c>
      <c r="D48" s="1">
        <v>8</v>
      </c>
      <c r="E48" s="1">
        <v>3</v>
      </c>
      <c r="F48" s="1">
        <v>6</v>
      </c>
    </row>
    <row r="49" spans="1:6" x14ac:dyDescent="0.25">
      <c r="A49" s="1" t="s">
        <v>53</v>
      </c>
      <c r="B49" s="1">
        <v>67</v>
      </c>
      <c r="C49" s="1">
        <v>11939</v>
      </c>
      <c r="D49" s="1">
        <v>15</v>
      </c>
      <c r="E49" s="1">
        <v>5</v>
      </c>
      <c r="F49" s="1">
        <v>6</v>
      </c>
    </row>
    <row r="50" spans="1:6" x14ac:dyDescent="0.25">
      <c r="A50" s="1" t="s">
        <v>54</v>
      </c>
      <c r="B50" s="1">
        <v>23</v>
      </c>
      <c r="C50" s="1">
        <v>9563</v>
      </c>
      <c r="D50" s="1">
        <v>7</v>
      </c>
      <c r="E50" s="1">
        <v>4</v>
      </c>
      <c r="F50" s="1">
        <v>5</v>
      </c>
    </row>
    <row r="51" spans="1:6" x14ac:dyDescent="0.25">
      <c r="A51" s="1" t="s">
        <v>55</v>
      </c>
      <c r="B51" s="1">
        <v>17</v>
      </c>
      <c r="C51" s="1">
        <v>17319</v>
      </c>
      <c r="D51" s="1">
        <v>9</v>
      </c>
      <c r="E51" s="1">
        <v>5</v>
      </c>
      <c r="F51" s="1">
        <v>7</v>
      </c>
    </row>
    <row r="52" spans="1:6" x14ac:dyDescent="0.25">
      <c r="A52" s="1" t="s">
        <v>56</v>
      </c>
      <c r="B52" s="1">
        <v>14</v>
      </c>
      <c r="C52" s="1">
        <v>12049</v>
      </c>
      <c r="D52" s="1">
        <v>10</v>
      </c>
      <c r="E52" s="1">
        <v>3</v>
      </c>
      <c r="F52" s="1">
        <v>8</v>
      </c>
    </row>
    <row r="53" spans="1:6" x14ac:dyDescent="0.25">
      <c r="A53" s="1" t="s">
        <v>57</v>
      </c>
      <c r="B53" s="1">
        <v>38</v>
      </c>
      <c r="C53" s="1">
        <v>12704</v>
      </c>
      <c r="D53" s="1">
        <v>7</v>
      </c>
      <c r="E53" s="1">
        <v>3</v>
      </c>
      <c r="F53" s="1">
        <v>4</v>
      </c>
    </row>
    <row r="54" spans="1:6" x14ac:dyDescent="0.25">
      <c r="A54" s="1" t="s">
        <v>58</v>
      </c>
      <c r="B54" s="1">
        <v>30</v>
      </c>
      <c r="C54" s="1">
        <v>14485</v>
      </c>
      <c r="D54" s="1">
        <v>8</v>
      </c>
      <c r="E54" s="1">
        <v>5</v>
      </c>
      <c r="F54" s="1">
        <v>6</v>
      </c>
    </row>
    <row r="55" spans="1:6" x14ac:dyDescent="0.25">
      <c r="A55" s="1" t="s">
        <v>59</v>
      </c>
      <c r="B55" s="1">
        <v>30</v>
      </c>
      <c r="C55" s="1">
        <v>16661</v>
      </c>
      <c r="D55" s="1">
        <v>11</v>
      </c>
      <c r="E55" s="1">
        <v>5</v>
      </c>
      <c r="F55" s="1">
        <v>8</v>
      </c>
    </row>
    <row r="56" spans="1:6" x14ac:dyDescent="0.25">
      <c r="A56" s="1" t="s">
        <v>60</v>
      </c>
      <c r="B56" s="1">
        <v>27</v>
      </c>
      <c r="C56" s="1">
        <v>17073</v>
      </c>
      <c r="D56" s="1">
        <v>8</v>
      </c>
      <c r="E56" s="1">
        <v>4</v>
      </c>
      <c r="F56" s="1">
        <v>6</v>
      </c>
    </row>
    <row r="57" spans="1:6" x14ac:dyDescent="0.25">
      <c r="A57" s="1" t="s">
        <v>61</v>
      </c>
      <c r="B57" s="1">
        <v>22</v>
      </c>
      <c r="C57" s="1">
        <v>4849</v>
      </c>
      <c r="D57" s="1">
        <v>4</v>
      </c>
      <c r="E57" s="1">
        <v>2</v>
      </c>
      <c r="F57" s="1">
        <v>3</v>
      </c>
    </row>
    <row r="58" spans="1:6" x14ac:dyDescent="0.25">
      <c r="A58" s="1" t="s">
        <v>62</v>
      </c>
      <c r="B58" s="1">
        <v>37</v>
      </c>
      <c r="C58" s="1">
        <v>7340</v>
      </c>
      <c r="D58" s="1">
        <v>10</v>
      </c>
      <c r="E58" s="1">
        <v>4</v>
      </c>
      <c r="F58" s="1">
        <v>7</v>
      </c>
    </row>
    <row r="59" spans="1:6" x14ac:dyDescent="0.25">
      <c r="A59" s="1" t="s">
        <v>63</v>
      </c>
      <c r="B59" s="1">
        <v>10</v>
      </c>
      <c r="C59" s="1">
        <v>14613</v>
      </c>
      <c r="D59" s="1">
        <v>6</v>
      </c>
      <c r="E59" s="1">
        <v>3</v>
      </c>
      <c r="F59" s="1">
        <v>6</v>
      </c>
    </row>
    <row r="60" spans="1:6" x14ac:dyDescent="0.25">
      <c r="A60" s="1" t="s">
        <v>64</v>
      </c>
      <c r="B60" s="1">
        <v>24</v>
      </c>
      <c r="C60" s="1">
        <v>15141</v>
      </c>
      <c r="D60" s="1">
        <v>7</v>
      </c>
      <c r="E60" s="1">
        <v>4</v>
      </c>
      <c r="F60" s="1">
        <v>6</v>
      </c>
    </row>
    <row r="61" spans="1:6" x14ac:dyDescent="0.25">
      <c r="A61" s="1" t="s">
        <v>65</v>
      </c>
      <c r="B61" s="1">
        <v>52</v>
      </c>
      <c r="C61" s="1">
        <v>16131</v>
      </c>
      <c r="D61" s="1">
        <v>13</v>
      </c>
      <c r="E61" s="1">
        <v>5</v>
      </c>
      <c r="F61" s="1">
        <v>6</v>
      </c>
    </row>
    <row r="62" spans="1:6" x14ac:dyDescent="0.25">
      <c r="A62" s="1" t="s">
        <v>66</v>
      </c>
      <c r="B62" s="1">
        <v>29</v>
      </c>
      <c r="C62" s="1">
        <v>13935</v>
      </c>
      <c r="D62" s="1">
        <v>9</v>
      </c>
      <c r="E62" s="1">
        <v>5</v>
      </c>
      <c r="F62" s="1">
        <v>5</v>
      </c>
    </row>
    <row r="63" spans="1:6" x14ac:dyDescent="0.25">
      <c r="A63" s="1" t="s">
        <v>67</v>
      </c>
      <c r="B63" s="1">
        <v>39</v>
      </c>
      <c r="C63" s="1">
        <v>15942</v>
      </c>
      <c r="D63" s="1">
        <v>12</v>
      </c>
      <c r="E63" s="1">
        <v>3</v>
      </c>
      <c r="F63" s="1">
        <v>6</v>
      </c>
    </row>
    <row r="64" spans="1:6" x14ac:dyDescent="0.25">
      <c r="A64" s="1" t="s">
        <v>68</v>
      </c>
      <c r="B64" s="1">
        <v>40</v>
      </c>
      <c r="C64" s="1">
        <v>11233</v>
      </c>
      <c r="D64" s="1">
        <v>12</v>
      </c>
      <c r="E64" s="1">
        <v>3</v>
      </c>
      <c r="F64" s="1">
        <v>5</v>
      </c>
    </row>
    <row r="65" spans="1:6" x14ac:dyDescent="0.25">
      <c r="A65" s="1" t="s">
        <v>69</v>
      </c>
      <c r="B65" s="1">
        <v>30</v>
      </c>
      <c r="C65" s="1">
        <v>8942</v>
      </c>
      <c r="D65" s="1">
        <v>7</v>
      </c>
      <c r="E65" s="1">
        <v>3</v>
      </c>
      <c r="F65" s="1">
        <v>4</v>
      </c>
    </row>
    <row r="66" spans="1:6" x14ac:dyDescent="0.25">
      <c r="A66" s="1" t="s">
        <v>70</v>
      </c>
      <c r="B66" s="1">
        <v>33</v>
      </c>
      <c r="C66" s="1">
        <v>16437</v>
      </c>
      <c r="D66" s="1">
        <v>10</v>
      </c>
      <c r="E66" s="1">
        <v>3</v>
      </c>
      <c r="F66" s="1">
        <v>5</v>
      </c>
    </row>
    <row r="67" spans="1:6" x14ac:dyDescent="0.25">
      <c r="A67" s="1" t="s">
        <v>71</v>
      </c>
      <c r="B67" s="1">
        <v>11</v>
      </c>
      <c r="C67" s="1">
        <v>15260</v>
      </c>
      <c r="D67" s="1">
        <v>6</v>
      </c>
      <c r="E67" s="1">
        <v>3</v>
      </c>
      <c r="F67" s="1">
        <v>6</v>
      </c>
    </row>
    <row r="68" spans="1:6" x14ac:dyDescent="0.25">
      <c r="A68" s="1" t="s">
        <v>72</v>
      </c>
      <c r="B68" s="1">
        <v>25</v>
      </c>
      <c r="C68" s="1">
        <v>23416</v>
      </c>
      <c r="D68" s="1">
        <v>7</v>
      </c>
      <c r="E68" s="1">
        <v>5</v>
      </c>
      <c r="F68" s="1">
        <v>6</v>
      </c>
    </row>
    <row r="69" spans="1:6" x14ac:dyDescent="0.25">
      <c r="A69" s="1" t="s">
        <v>73</v>
      </c>
      <c r="B69" s="1">
        <v>7</v>
      </c>
      <c r="C69" s="1">
        <v>8847</v>
      </c>
      <c r="D69" s="1">
        <v>5</v>
      </c>
      <c r="E69" s="1">
        <v>5</v>
      </c>
      <c r="F69" s="1">
        <v>5</v>
      </c>
    </row>
    <row r="70" spans="1:6" x14ac:dyDescent="0.25">
      <c r="A70" s="1" t="s">
        <v>74</v>
      </c>
      <c r="B70" s="1">
        <v>29</v>
      </c>
      <c r="C70" s="1">
        <v>18068</v>
      </c>
      <c r="D70" s="1">
        <v>9</v>
      </c>
      <c r="E70" s="1">
        <v>3</v>
      </c>
      <c r="F70" s="1">
        <v>5</v>
      </c>
    </row>
    <row r="71" spans="1:6" x14ac:dyDescent="0.25">
      <c r="A71" s="1" t="s">
        <v>75</v>
      </c>
      <c r="B71" s="1">
        <v>36</v>
      </c>
      <c r="C71" s="1">
        <v>23337</v>
      </c>
      <c r="D71" s="1">
        <v>10</v>
      </c>
      <c r="E71" s="1">
        <v>5</v>
      </c>
      <c r="F71" s="1">
        <v>6</v>
      </c>
    </row>
    <row r="72" spans="1:6" x14ac:dyDescent="0.25">
      <c r="A72" s="1" t="s">
        <v>76</v>
      </c>
      <c r="B72" s="1">
        <v>71</v>
      </c>
      <c r="C72" s="1">
        <v>15282</v>
      </c>
      <c r="D72" s="1">
        <v>12</v>
      </c>
      <c r="E72" s="1">
        <v>5</v>
      </c>
      <c r="F72" s="1">
        <v>6</v>
      </c>
    </row>
    <row r="73" spans="1:6" x14ac:dyDescent="0.25">
      <c r="A73" s="1" t="s">
        <v>77</v>
      </c>
      <c r="B73" s="1">
        <v>19</v>
      </c>
      <c r="C73" s="1">
        <v>5663</v>
      </c>
      <c r="D73" s="1">
        <v>8</v>
      </c>
      <c r="E73" s="1">
        <v>3</v>
      </c>
      <c r="F73" s="1">
        <v>5</v>
      </c>
    </row>
    <row r="74" spans="1:6" x14ac:dyDescent="0.25">
      <c r="A74" s="1" t="s">
        <v>78</v>
      </c>
      <c r="B74" s="1">
        <v>31</v>
      </c>
      <c r="C74" s="1">
        <v>7720</v>
      </c>
      <c r="D74" s="1">
        <v>6</v>
      </c>
      <c r="E74" s="1">
        <v>1</v>
      </c>
      <c r="F74" s="1">
        <v>3</v>
      </c>
    </row>
    <row r="75" spans="1:6" x14ac:dyDescent="0.25">
      <c r="A75" s="1" t="s">
        <v>79</v>
      </c>
      <c r="B75" s="1">
        <v>27</v>
      </c>
      <c r="C75" s="1">
        <v>13950</v>
      </c>
      <c r="D75" s="1">
        <v>10</v>
      </c>
      <c r="E75" s="1">
        <v>4</v>
      </c>
      <c r="F75" s="1">
        <v>7</v>
      </c>
    </row>
    <row r="76" spans="1:6" x14ac:dyDescent="0.25">
      <c r="A76" s="1" t="s">
        <v>80</v>
      </c>
      <c r="B76" s="1">
        <v>10</v>
      </c>
      <c r="C76" s="1">
        <v>13639</v>
      </c>
      <c r="D76" s="1">
        <v>6</v>
      </c>
      <c r="E76" s="1">
        <v>5</v>
      </c>
      <c r="F76" s="1">
        <v>6</v>
      </c>
    </row>
    <row r="77" spans="1:6" x14ac:dyDescent="0.25">
      <c r="A77" s="1" t="s">
        <v>81</v>
      </c>
      <c r="B77" s="1">
        <v>16</v>
      </c>
      <c r="C77" s="1">
        <v>13514</v>
      </c>
      <c r="D77" s="1">
        <v>7</v>
      </c>
      <c r="E77" s="1">
        <v>5</v>
      </c>
      <c r="F77" s="1">
        <v>7</v>
      </c>
    </row>
    <row r="78" spans="1:6" x14ac:dyDescent="0.25">
      <c r="A78" s="1" t="s">
        <v>82</v>
      </c>
      <c r="B78" s="1">
        <v>43</v>
      </c>
      <c r="C78" s="1">
        <v>17784</v>
      </c>
      <c r="D78" s="1">
        <v>10</v>
      </c>
      <c r="E78" s="1">
        <v>4</v>
      </c>
      <c r="F78" s="1">
        <v>6</v>
      </c>
    </row>
    <row r="79" spans="1:6" x14ac:dyDescent="0.25">
      <c r="A79" s="1" t="s">
        <v>83</v>
      </c>
      <c r="B79" s="1">
        <v>34</v>
      </c>
      <c r="C79" s="1">
        <v>14875</v>
      </c>
      <c r="D79" s="1">
        <v>10</v>
      </c>
      <c r="E79" s="1">
        <v>4</v>
      </c>
      <c r="F79" s="1">
        <v>5</v>
      </c>
    </row>
    <row r="80" spans="1:6" x14ac:dyDescent="0.25">
      <c r="A80" s="1" t="s">
        <v>84</v>
      </c>
      <c r="B80" s="1">
        <v>46</v>
      </c>
      <c r="C80" s="1">
        <v>21502</v>
      </c>
      <c r="D80" s="1">
        <v>11</v>
      </c>
      <c r="E80" s="1">
        <v>4</v>
      </c>
      <c r="F80" s="1">
        <v>6</v>
      </c>
    </row>
    <row r="81" spans="1:6" x14ac:dyDescent="0.25">
      <c r="A81" s="1" t="s">
        <v>85</v>
      </c>
      <c r="B81" s="1">
        <v>39</v>
      </c>
      <c r="C81" s="1">
        <v>15260</v>
      </c>
      <c r="D81" s="1">
        <v>11</v>
      </c>
      <c r="E81" s="1">
        <v>3</v>
      </c>
      <c r="F81" s="1">
        <v>7</v>
      </c>
    </row>
    <row r="82" spans="1:6" x14ac:dyDescent="0.25">
      <c r="A82" s="1" t="s">
        <v>86</v>
      </c>
      <c r="B82" s="1">
        <v>25</v>
      </c>
      <c r="C82" s="1">
        <v>1989</v>
      </c>
      <c r="D82" s="1">
        <v>5</v>
      </c>
      <c r="E82" s="1">
        <v>2</v>
      </c>
      <c r="F82" s="1">
        <v>3</v>
      </c>
    </row>
    <row r="83" spans="1:6" x14ac:dyDescent="0.25">
      <c r="A83" s="1" t="s">
        <v>87</v>
      </c>
      <c r="B83" s="1">
        <v>28</v>
      </c>
      <c r="C83" s="1">
        <v>17008</v>
      </c>
      <c r="D83" s="1">
        <v>7</v>
      </c>
      <c r="E83" s="1">
        <v>3</v>
      </c>
      <c r="F83" s="1">
        <v>4</v>
      </c>
    </row>
    <row r="84" spans="1:6" x14ac:dyDescent="0.25">
      <c r="A84" s="1" t="s">
        <v>88</v>
      </c>
      <c r="B84" s="1">
        <v>28</v>
      </c>
      <c r="C84" s="1">
        <v>8577</v>
      </c>
      <c r="D84" s="1">
        <v>7</v>
      </c>
      <c r="E84" s="1">
        <v>3</v>
      </c>
      <c r="F84" s="1">
        <v>5</v>
      </c>
    </row>
    <row r="85" spans="1:6" x14ac:dyDescent="0.25">
      <c r="A85" s="1" t="s">
        <v>89</v>
      </c>
      <c r="B85" s="1">
        <v>37</v>
      </c>
      <c r="C85" s="1">
        <v>17814</v>
      </c>
      <c r="D85" s="1">
        <v>12</v>
      </c>
      <c r="E85" s="1">
        <v>4</v>
      </c>
      <c r="F85" s="1">
        <v>7</v>
      </c>
    </row>
    <row r="86" spans="1:6" x14ac:dyDescent="0.25">
      <c r="A86" s="1" t="s">
        <v>90</v>
      </c>
      <c r="B86" s="1">
        <v>63</v>
      </c>
      <c r="C86" s="1">
        <v>13467</v>
      </c>
      <c r="D86" s="1">
        <v>12</v>
      </c>
      <c r="E86" s="1">
        <v>5</v>
      </c>
      <c r="F86" s="1">
        <v>6</v>
      </c>
    </row>
    <row r="87" spans="1:6" x14ac:dyDescent="0.25">
      <c r="A87" s="1" t="s">
        <v>91</v>
      </c>
      <c r="B87" s="1">
        <v>28</v>
      </c>
      <c r="C87" s="1">
        <v>14142</v>
      </c>
      <c r="D87" s="1">
        <v>9</v>
      </c>
      <c r="E87" s="1">
        <v>5</v>
      </c>
      <c r="F87" s="1">
        <v>7</v>
      </c>
    </row>
    <row r="88" spans="1:6" x14ac:dyDescent="0.25">
      <c r="A88" s="1" t="s">
        <v>92</v>
      </c>
      <c r="B88" s="1">
        <v>36</v>
      </c>
      <c r="C88" s="1">
        <v>11321</v>
      </c>
      <c r="D88" s="1">
        <v>12</v>
      </c>
      <c r="E88" s="1">
        <v>1</v>
      </c>
      <c r="F88" s="1">
        <v>4</v>
      </c>
    </row>
    <row r="89" spans="1:6" x14ac:dyDescent="0.25">
      <c r="A89" s="1" t="s">
        <v>93</v>
      </c>
      <c r="B89" s="1">
        <v>20</v>
      </c>
      <c r="C89" s="1">
        <v>15137</v>
      </c>
      <c r="D89" s="1">
        <v>7</v>
      </c>
      <c r="E89" s="1">
        <v>3</v>
      </c>
      <c r="F89" s="1">
        <v>6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D1C42-6655-044B-9C46-B7ECE442DF83}">
  <dimension ref="A1:CX489"/>
  <sheetViews>
    <sheetView topLeftCell="G1" workbookViewId="0">
      <selection activeCell="G23" sqref="G23"/>
    </sheetView>
  </sheetViews>
  <sheetFormatPr baseColWidth="10" defaultRowHeight="12.5" x14ac:dyDescent="0.25"/>
  <cols>
    <col min="1" max="1" width="35.81640625" customWidth="1"/>
    <col min="4" max="4" width="33.81640625" customWidth="1"/>
    <col min="5" max="5" width="89.54296875" customWidth="1"/>
    <col min="6" max="6" width="10.81640625" style="12"/>
    <col min="7" max="7" width="125" customWidth="1"/>
    <col min="8" max="8" width="13.453125" customWidth="1"/>
    <col min="9" max="13" width="14.1796875" customWidth="1"/>
    <col min="14" max="14" width="20.6328125" customWidth="1"/>
  </cols>
  <sheetData>
    <row r="1" spans="1:102" x14ac:dyDescent="0.25">
      <c r="A1" t="s">
        <v>1409</v>
      </c>
      <c r="D1" t="s">
        <v>181</v>
      </c>
      <c r="E1" t="s">
        <v>1485</v>
      </c>
      <c r="F1" s="12" t="s">
        <v>1402</v>
      </c>
      <c r="G1" t="s">
        <v>1401</v>
      </c>
      <c r="H1" t="s">
        <v>1404</v>
      </c>
      <c r="I1" t="s">
        <v>1405</v>
      </c>
      <c r="J1" t="s">
        <v>1461</v>
      </c>
      <c r="K1" t="s">
        <v>1462</v>
      </c>
      <c r="L1" s="9" t="s">
        <v>1406</v>
      </c>
      <c r="M1" s="9" t="s">
        <v>1407</v>
      </c>
      <c r="N1" s="9" t="s">
        <v>1408</v>
      </c>
      <c r="O1" t="s">
        <v>69</v>
      </c>
      <c r="P1" t="s">
        <v>64</v>
      </c>
      <c r="Q1" t="s">
        <v>88</v>
      </c>
      <c r="R1" t="s">
        <v>84</v>
      </c>
      <c r="S1" t="s">
        <v>58</v>
      </c>
      <c r="T1" t="s">
        <v>79</v>
      </c>
      <c r="U1" t="s">
        <v>19</v>
      </c>
      <c r="V1" t="s">
        <v>70</v>
      </c>
      <c r="W1" t="s">
        <v>83</v>
      </c>
      <c r="X1" t="s">
        <v>7</v>
      </c>
      <c r="Y1" t="s">
        <v>8</v>
      </c>
      <c r="Z1" t="s">
        <v>11</v>
      </c>
      <c r="AA1" t="s">
        <v>28</v>
      </c>
      <c r="AB1" t="s">
        <v>39</v>
      </c>
      <c r="AC1" t="s">
        <v>75</v>
      </c>
      <c r="AD1" t="s">
        <v>74</v>
      </c>
      <c r="AE1" t="s">
        <v>48</v>
      </c>
      <c r="AF1" t="s">
        <v>43</v>
      </c>
      <c r="AG1" t="s">
        <v>27</v>
      </c>
      <c r="AH1" t="s">
        <v>78</v>
      </c>
      <c r="AI1" t="s">
        <v>86</v>
      </c>
      <c r="AJ1" t="s">
        <v>40</v>
      </c>
      <c r="AK1" t="s">
        <v>34</v>
      </c>
      <c r="AL1" t="s">
        <v>42</v>
      </c>
      <c r="AM1" t="s">
        <v>37</v>
      </c>
      <c r="AN1" t="s">
        <v>18</v>
      </c>
      <c r="AO1" t="s">
        <v>89</v>
      </c>
      <c r="AP1" t="s">
        <v>87</v>
      </c>
      <c r="AQ1" t="s">
        <v>93</v>
      </c>
      <c r="AR1" t="s">
        <v>10</v>
      </c>
      <c r="AS1" t="s">
        <v>17</v>
      </c>
      <c r="AT1" t="s">
        <v>66</v>
      </c>
      <c r="AU1" t="s">
        <v>9</v>
      </c>
      <c r="AV1" t="s">
        <v>33</v>
      </c>
      <c r="AW1" t="s">
        <v>25</v>
      </c>
      <c r="AX1" t="s">
        <v>29</v>
      </c>
      <c r="AY1" t="s">
        <v>35</v>
      </c>
      <c r="AZ1" t="s">
        <v>44</v>
      </c>
      <c r="BA1" t="s">
        <v>61</v>
      </c>
      <c r="BB1" t="s">
        <v>32</v>
      </c>
      <c r="BC1" t="s">
        <v>65</v>
      </c>
      <c r="BD1" t="s">
        <v>59</v>
      </c>
      <c r="BE1" t="s">
        <v>45</v>
      </c>
      <c r="BF1" t="s">
        <v>15</v>
      </c>
      <c r="BG1" t="s">
        <v>22</v>
      </c>
      <c r="BH1" t="s">
        <v>49</v>
      </c>
      <c r="BI1" t="s">
        <v>13</v>
      </c>
      <c r="BJ1" t="s">
        <v>54</v>
      </c>
      <c r="BK1" t="s">
        <v>72</v>
      </c>
      <c r="BL1" t="s">
        <v>26</v>
      </c>
      <c r="BM1" t="s">
        <v>55</v>
      </c>
      <c r="BN1" t="s">
        <v>14</v>
      </c>
      <c r="BO1" t="s">
        <v>67</v>
      </c>
      <c r="BP1" t="s">
        <v>24</v>
      </c>
      <c r="BQ1" t="s">
        <v>62</v>
      </c>
      <c r="BR1" t="s">
        <v>57</v>
      </c>
      <c r="BS1" t="s">
        <v>68</v>
      </c>
      <c r="BT1" t="s">
        <v>36</v>
      </c>
      <c r="BU1" t="s">
        <v>60</v>
      </c>
      <c r="BV1" t="s">
        <v>91</v>
      </c>
      <c r="BW1" t="s">
        <v>21</v>
      </c>
      <c r="BX1" t="s">
        <v>85</v>
      </c>
      <c r="BY1" t="s">
        <v>52</v>
      </c>
      <c r="BZ1" t="s">
        <v>6</v>
      </c>
      <c r="CA1" t="s">
        <v>12</v>
      </c>
      <c r="CB1" t="s">
        <v>92</v>
      </c>
      <c r="CC1" t="s">
        <v>53</v>
      </c>
      <c r="CD1" t="s">
        <v>76</v>
      </c>
      <c r="CE1" t="s">
        <v>90</v>
      </c>
      <c r="CF1" t="s">
        <v>16</v>
      </c>
      <c r="CG1" t="s">
        <v>82</v>
      </c>
      <c r="CH1" t="s">
        <v>38</v>
      </c>
      <c r="CI1" t="s">
        <v>51</v>
      </c>
      <c r="CJ1" t="s">
        <v>56</v>
      </c>
      <c r="CK1" t="s">
        <v>46</v>
      </c>
      <c r="CL1" t="s">
        <v>50</v>
      </c>
      <c r="CM1" t="s">
        <v>31</v>
      </c>
      <c r="CN1" t="s">
        <v>80</v>
      </c>
      <c r="CO1" t="s">
        <v>20</v>
      </c>
      <c r="CP1" t="s">
        <v>30</v>
      </c>
      <c r="CQ1" t="s">
        <v>81</v>
      </c>
      <c r="CR1" t="s">
        <v>77</v>
      </c>
      <c r="CS1" t="s">
        <v>41</v>
      </c>
      <c r="CT1" t="s">
        <v>47</v>
      </c>
      <c r="CU1" t="s">
        <v>73</v>
      </c>
      <c r="CV1" t="s">
        <v>23</v>
      </c>
      <c r="CW1" t="s">
        <v>63</v>
      </c>
      <c r="CX1" t="s">
        <v>71</v>
      </c>
    </row>
    <row r="2" spans="1:102" x14ac:dyDescent="0.25">
      <c r="A2" t="s">
        <v>1410</v>
      </c>
      <c r="B2">
        <v>22</v>
      </c>
      <c r="D2" s="16" t="s">
        <v>1352</v>
      </c>
      <c r="E2" t="s">
        <v>1523</v>
      </c>
      <c r="F2" s="12" t="s">
        <v>1403</v>
      </c>
      <c r="G2" t="s">
        <v>218</v>
      </c>
      <c r="H2">
        <f>SUM(O2:CX2)</f>
        <v>368709</v>
      </c>
      <c r="I2">
        <f>COUNTIF(O2:CX2, "&gt;0")</f>
        <v>86</v>
      </c>
      <c r="J2">
        <v>13</v>
      </c>
      <c r="K2">
        <v>38</v>
      </c>
      <c r="L2" s="11">
        <f>H2/1310037</f>
        <v>0.28144930257695011</v>
      </c>
      <c r="M2" s="10">
        <f>I2/88</f>
        <v>0.97727272727272729</v>
      </c>
      <c r="N2" s="10">
        <f>(COUNTIF(CI2:CX2,"&gt;0")/16)</f>
        <v>1</v>
      </c>
      <c r="O2">
        <v>319</v>
      </c>
      <c r="P2">
        <v>8784</v>
      </c>
      <c r="Q2">
        <v>2951</v>
      </c>
      <c r="R2">
        <v>9222</v>
      </c>
      <c r="S2">
        <v>6449</v>
      </c>
      <c r="T2">
        <v>10751</v>
      </c>
      <c r="U2">
        <v>1050</v>
      </c>
      <c r="V2">
        <v>1606</v>
      </c>
      <c r="W2">
        <v>1363</v>
      </c>
      <c r="X2">
        <v>8887</v>
      </c>
      <c r="Y2">
        <v>6393</v>
      </c>
      <c r="Z2">
        <v>7161</v>
      </c>
      <c r="AA2">
        <v>8496</v>
      </c>
      <c r="AB2">
        <v>5921</v>
      </c>
      <c r="AC2">
        <v>12730</v>
      </c>
      <c r="AD2">
        <v>1731</v>
      </c>
      <c r="AE2">
        <v>1820</v>
      </c>
      <c r="AF2">
        <v>1501</v>
      </c>
      <c r="AG2">
        <v>0</v>
      </c>
      <c r="AH2">
        <v>2</v>
      </c>
      <c r="AI2">
        <v>61</v>
      </c>
      <c r="AJ2">
        <v>2526</v>
      </c>
      <c r="AK2">
        <v>2363</v>
      </c>
      <c r="AL2">
        <v>1885</v>
      </c>
      <c r="AM2">
        <v>5095</v>
      </c>
      <c r="AN2">
        <v>7342</v>
      </c>
      <c r="AO2">
        <v>6880</v>
      </c>
      <c r="AP2">
        <v>7311</v>
      </c>
      <c r="AQ2">
        <v>4219</v>
      </c>
      <c r="AR2">
        <v>13465</v>
      </c>
      <c r="AS2">
        <v>4934</v>
      </c>
      <c r="AT2">
        <v>8960</v>
      </c>
      <c r="AU2">
        <v>13711</v>
      </c>
      <c r="AV2">
        <v>546</v>
      </c>
      <c r="AW2">
        <v>2006</v>
      </c>
      <c r="AX2">
        <v>2416</v>
      </c>
      <c r="AY2">
        <v>864</v>
      </c>
      <c r="AZ2">
        <v>906</v>
      </c>
      <c r="BA2">
        <v>116</v>
      </c>
      <c r="BB2">
        <v>6592</v>
      </c>
      <c r="BC2">
        <v>5822</v>
      </c>
      <c r="BD2">
        <v>9013</v>
      </c>
      <c r="BE2">
        <v>5150</v>
      </c>
      <c r="BF2">
        <v>1013</v>
      </c>
      <c r="BG2">
        <v>366</v>
      </c>
      <c r="BH2">
        <v>2900</v>
      </c>
      <c r="BI2">
        <v>11380</v>
      </c>
      <c r="BJ2">
        <v>791</v>
      </c>
      <c r="BK2">
        <v>9921</v>
      </c>
      <c r="BL2">
        <v>7692</v>
      </c>
      <c r="BM2">
        <v>9619</v>
      </c>
      <c r="BN2">
        <v>803</v>
      </c>
      <c r="BO2">
        <v>2158</v>
      </c>
      <c r="BP2">
        <v>850</v>
      </c>
      <c r="BQ2">
        <v>402</v>
      </c>
      <c r="BR2">
        <v>3109</v>
      </c>
      <c r="BS2">
        <v>3213</v>
      </c>
      <c r="BT2">
        <v>8221</v>
      </c>
      <c r="BU2">
        <v>12808</v>
      </c>
      <c r="BV2">
        <v>10436</v>
      </c>
      <c r="BW2">
        <v>1124</v>
      </c>
      <c r="BX2">
        <v>3436</v>
      </c>
      <c r="BY2">
        <v>505</v>
      </c>
      <c r="BZ2">
        <v>666</v>
      </c>
      <c r="CA2">
        <v>0</v>
      </c>
      <c r="CB2">
        <v>32</v>
      </c>
      <c r="CC2">
        <v>3988</v>
      </c>
      <c r="CD2">
        <v>4788</v>
      </c>
      <c r="CE2">
        <v>3282</v>
      </c>
      <c r="CF2">
        <v>2406</v>
      </c>
      <c r="CG2">
        <v>3171</v>
      </c>
      <c r="CH2">
        <v>7489</v>
      </c>
      <c r="CI2">
        <v>1686</v>
      </c>
      <c r="CJ2">
        <v>110</v>
      </c>
      <c r="CK2">
        <v>3280</v>
      </c>
      <c r="CL2">
        <v>211</v>
      </c>
      <c r="CM2">
        <v>855</v>
      </c>
      <c r="CN2">
        <v>4730</v>
      </c>
      <c r="CO2">
        <v>10712</v>
      </c>
      <c r="CP2">
        <v>422</v>
      </c>
      <c r="CQ2">
        <v>9987</v>
      </c>
      <c r="CR2">
        <v>625</v>
      </c>
      <c r="CS2">
        <v>3745</v>
      </c>
      <c r="CT2">
        <v>1856</v>
      </c>
      <c r="CU2">
        <v>1170</v>
      </c>
      <c r="CV2">
        <v>2815</v>
      </c>
      <c r="CW2">
        <v>424</v>
      </c>
      <c r="CX2">
        <v>192</v>
      </c>
    </row>
    <row r="3" spans="1:102" x14ac:dyDescent="0.25">
      <c r="A3" t="s">
        <v>1411</v>
      </c>
      <c r="B3" s="14">
        <f>SUM(L2:L23)</f>
        <v>0.76635698075703218</v>
      </c>
      <c r="D3" s="16" t="s">
        <v>1277</v>
      </c>
      <c r="E3" t="s">
        <v>1543</v>
      </c>
      <c r="F3" s="12" t="s">
        <v>1403</v>
      </c>
      <c r="G3" t="s">
        <v>221</v>
      </c>
      <c r="H3">
        <f>SUM(O3:CX3)</f>
        <v>336277</v>
      </c>
      <c r="I3">
        <f>COUNTIF(O3:CX3, "&gt;0")</f>
        <v>81</v>
      </c>
      <c r="J3">
        <v>19</v>
      </c>
      <c r="K3">
        <v>58</v>
      </c>
      <c r="L3" s="11">
        <f>H3/1310037</f>
        <v>0.25669274989943031</v>
      </c>
      <c r="M3" s="10">
        <f>I3/88</f>
        <v>0.92045454545454541</v>
      </c>
      <c r="N3" s="10">
        <f>(COUNTIF(CI3:CX3,"&gt;0")/16)</f>
        <v>1</v>
      </c>
      <c r="O3">
        <v>7094</v>
      </c>
      <c r="P3">
        <v>3296</v>
      </c>
      <c r="Q3">
        <v>2261</v>
      </c>
      <c r="R3">
        <v>8279</v>
      </c>
      <c r="S3">
        <v>4633</v>
      </c>
      <c r="T3">
        <v>2041</v>
      </c>
      <c r="U3">
        <v>8126</v>
      </c>
      <c r="V3">
        <v>11578</v>
      </c>
      <c r="W3">
        <v>6812</v>
      </c>
      <c r="X3">
        <v>767</v>
      </c>
      <c r="Y3">
        <v>2991</v>
      </c>
      <c r="Z3">
        <v>6037</v>
      </c>
      <c r="AA3">
        <v>2612</v>
      </c>
      <c r="AB3">
        <v>1439</v>
      </c>
      <c r="AC3">
        <v>1517</v>
      </c>
      <c r="AD3">
        <v>7721</v>
      </c>
      <c r="AE3">
        <v>7433</v>
      </c>
      <c r="AF3">
        <v>7864</v>
      </c>
      <c r="AG3">
        <v>0</v>
      </c>
      <c r="AH3">
        <v>0</v>
      </c>
      <c r="AI3">
        <v>0</v>
      </c>
      <c r="AJ3">
        <v>637</v>
      </c>
      <c r="AK3">
        <v>0</v>
      </c>
      <c r="AL3">
        <v>305</v>
      </c>
      <c r="AM3">
        <v>8169</v>
      </c>
      <c r="AN3">
        <v>5567</v>
      </c>
      <c r="AO3">
        <v>5834</v>
      </c>
      <c r="AP3">
        <v>2014</v>
      </c>
      <c r="AQ3">
        <v>10189</v>
      </c>
      <c r="AR3">
        <v>2589</v>
      </c>
      <c r="AS3">
        <v>1023</v>
      </c>
      <c r="AT3">
        <v>801</v>
      </c>
      <c r="AU3">
        <v>872</v>
      </c>
      <c r="AV3">
        <v>4238</v>
      </c>
      <c r="AW3">
        <v>4118</v>
      </c>
      <c r="AX3">
        <v>4390</v>
      </c>
      <c r="AY3">
        <v>64</v>
      </c>
      <c r="AZ3">
        <v>0</v>
      </c>
      <c r="BA3">
        <v>0</v>
      </c>
      <c r="BB3">
        <v>1412</v>
      </c>
      <c r="BC3">
        <v>1897</v>
      </c>
      <c r="BD3">
        <v>749</v>
      </c>
      <c r="BE3">
        <v>4180</v>
      </c>
      <c r="BF3">
        <v>6229</v>
      </c>
      <c r="BG3">
        <v>3803</v>
      </c>
      <c r="BH3">
        <v>6011</v>
      </c>
      <c r="BI3">
        <v>3458</v>
      </c>
      <c r="BJ3">
        <v>2916</v>
      </c>
      <c r="BK3">
        <v>2416</v>
      </c>
      <c r="BL3">
        <v>2552</v>
      </c>
      <c r="BM3">
        <v>4478</v>
      </c>
      <c r="BN3">
        <v>11259</v>
      </c>
      <c r="BO3">
        <v>9983</v>
      </c>
      <c r="BP3">
        <v>14036</v>
      </c>
      <c r="BQ3">
        <v>727</v>
      </c>
      <c r="BR3">
        <v>484</v>
      </c>
      <c r="BS3">
        <v>354</v>
      </c>
      <c r="BT3">
        <v>2832</v>
      </c>
      <c r="BU3">
        <v>2257</v>
      </c>
      <c r="BV3">
        <v>1698</v>
      </c>
      <c r="BW3">
        <v>357</v>
      </c>
      <c r="BX3">
        <v>3627</v>
      </c>
      <c r="BY3">
        <v>298</v>
      </c>
      <c r="BZ3">
        <v>764</v>
      </c>
      <c r="CA3">
        <v>0</v>
      </c>
      <c r="CB3">
        <v>86</v>
      </c>
      <c r="CC3">
        <v>941</v>
      </c>
      <c r="CD3">
        <v>1723</v>
      </c>
      <c r="CE3">
        <v>2299</v>
      </c>
      <c r="CF3">
        <v>8562</v>
      </c>
      <c r="CG3">
        <v>7558</v>
      </c>
      <c r="CH3">
        <v>4838</v>
      </c>
      <c r="CI3">
        <v>15603</v>
      </c>
      <c r="CJ3">
        <v>3967</v>
      </c>
      <c r="CK3">
        <v>3680</v>
      </c>
      <c r="CL3">
        <v>12247</v>
      </c>
      <c r="CM3">
        <v>77</v>
      </c>
      <c r="CN3">
        <v>8631</v>
      </c>
      <c r="CO3">
        <v>2067</v>
      </c>
      <c r="CP3">
        <v>5617</v>
      </c>
      <c r="CQ3">
        <v>320</v>
      </c>
      <c r="CR3">
        <v>3089</v>
      </c>
      <c r="CS3">
        <v>1697</v>
      </c>
      <c r="CT3">
        <v>5446</v>
      </c>
      <c r="CU3">
        <v>302</v>
      </c>
      <c r="CV3">
        <v>185</v>
      </c>
      <c r="CW3">
        <v>12982</v>
      </c>
      <c r="CX3">
        <v>2272</v>
      </c>
    </row>
    <row r="4" spans="1:102" x14ac:dyDescent="0.25">
      <c r="D4" t="s">
        <v>1079</v>
      </c>
      <c r="E4" t="s">
        <v>1490</v>
      </c>
      <c r="F4" s="12" t="s">
        <v>1403</v>
      </c>
      <c r="G4" t="s">
        <v>189</v>
      </c>
      <c r="H4">
        <f>SUM(O4:CX4)</f>
        <v>103338</v>
      </c>
      <c r="I4">
        <f>COUNTIF(O4:CX4, "&gt;0")</f>
        <v>80</v>
      </c>
      <c r="J4">
        <v>5</v>
      </c>
      <c r="K4">
        <v>5</v>
      </c>
      <c r="L4" s="11">
        <f>H4/1310037</f>
        <v>7.8881741508064276E-2</v>
      </c>
      <c r="M4" s="10">
        <f>I4/88</f>
        <v>0.90909090909090906</v>
      </c>
      <c r="N4" s="10">
        <f>(COUNTIF(CI4:CX4,"&gt;0")/16)</f>
        <v>1</v>
      </c>
      <c r="O4">
        <v>0</v>
      </c>
      <c r="P4">
        <v>31</v>
      </c>
      <c r="Q4">
        <v>0</v>
      </c>
      <c r="R4">
        <v>1331</v>
      </c>
      <c r="S4">
        <v>1699</v>
      </c>
      <c r="T4">
        <v>524</v>
      </c>
      <c r="U4">
        <v>259</v>
      </c>
      <c r="V4">
        <v>340</v>
      </c>
      <c r="W4">
        <v>422</v>
      </c>
      <c r="X4">
        <v>22</v>
      </c>
      <c r="Y4">
        <v>118</v>
      </c>
      <c r="Z4">
        <v>75</v>
      </c>
      <c r="AA4">
        <v>3910</v>
      </c>
      <c r="AB4">
        <v>4430</v>
      </c>
      <c r="AC4">
        <v>4061</v>
      </c>
      <c r="AD4">
        <v>252</v>
      </c>
      <c r="AE4">
        <v>408</v>
      </c>
      <c r="AF4">
        <v>416</v>
      </c>
      <c r="AG4">
        <v>333</v>
      </c>
      <c r="AH4">
        <v>312</v>
      </c>
      <c r="AI4">
        <v>0</v>
      </c>
      <c r="AJ4">
        <v>7553</v>
      </c>
      <c r="AK4">
        <v>1690</v>
      </c>
      <c r="AL4">
        <v>4257</v>
      </c>
      <c r="AM4">
        <v>940</v>
      </c>
      <c r="AN4">
        <v>828</v>
      </c>
      <c r="AO4">
        <v>416</v>
      </c>
      <c r="AP4">
        <v>55</v>
      </c>
      <c r="AQ4">
        <v>31</v>
      </c>
      <c r="AR4">
        <v>0</v>
      </c>
      <c r="AS4">
        <v>2029</v>
      </c>
      <c r="AT4">
        <v>1468</v>
      </c>
      <c r="AU4">
        <v>558</v>
      </c>
      <c r="AV4">
        <v>326</v>
      </c>
      <c r="AW4">
        <v>10002</v>
      </c>
      <c r="AX4">
        <v>2038</v>
      </c>
      <c r="AY4">
        <v>77</v>
      </c>
      <c r="AZ4">
        <v>203</v>
      </c>
      <c r="BA4">
        <v>529</v>
      </c>
      <c r="BB4">
        <v>475</v>
      </c>
      <c r="BC4">
        <v>1857</v>
      </c>
      <c r="BD4">
        <v>205</v>
      </c>
      <c r="BE4">
        <v>289</v>
      </c>
      <c r="BF4">
        <v>904</v>
      </c>
      <c r="BG4">
        <v>125</v>
      </c>
      <c r="BH4">
        <v>0</v>
      </c>
      <c r="BI4">
        <v>0</v>
      </c>
      <c r="BJ4">
        <v>108</v>
      </c>
      <c r="BK4">
        <v>3247</v>
      </c>
      <c r="BL4">
        <v>777</v>
      </c>
      <c r="BM4">
        <v>1626</v>
      </c>
      <c r="BN4">
        <v>669</v>
      </c>
      <c r="BO4">
        <v>1460</v>
      </c>
      <c r="BP4">
        <v>694</v>
      </c>
      <c r="BQ4">
        <v>248</v>
      </c>
      <c r="BR4">
        <v>0</v>
      </c>
      <c r="BS4">
        <v>284</v>
      </c>
      <c r="BT4">
        <v>209</v>
      </c>
      <c r="BU4">
        <v>201</v>
      </c>
      <c r="BV4">
        <v>379</v>
      </c>
      <c r="BW4">
        <v>31</v>
      </c>
      <c r="BX4">
        <v>2197</v>
      </c>
      <c r="BY4">
        <v>182</v>
      </c>
      <c r="BZ4">
        <v>0</v>
      </c>
      <c r="CA4">
        <v>53</v>
      </c>
      <c r="CB4">
        <v>62</v>
      </c>
      <c r="CC4">
        <v>5405</v>
      </c>
      <c r="CD4">
        <v>6829</v>
      </c>
      <c r="CE4">
        <v>5916</v>
      </c>
      <c r="CF4">
        <v>1262</v>
      </c>
      <c r="CG4">
        <v>1645</v>
      </c>
      <c r="CH4">
        <v>616</v>
      </c>
      <c r="CI4">
        <v>26</v>
      </c>
      <c r="CJ4">
        <v>36</v>
      </c>
      <c r="CK4">
        <v>33</v>
      </c>
      <c r="CL4">
        <v>9</v>
      </c>
      <c r="CM4">
        <v>3356</v>
      </c>
      <c r="CN4">
        <v>50</v>
      </c>
      <c r="CO4">
        <v>182</v>
      </c>
      <c r="CP4">
        <v>646</v>
      </c>
      <c r="CQ4">
        <v>553</v>
      </c>
      <c r="CR4">
        <v>159</v>
      </c>
      <c r="CS4">
        <v>3123</v>
      </c>
      <c r="CT4">
        <v>2526</v>
      </c>
      <c r="CU4">
        <v>211</v>
      </c>
      <c r="CV4">
        <v>1582</v>
      </c>
      <c r="CW4">
        <v>25</v>
      </c>
      <c r="CX4">
        <v>923</v>
      </c>
    </row>
    <row r="5" spans="1:102" x14ac:dyDescent="0.25">
      <c r="D5" t="s">
        <v>1144</v>
      </c>
      <c r="E5" t="s">
        <v>1486</v>
      </c>
      <c r="F5" s="12" t="s">
        <v>1403</v>
      </c>
      <c r="G5" t="s">
        <v>192</v>
      </c>
      <c r="H5">
        <f>SUM(O5:CX5)</f>
        <v>65486</v>
      </c>
      <c r="I5">
        <f>COUNTIF(O5:CX5, "&gt;0")</f>
        <v>67</v>
      </c>
      <c r="J5">
        <v>1</v>
      </c>
      <c r="K5">
        <v>1</v>
      </c>
      <c r="L5" s="11">
        <f>H5/1310037</f>
        <v>4.9987901105083291E-2</v>
      </c>
      <c r="M5" s="10">
        <f>I5/88</f>
        <v>0.76136363636363635</v>
      </c>
      <c r="N5" s="10">
        <f>(COUNTIF(CI5:CX5,"&gt;0")/16)</f>
        <v>0.75</v>
      </c>
      <c r="O5">
        <v>639</v>
      </c>
      <c r="P5">
        <v>1057</v>
      </c>
      <c r="Q5">
        <v>661</v>
      </c>
      <c r="R5">
        <v>350</v>
      </c>
      <c r="S5">
        <v>157</v>
      </c>
      <c r="T5">
        <v>84</v>
      </c>
      <c r="U5">
        <v>0</v>
      </c>
      <c r="V5">
        <v>63</v>
      </c>
      <c r="W5">
        <v>769</v>
      </c>
      <c r="X5">
        <v>6632</v>
      </c>
      <c r="Y5">
        <v>1340</v>
      </c>
      <c r="Z5">
        <v>2461</v>
      </c>
      <c r="AA5">
        <v>518</v>
      </c>
      <c r="AB5">
        <v>535</v>
      </c>
      <c r="AC5">
        <v>2833</v>
      </c>
      <c r="AD5">
        <v>0</v>
      </c>
      <c r="AE5">
        <v>63</v>
      </c>
      <c r="AF5">
        <v>32</v>
      </c>
      <c r="AG5">
        <v>298</v>
      </c>
      <c r="AH5">
        <v>113</v>
      </c>
      <c r="AI5">
        <v>216</v>
      </c>
      <c r="AJ5">
        <v>3411</v>
      </c>
      <c r="AK5">
        <v>2776</v>
      </c>
      <c r="AL5">
        <v>2508</v>
      </c>
      <c r="AM5">
        <v>201</v>
      </c>
      <c r="AN5">
        <v>911</v>
      </c>
      <c r="AO5">
        <v>219</v>
      </c>
      <c r="AP5">
        <v>2785</v>
      </c>
      <c r="AQ5">
        <v>126</v>
      </c>
      <c r="AR5">
        <v>0</v>
      </c>
      <c r="AS5">
        <v>175</v>
      </c>
      <c r="AT5">
        <v>972</v>
      </c>
      <c r="AU5">
        <v>300</v>
      </c>
      <c r="AV5">
        <v>0</v>
      </c>
      <c r="AW5">
        <v>0</v>
      </c>
      <c r="AX5">
        <v>63</v>
      </c>
      <c r="AY5">
        <v>0</v>
      </c>
      <c r="AZ5">
        <v>0</v>
      </c>
      <c r="BA5">
        <v>0</v>
      </c>
      <c r="BB5">
        <v>2070</v>
      </c>
      <c r="BC5">
        <v>2814</v>
      </c>
      <c r="BD5">
        <v>2384</v>
      </c>
      <c r="BE5">
        <v>30</v>
      </c>
      <c r="BF5">
        <v>233</v>
      </c>
      <c r="BG5">
        <v>0</v>
      </c>
      <c r="BH5">
        <v>1751</v>
      </c>
      <c r="BI5">
        <v>0</v>
      </c>
      <c r="BJ5">
        <v>850</v>
      </c>
      <c r="BK5">
        <v>2010</v>
      </c>
      <c r="BL5">
        <v>4179</v>
      </c>
      <c r="BM5">
        <v>500</v>
      </c>
      <c r="BN5">
        <v>0</v>
      </c>
      <c r="BO5">
        <v>0</v>
      </c>
      <c r="BP5">
        <v>0</v>
      </c>
      <c r="BQ5">
        <v>457</v>
      </c>
      <c r="BR5">
        <v>0</v>
      </c>
      <c r="BS5">
        <v>528</v>
      </c>
      <c r="BT5">
        <v>187</v>
      </c>
      <c r="BU5">
        <v>597</v>
      </c>
      <c r="BV5">
        <v>419</v>
      </c>
      <c r="BW5">
        <v>0</v>
      </c>
      <c r="BX5">
        <v>0</v>
      </c>
      <c r="BY5">
        <v>0</v>
      </c>
      <c r="BZ5">
        <v>822</v>
      </c>
      <c r="CA5">
        <v>241</v>
      </c>
      <c r="CB5">
        <v>384</v>
      </c>
      <c r="CC5">
        <v>1583</v>
      </c>
      <c r="CD5">
        <v>2060</v>
      </c>
      <c r="CE5">
        <v>1740</v>
      </c>
      <c r="CF5">
        <v>83</v>
      </c>
      <c r="CG5">
        <v>73</v>
      </c>
      <c r="CH5">
        <v>56</v>
      </c>
      <c r="CI5">
        <v>1176</v>
      </c>
      <c r="CJ5">
        <v>0</v>
      </c>
      <c r="CK5">
        <v>1312</v>
      </c>
      <c r="CL5">
        <v>553</v>
      </c>
      <c r="CM5">
        <v>0</v>
      </c>
      <c r="CN5">
        <v>2</v>
      </c>
      <c r="CO5">
        <v>146</v>
      </c>
      <c r="CP5">
        <v>0</v>
      </c>
      <c r="CQ5">
        <v>1310</v>
      </c>
      <c r="CR5">
        <v>12</v>
      </c>
      <c r="CS5">
        <v>1134</v>
      </c>
      <c r="CT5">
        <v>382</v>
      </c>
      <c r="CU5">
        <v>109</v>
      </c>
      <c r="CV5">
        <v>22</v>
      </c>
      <c r="CW5">
        <v>0</v>
      </c>
      <c r="CX5">
        <v>9</v>
      </c>
    </row>
    <row r="6" spans="1:102" x14ac:dyDescent="0.25">
      <c r="A6" t="s">
        <v>1463</v>
      </c>
      <c r="B6">
        <f>COUNTIF(J2:J23, "&lt;50")</f>
        <v>13</v>
      </c>
      <c r="D6" t="s">
        <v>1269</v>
      </c>
      <c r="E6" t="s">
        <v>1685</v>
      </c>
      <c r="F6" s="12" t="s">
        <v>1403</v>
      </c>
      <c r="G6" t="s">
        <v>212</v>
      </c>
      <c r="H6">
        <f>SUM(O6:CX6)</f>
        <v>39367</v>
      </c>
      <c r="I6">
        <f>COUNTIF(O6:CX6, "&gt;0")</f>
        <v>60</v>
      </c>
      <c r="J6">
        <v>181</v>
      </c>
      <c r="K6">
        <v>200</v>
      </c>
      <c r="L6" s="11">
        <f>H6/1310037</f>
        <v>3.0050296289341447E-2</v>
      </c>
      <c r="M6" s="10">
        <f>I6/88</f>
        <v>0.68181818181818177</v>
      </c>
      <c r="N6" s="10">
        <f>(COUNTIF(CI6:CX6,"&gt;0")/16)</f>
        <v>0.375</v>
      </c>
      <c r="O6">
        <v>0</v>
      </c>
      <c r="P6">
        <v>1498</v>
      </c>
      <c r="Q6">
        <v>169</v>
      </c>
      <c r="R6">
        <v>376</v>
      </c>
      <c r="S6">
        <v>62</v>
      </c>
      <c r="T6">
        <v>84</v>
      </c>
      <c r="U6">
        <v>50</v>
      </c>
      <c r="V6">
        <v>0</v>
      </c>
      <c r="W6">
        <v>0</v>
      </c>
      <c r="X6">
        <v>848</v>
      </c>
      <c r="Y6">
        <v>250</v>
      </c>
      <c r="Z6">
        <v>138</v>
      </c>
      <c r="AA6">
        <v>380</v>
      </c>
      <c r="AB6">
        <v>385</v>
      </c>
      <c r="AC6">
        <v>619</v>
      </c>
      <c r="AD6">
        <v>32</v>
      </c>
      <c r="AE6">
        <v>0</v>
      </c>
      <c r="AF6">
        <v>0</v>
      </c>
      <c r="AG6">
        <v>67</v>
      </c>
      <c r="AH6">
        <v>0</v>
      </c>
      <c r="AI6">
        <v>0</v>
      </c>
      <c r="AJ6">
        <v>2597</v>
      </c>
      <c r="AK6">
        <v>2244</v>
      </c>
      <c r="AL6">
        <v>2070</v>
      </c>
      <c r="AM6">
        <v>202</v>
      </c>
      <c r="AN6">
        <v>788</v>
      </c>
      <c r="AO6">
        <v>328</v>
      </c>
      <c r="AP6">
        <v>518</v>
      </c>
      <c r="AQ6">
        <v>0</v>
      </c>
      <c r="AR6">
        <v>413</v>
      </c>
      <c r="AS6">
        <v>0</v>
      </c>
      <c r="AT6">
        <v>712</v>
      </c>
      <c r="AU6">
        <v>373</v>
      </c>
      <c r="AV6">
        <v>34</v>
      </c>
      <c r="AW6">
        <v>82</v>
      </c>
      <c r="AX6">
        <v>0</v>
      </c>
      <c r="AY6">
        <v>0</v>
      </c>
      <c r="AZ6">
        <v>0</v>
      </c>
      <c r="BA6">
        <v>0</v>
      </c>
      <c r="BB6">
        <v>826</v>
      </c>
      <c r="BC6">
        <v>1547</v>
      </c>
      <c r="BD6">
        <v>1750</v>
      </c>
      <c r="BE6">
        <v>0</v>
      </c>
      <c r="BF6">
        <v>247</v>
      </c>
      <c r="BG6">
        <v>37</v>
      </c>
      <c r="BH6">
        <v>485</v>
      </c>
      <c r="BI6">
        <v>0</v>
      </c>
      <c r="BJ6">
        <v>147</v>
      </c>
      <c r="BK6">
        <v>4113</v>
      </c>
      <c r="BL6">
        <v>830</v>
      </c>
      <c r="BM6">
        <v>331</v>
      </c>
      <c r="BN6">
        <v>67</v>
      </c>
      <c r="BO6">
        <v>131</v>
      </c>
      <c r="BP6">
        <v>37</v>
      </c>
      <c r="BQ6">
        <v>212</v>
      </c>
      <c r="BR6">
        <v>647</v>
      </c>
      <c r="BS6">
        <v>1043</v>
      </c>
      <c r="BT6">
        <v>199</v>
      </c>
      <c r="BU6">
        <v>441</v>
      </c>
      <c r="BV6">
        <v>347</v>
      </c>
      <c r="BW6">
        <v>11</v>
      </c>
      <c r="BX6">
        <v>96</v>
      </c>
      <c r="BY6">
        <v>29</v>
      </c>
      <c r="BZ6">
        <v>164</v>
      </c>
      <c r="CA6">
        <v>323</v>
      </c>
      <c r="CB6">
        <v>88</v>
      </c>
      <c r="CC6">
        <v>1412</v>
      </c>
      <c r="CD6">
        <v>1635</v>
      </c>
      <c r="CE6">
        <v>1493</v>
      </c>
      <c r="CF6">
        <v>0</v>
      </c>
      <c r="CG6">
        <v>0</v>
      </c>
      <c r="CH6">
        <v>0</v>
      </c>
      <c r="CI6">
        <v>301</v>
      </c>
      <c r="CJ6">
        <v>154</v>
      </c>
      <c r="CK6">
        <v>2491</v>
      </c>
      <c r="CL6">
        <v>0</v>
      </c>
      <c r="CM6">
        <v>74</v>
      </c>
      <c r="CN6">
        <v>0</v>
      </c>
      <c r="CO6">
        <v>0</v>
      </c>
      <c r="CP6">
        <v>0</v>
      </c>
      <c r="CQ6">
        <v>1015</v>
      </c>
      <c r="CR6">
        <v>0</v>
      </c>
      <c r="CS6">
        <v>1325</v>
      </c>
      <c r="CT6">
        <v>0</v>
      </c>
      <c r="CU6">
        <v>0</v>
      </c>
      <c r="CV6">
        <v>0</v>
      </c>
      <c r="CW6">
        <v>0</v>
      </c>
      <c r="CX6">
        <v>0</v>
      </c>
    </row>
    <row r="7" spans="1:102" x14ac:dyDescent="0.25">
      <c r="A7" t="s">
        <v>1464</v>
      </c>
      <c r="B7">
        <f>COUNTIF(K2:K23, "&lt;50")</f>
        <v>12</v>
      </c>
      <c r="D7" t="s">
        <v>1279</v>
      </c>
      <c r="E7" t="s">
        <v>1508</v>
      </c>
      <c r="F7" s="12" t="s">
        <v>1403</v>
      </c>
      <c r="G7" t="s">
        <v>198</v>
      </c>
      <c r="H7">
        <f>SUM(O7:CX7)</f>
        <v>34060</v>
      </c>
      <c r="I7">
        <f>COUNTIF(O7:CX7, "&gt;0")</f>
        <v>60</v>
      </c>
      <c r="J7">
        <v>29</v>
      </c>
      <c r="K7">
        <v>23</v>
      </c>
      <c r="L7" s="11">
        <f>H7/1310037</f>
        <v>2.5999265669595591E-2</v>
      </c>
      <c r="M7" s="10">
        <f>I7/88</f>
        <v>0.68181818181818177</v>
      </c>
      <c r="N7" s="10">
        <f>(COUNTIF(CI7:CX7,"&gt;0")/16)</f>
        <v>0.375</v>
      </c>
      <c r="O7">
        <v>58</v>
      </c>
      <c r="P7">
        <v>30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17</v>
      </c>
      <c r="X7">
        <v>77</v>
      </c>
      <c r="Y7">
        <v>301</v>
      </c>
      <c r="Z7">
        <v>45</v>
      </c>
      <c r="AA7">
        <v>0</v>
      </c>
      <c r="AB7">
        <v>11</v>
      </c>
      <c r="AC7">
        <v>0</v>
      </c>
      <c r="AD7">
        <v>0</v>
      </c>
      <c r="AE7">
        <v>12</v>
      </c>
      <c r="AF7">
        <v>7</v>
      </c>
      <c r="AG7">
        <v>169</v>
      </c>
      <c r="AH7">
        <v>443</v>
      </c>
      <c r="AI7">
        <v>196</v>
      </c>
      <c r="AJ7">
        <v>1138</v>
      </c>
      <c r="AK7">
        <v>4811</v>
      </c>
      <c r="AL7">
        <v>1522</v>
      </c>
      <c r="AM7">
        <v>45</v>
      </c>
      <c r="AN7">
        <v>32</v>
      </c>
      <c r="AO7">
        <v>441</v>
      </c>
      <c r="AP7">
        <v>49</v>
      </c>
      <c r="AQ7">
        <v>30</v>
      </c>
      <c r="AR7">
        <v>132</v>
      </c>
      <c r="AS7">
        <v>9</v>
      </c>
      <c r="AT7">
        <v>0</v>
      </c>
      <c r="AU7">
        <v>7</v>
      </c>
      <c r="AV7">
        <v>0</v>
      </c>
      <c r="AW7">
        <v>0</v>
      </c>
      <c r="AX7">
        <v>15</v>
      </c>
      <c r="AY7">
        <v>84</v>
      </c>
      <c r="AZ7">
        <v>228</v>
      </c>
      <c r="BA7">
        <v>292</v>
      </c>
      <c r="BB7">
        <v>88</v>
      </c>
      <c r="BC7">
        <v>54</v>
      </c>
      <c r="BD7">
        <v>552</v>
      </c>
      <c r="BE7">
        <v>8</v>
      </c>
      <c r="BF7">
        <v>23</v>
      </c>
      <c r="BG7">
        <v>0</v>
      </c>
      <c r="BH7">
        <v>310</v>
      </c>
      <c r="BI7">
        <v>0</v>
      </c>
      <c r="BJ7">
        <v>280</v>
      </c>
      <c r="BK7">
        <v>0</v>
      </c>
      <c r="BL7">
        <v>39</v>
      </c>
      <c r="BM7">
        <v>16</v>
      </c>
      <c r="BN7">
        <v>6</v>
      </c>
      <c r="BO7">
        <v>14</v>
      </c>
      <c r="BP7">
        <v>11</v>
      </c>
      <c r="BQ7">
        <v>583</v>
      </c>
      <c r="BR7">
        <v>752</v>
      </c>
      <c r="BS7">
        <v>248</v>
      </c>
      <c r="BT7">
        <v>45</v>
      </c>
      <c r="BU7">
        <v>97</v>
      </c>
      <c r="BV7">
        <v>96</v>
      </c>
      <c r="BW7">
        <v>10</v>
      </c>
      <c r="BX7">
        <v>13</v>
      </c>
      <c r="BY7">
        <v>0</v>
      </c>
      <c r="BZ7">
        <v>519</v>
      </c>
      <c r="CA7">
        <v>501</v>
      </c>
      <c r="CB7">
        <v>158</v>
      </c>
      <c r="CC7">
        <v>281</v>
      </c>
      <c r="CD7">
        <v>424</v>
      </c>
      <c r="CE7">
        <v>359</v>
      </c>
      <c r="CF7">
        <v>67</v>
      </c>
      <c r="CG7">
        <v>0</v>
      </c>
      <c r="CH7">
        <v>0</v>
      </c>
      <c r="CI7">
        <v>12</v>
      </c>
      <c r="CJ7">
        <v>0</v>
      </c>
      <c r="CK7">
        <v>0</v>
      </c>
      <c r="CL7">
        <v>0</v>
      </c>
      <c r="CM7">
        <v>11279</v>
      </c>
      <c r="CN7">
        <v>0</v>
      </c>
      <c r="CO7">
        <v>0</v>
      </c>
      <c r="CP7">
        <v>0</v>
      </c>
      <c r="CQ7">
        <v>27</v>
      </c>
      <c r="CR7">
        <v>0</v>
      </c>
      <c r="CS7">
        <v>92</v>
      </c>
      <c r="CT7">
        <v>0</v>
      </c>
      <c r="CU7">
        <v>6855</v>
      </c>
      <c r="CV7">
        <v>40</v>
      </c>
      <c r="CW7">
        <v>0</v>
      </c>
      <c r="CX7">
        <v>0</v>
      </c>
    </row>
    <row r="8" spans="1:102" x14ac:dyDescent="0.25">
      <c r="D8" t="s">
        <v>1255</v>
      </c>
      <c r="E8" t="s">
        <v>1487</v>
      </c>
      <c r="F8" s="12" t="s">
        <v>1403</v>
      </c>
      <c r="G8" t="s">
        <v>186</v>
      </c>
      <c r="H8">
        <f>SUM(O8:CX8)</f>
        <v>14682</v>
      </c>
      <c r="I8">
        <f>COUNTIF(O8:CX8, "&gt;0")</f>
        <v>67</v>
      </c>
      <c r="J8">
        <v>2</v>
      </c>
      <c r="K8">
        <v>2</v>
      </c>
      <c r="L8" s="11">
        <f>H8/1310037</f>
        <v>1.120731704524376E-2</v>
      </c>
      <c r="M8" s="10">
        <f>I8/88</f>
        <v>0.76136363636363635</v>
      </c>
      <c r="N8" s="10">
        <f>(COUNTIF(CI8:CX8,"&gt;0")/16)</f>
        <v>6.25E-2</v>
      </c>
      <c r="O8">
        <v>15</v>
      </c>
      <c r="P8">
        <v>27</v>
      </c>
      <c r="Q8">
        <v>118</v>
      </c>
      <c r="R8">
        <v>135</v>
      </c>
      <c r="S8">
        <v>308</v>
      </c>
      <c r="T8">
        <v>29</v>
      </c>
      <c r="U8">
        <v>35</v>
      </c>
      <c r="V8">
        <v>49</v>
      </c>
      <c r="W8">
        <v>87</v>
      </c>
      <c r="X8">
        <v>33</v>
      </c>
      <c r="Y8">
        <v>776</v>
      </c>
      <c r="Z8">
        <v>54</v>
      </c>
      <c r="AA8">
        <v>167</v>
      </c>
      <c r="AB8">
        <v>284</v>
      </c>
      <c r="AC8">
        <v>111</v>
      </c>
      <c r="AD8">
        <v>20</v>
      </c>
      <c r="AE8">
        <v>56</v>
      </c>
      <c r="AF8">
        <v>25</v>
      </c>
      <c r="AG8">
        <v>131</v>
      </c>
      <c r="AH8">
        <v>70</v>
      </c>
      <c r="AI8">
        <v>0</v>
      </c>
      <c r="AJ8">
        <v>1923</v>
      </c>
      <c r="AK8">
        <v>370</v>
      </c>
      <c r="AL8">
        <v>1304</v>
      </c>
      <c r="AM8">
        <v>204</v>
      </c>
      <c r="AN8">
        <v>130</v>
      </c>
      <c r="AO8">
        <v>63</v>
      </c>
      <c r="AP8">
        <v>0</v>
      </c>
      <c r="AQ8">
        <v>33</v>
      </c>
      <c r="AR8">
        <v>209</v>
      </c>
      <c r="AS8">
        <v>28</v>
      </c>
      <c r="AT8">
        <v>10</v>
      </c>
      <c r="AU8">
        <v>15</v>
      </c>
      <c r="AV8">
        <v>25</v>
      </c>
      <c r="AW8">
        <v>265</v>
      </c>
      <c r="AX8">
        <v>75</v>
      </c>
      <c r="AY8">
        <v>0</v>
      </c>
      <c r="AZ8">
        <v>88</v>
      </c>
      <c r="BA8">
        <v>718</v>
      </c>
      <c r="BB8">
        <v>47</v>
      </c>
      <c r="BC8">
        <v>135</v>
      </c>
      <c r="BD8">
        <v>19</v>
      </c>
      <c r="BE8">
        <v>34</v>
      </c>
      <c r="BF8">
        <v>99</v>
      </c>
      <c r="BG8">
        <v>19</v>
      </c>
      <c r="BH8">
        <v>214</v>
      </c>
      <c r="BI8">
        <v>0</v>
      </c>
      <c r="BJ8">
        <v>0</v>
      </c>
      <c r="BK8">
        <v>208</v>
      </c>
      <c r="BL8">
        <v>83</v>
      </c>
      <c r="BM8">
        <v>284</v>
      </c>
      <c r="BN8">
        <v>93</v>
      </c>
      <c r="BO8">
        <v>169</v>
      </c>
      <c r="BP8">
        <v>71</v>
      </c>
      <c r="BQ8">
        <v>570</v>
      </c>
      <c r="BR8">
        <v>203</v>
      </c>
      <c r="BS8">
        <v>48</v>
      </c>
      <c r="BT8">
        <v>26</v>
      </c>
      <c r="BU8">
        <v>17</v>
      </c>
      <c r="BV8">
        <v>57</v>
      </c>
      <c r="BW8">
        <v>0</v>
      </c>
      <c r="BX8">
        <v>233</v>
      </c>
      <c r="BY8">
        <v>26</v>
      </c>
      <c r="BZ8">
        <v>125</v>
      </c>
      <c r="CA8">
        <v>83</v>
      </c>
      <c r="CB8">
        <v>180</v>
      </c>
      <c r="CC8">
        <v>915</v>
      </c>
      <c r="CD8">
        <v>1312</v>
      </c>
      <c r="CE8">
        <v>949</v>
      </c>
      <c r="CF8">
        <v>142</v>
      </c>
      <c r="CG8">
        <v>230</v>
      </c>
      <c r="CH8">
        <v>90</v>
      </c>
      <c r="CI8">
        <v>0</v>
      </c>
      <c r="CJ8">
        <v>0</v>
      </c>
      <c r="CK8">
        <v>0</v>
      </c>
      <c r="CL8">
        <v>0</v>
      </c>
      <c r="CM8">
        <v>11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</row>
    <row r="9" spans="1:102" x14ac:dyDescent="0.25">
      <c r="D9" t="s">
        <v>1227</v>
      </c>
      <c r="E9" t="s">
        <v>1492</v>
      </c>
      <c r="F9" s="12" t="s">
        <v>1403</v>
      </c>
      <c r="G9" t="s">
        <v>195</v>
      </c>
      <c r="H9">
        <f>SUM(O9:CX9)</f>
        <v>14504</v>
      </c>
      <c r="I9">
        <f>COUNTIF(O9:CX9, "&gt;0")</f>
        <v>41</v>
      </c>
      <c r="J9">
        <v>7</v>
      </c>
      <c r="K9">
        <v>7</v>
      </c>
      <c r="L9" s="11">
        <f>H9/1310037</f>
        <v>1.107144302031164E-2</v>
      </c>
      <c r="M9" s="10">
        <f>I9/88</f>
        <v>0.46590909090909088</v>
      </c>
      <c r="N9" s="10">
        <f>(COUNTIF(CI9:CX9,"&gt;0")/16)</f>
        <v>0.625</v>
      </c>
      <c r="O9">
        <v>0</v>
      </c>
      <c r="P9">
        <v>0</v>
      </c>
      <c r="Q9">
        <v>0</v>
      </c>
      <c r="R9">
        <v>3</v>
      </c>
      <c r="S9">
        <v>0</v>
      </c>
      <c r="T9">
        <v>0</v>
      </c>
      <c r="U9">
        <v>987</v>
      </c>
      <c r="V9">
        <v>756</v>
      </c>
      <c r="W9">
        <v>1255</v>
      </c>
      <c r="X9">
        <v>0</v>
      </c>
      <c r="Y9">
        <v>0</v>
      </c>
      <c r="Z9">
        <v>0</v>
      </c>
      <c r="AA9">
        <v>0</v>
      </c>
      <c r="AB9">
        <v>51</v>
      </c>
      <c r="AC9">
        <v>0</v>
      </c>
      <c r="AD9">
        <v>84</v>
      </c>
      <c r="AE9">
        <v>538</v>
      </c>
      <c r="AF9">
        <v>135</v>
      </c>
      <c r="AG9">
        <v>0</v>
      </c>
      <c r="AH9">
        <v>0</v>
      </c>
      <c r="AI9">
        <v>0</v>
      </c>
      <c r="AJ9">
        <v>41</v>
      </c>
      <c r="AK9">
        <v>0</v>
      </c>
      <c r="AL9">
        <v>4</v>
      </c>
      <c r="AM9">
        <v>108</v>
      </c>
      <c r="AN9">
        <v>101</v>
      </c>
      <c r="AO9">
        <v>663</v>
      </c>
      <c r="AP9">
        <v>0</v>
      </c>
      <c r="AQ9">
        <v>0</v>
      </c>
      <c r="AR9">
        <v>0</v>
      </c>
      <c r="AS9">
        <v>8</v>
      </c>
      <c r="AT9">
        <v>0</v>
      </c>
      <c r="AU9">
        <v>0</v>
      </c>
      <c r="AV9">
        <v>0</v>
      </c>
      <c r="AW9">
        <v>80</v>
      </c>
      <c r="AX9">
        <v>0</v>
      </c>
      <c r="AY9">
        <v>0</v>
      </c>
      <c r="AZ9">
        <v>0</v>
      </c>
      <c r="BA9">
        <v>0</v>
      </c>
      <c r="BB9">
        <v>0</v>
      </c>
      <c r="BC9">
        <v>11</v>
      </c>
      <c r="BD9">
        <v>60</v>
      </c>
      <c r="BE9">
        <v>56</v>
      </c>
      <c r="BF9">
        <v>263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55</v>
      </c>
      <c r="BO9">
        <v>83</v>
      </c>
      <c r="BP9">
        <v>25</v>
      </c>
      <c r="BQ9">
        <v>21</v>
      </c>
      <c r="BR9">
        <v>0</v>
      </c>
      <c r="BS9">
        <v>0</v>
      </c>
      <c r="BT9">
        <v>0</v>
      </c>
      <c r="BU9">
        <v>0</v>
      </c>
      <c r="BV9">
        <v>0</v>
      </c>
      <c r="BW9">
        <v>70</v>
      </c>
      <c r="BX9">
        <v>360</v>
      </c>
      <c r="BY9">
        <v>56</v>
      </c>
      <c r="BZ9">
        <v>0</v>
      </c>
      <c r="CA9">
        <v>0</v>
      </c>
      <c r="CB9">
        <v>97</v>
      </c>
      <c r="CC9">
        <v>23</v>
      </c>
      <c r="CD9">
        <v>0</v>
      </c>
      <c r="CE9">
        <v>0</v>
      </c>
      <c r="CF9">
        <v>549</v>
      </c>
      <c r="CG9">
        <v>1354</v>
      </c>
      <c r="CH9">
        <v>318</v>
      </c>
      <c r="CI9">
        <v>15</v>
      </c>
      <c r="CJ9">
        <v>46</v>
      </c>
      <c r="CK9">
        <v>0</v>
      </c>
      <c r="CL9">
        <v>137</v>
      </c>
      <c r="CM9">
        <v>0</v>
      </c>
      <c r="CN9">
        <v>39</v>
      </c>
      <c r="CO9">
        <v>27</v>
      </c>
      <c r="CP9">
        <v>9</v>
      </c>
      <c r="CQ9">
        <v>0</v>
      </c>
      <c r="CR9">
        <v>5</v>
      </c>
      <c r="CS9">
        <v>0</v>
      </c>
      <c r="CT9">
        <v>3</v>
      </c>
      <c r="CU9">
        <v>0</v>
      </c>
      <c r="CV9">
        <v>5899</v>
      </c>
      <c r="CW9">
        <v>109</v>
      </c>
      <c r="CX9">
        <v>0</v>
      </c>
    </row>
    <row r="10" spans="1:102" x14ac:dyDescent="0.25">
      <c r="D10" t="s">
        <v>1274</v>
      </c>
      <c r="E10" t="s">
        <v>1489</v>
      </c>
      <c r="F10" s="12" t="s">
        <v>1403</v>
      </c>
      <c r="G10" t="s">
        <v>209</v>
      </c>
      <c r="H10">
        <f>SUM(O10:CX10)</f>
        <v>13145</v>
      </c>
      <c r="I10">
        <f>COUNTIF(O10:CX10, "&gt;0")</f>
        <v>54</v>
      </c>
      <c r="J10">
        <v>3</v>
      </c>
      <c r="K10">
        <v>4</v>
      </c>
      <c r="L10" s="11">
        <f>H10/1310037</f>
        <v>1.0034067740071463E-2</v>
      </c>
      <c r="M10" s="10">
        <f>I10/88</f>
        <v>0.61363636363636365</v>
      </c>
      <c r="N10" s="10">
        <f>(COUNTIF(CI10:CX10,"&gt;0")/16)</f>
        <v>0.625</v>
      </c>
      <c r="O10">
        <v>3</v>
      </c>
      <c r="P10">
        <v>0</v>
      </c>
      <c r="Q10">
        <v>8</v>
      </c>
      <c r="R10">
        <v>4</v>
      </c>
      <c r="S10">
        <v>0</v>
      </c>
      <c r="T10">
        <v>4</v>
      </c>
      <c r="U10">
        <v>88</v>
      </c>
      <c r="V10">
        <v>160</v>
      </c>
      <c r="W10">
        <v>129</v>
      </c>
      <c r="X10">
        <v>0</v>
      </c>
      <c r="Y10">
        <v>0</v>
      </c>
      <c r="Z10">
        <v>0</v>
      </c>
      <c r="AA10">
        <v>11</v>
      </c>
      <c r="AB10">
        <v>20</v>
      </c>
      <c r="AC10">
        <v>22</v>
      </c>
      <c r="AD10">
        <v>939</v>
      </c>
      <c r="AE10">
        <v>118</v>
      </c>
      <c r="AF10">
        <v>56</v>
      </c>
      <c r="AG10">
        <v>0</v>
      </c>
      <c r="AH10">
        <v>0</v>
      </c>
      <c r="AI10">
        <v>0</v>
      </c>
      <c r="AJ10">
        <v>20</v>
      </c>
      <c r="AK10">
        <v>0</v>
      </c>
      <c r="AL10">
        <v>28</v>
      </c>
      <c r="AM10">
        <v>72</v>
      </c>
      <c r="AN10">
        <v>56</v>
      </c>
      <c r="AO10">
        <v>56</v>
      </c>
      <c r="AP10">
        <v>100</v>
      </c>
      <c r="AQ10">
        <v>0</v>
      </c>
      <c r="AR10">
        <v>0</v>
      </c>
      <c r="AS10">
        <v>4</v>
      </c>
      <c r="AT10">
        <v>0</v>
      </c>
      <c r="AU10">
        <v>5</v>
      </c>
      <c r="AV10">
        <v>22</v>
      </c>
      <c r="AW10">
        <v>154</v>
      </c>
      <c r="AX10">
        <v>33</v>
      </c>
      <c r="AY10">
        <v>0</v>
      </c>
      <c r="AZ10">
        <v>0</v>
      </c>
      <c r="BA10">
        <v>0</v>
      </c>
      <c r="BB10">
        <v>37</v>
      </c>
      <c r="BC10">
        <v>56</v>
      </c>
      <c r="BD10">
        <v>1322</v>
      </c>
      <c r="BE10">
        <v>43</v>
      </c>
      <c r="BF10">
        <v>267</v>
      </c>
      <c r="BG10">
        <v>31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37</v>
      </c>
      <c r="BO10">
        <v>58</v>
      </c>
      <c r="BP10">
        <v>51</v>
      </c>
      <c r="BQ10">
        <v>0</v>
      </c>
      <c r="BR10">
        <v>0</v>
      </c>
      <c r="BS10">
        <v>0</v>
      </c>
      <c r="BT10">
        <v>4</v>
      </c>
      <c r="BU10">
        <v>0</v>
      </c>
      <c r="BV10">
        <v>0</v>
      </c>
      <c r="BW10">
        <v>14</v>
      </c>
      <c r="BX10">
        <v>128</v>
      </c>
      <c r="BY10">
        <v>29</v>
      </c>
      <c r="BZ10">
        <v>0</v>
      </c>
      <c r="CA10">
        <v>39</v>
      </c>
      <c r="CB10">
        <v>0</v>
      </c>
      <c r="CC10">
        <v>35</v>
      </c>
      <c r="CD10">
        <v>27</v>
      </c>
      <c r="CE10">
        <v>42</v>
      </c>
      <c r="CF10">
        <v>738</v>
      </c>
      <c r="CG10">
        <v>275</v>
      </c>
      <c r="CH10">
        <v>97</v>
      </c>
      <c r="CI10">
        <v>0</v>
      </c>
      <c r="CJ10">
        <v>365</v>
      </c>
      <c r="CK10">
        <v>37</v>
      </c>
      <c r="CL10">
        <v>1096</v>
      </c>
      <c r="CM10">
        <v>0</v>
      </c>
      <c r="CN10">
        <v>118</v>
      </c>
      <c r="CO10">
        <v>151</v>
      </c>
      <c r="CP10">
        <v>678</v>
      </c>
      <c r="CQ10">
        <v>0</v>
      </c>
      <c r="CR10">
        <v>9</v>
      </c>
      <c r="CS10">
        <v>5108</v>
      </c>
      <c r="CT10">
        <v>0</v>
      </c>
      <c r="CU10">
        <v>0</v>
      </c>
      <c r="CV10">
        <v>0</v>
      </c>
      <c r="CW10">
        <v>134</v>
      </c>
      <c r="CX10">
        <v>7</v>
      </c>
    </row>
    <row r="11" spans="1:102" x14ac:dyDescent="0.25">
      <c r="D11" t="s">
        <v>1043</v>
      </c>
      <c r="E11" t="s">
        <v>1579</v>
      </c>
      <c r="F11" s="12" t="s">
        <v>1403</v>
      </c>
      <c r="G11" t="s">
        <v>241</v>
      </c>
      <c r="H11">
        <f>SUM(O11:CX11)</f>
        <v>3616</v>
      </c>
      <c r="I11">
        <f>COUNTIF(O11:CX11, "&gt;0")</f>
        <v>26</v>
      </c>
      <c r="J11">
        <v>182</v>
      </c>
      <c r="K11">
        <v>94</v>
      </c>
      <c r="L11" s="11">
        <f>H11/1310037</f>
        <v>2.7602273828907123E-3</v>
      </c>
      <c r="M11" s="10">
        <f>I11/88</f>
        <v>0.29545454545454547</v>
      </c>
      <c r="N11" s="10">
        <f>(COUNTIF(CI11:CX11,"&gt;0")/16)</f>
        <v>0.125</v>
      </c>
      <c r="O11">
        <v>22</v>
      </c>
      <c r="P11">
        <v>0</v>
      </c>
      <c r="Q11">
        <v>205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26</v>
      </c>
      <c r="Y11">
        <v>0</v>
      </c>
      <c r="Z11">
        <v>31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173</v>
      </c>
      <c r="AH11">
        <v>561</v>
      </c>
      <c r="AI11">
        <v>49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12</v>
      </c>
      <c r="AR11">
        <v>24</v>
      </c>
      <c r="AS11">
        <v>0</v>
      </c>
      <c r="AT11">
        <v>0</v>
      </c>
      <c r="AU11">
        <v>0</v>
      </c>
      <c r="AV11">
        <v>0</v>
      </c>
      <c r="AW11">
        <v>4</v>
      </c>
      <c r="AX11">
        <v>0</v>
      </c>
      <c r="AY11">
        <v>137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189</v>
      </c>
      <c r="BI11">
        <v>8</v>
      </c>
      <c r="BJ11">
        <v>759</v>
      </c>
      <c r="BK11">
        <v>0</v>
      </c>
      <c r="BL11">
        <v>0</v>
      </c>
      <c r="BM11">
        <v>42</v>
      </c>
      <c r="BN11">
        <v>10</v>
      </c>
      <c r="BO11">
        <v>18</v>
      </c>
      <c r="BP11">
        <v>13</v>
      </c>
      <c r="BQ11">
        <v>636</v>
      </c>
      <c r="BR11">
        <v>30</v>
      </c>
      <c r="BS11">
        <v>93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307</v>
      </c>
      <c r="CB11">
        <v>226</v>
      </c>
      <c r="CC11">
        <v>5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14</v>
      </c>
      <c r="CS11">
        <v>0</v>
      </c>
      <c r="CT11">
        <v>22</v>
      </c>
      <c r="CU11">
        <v>0</v>
      </c>
      <c r="CV11">
        <v>0</v>
      </c>
      <c r="CW11">
        <v>0</v>
      </c>
      <c r="CX11">
        <v>0</v>
      </c>
    </row>
    <row r="12" spans="1:102" x14ac:dyDescent="0.25">
      <c r="D12" t="s">
        <v>1031</v>
      </c>
      <c r="E12" t="s">
        <v>1624</v>
      </c>
      <c r="F12" s="12" t="s">
        <v>1403</v>
      </c>
      <c r="G12" t="s">
        <v>246</v>
      </c>
      <c r="H12">
        <f>SUM(O12:CX12)</f>
        <v>3213</v>
      </c>
      <c r="I12">
        <f>COUNTIF(O12:CX12, "&gt;0")</f>
        <v>4</v>
      </c>
      <c r="J12">
        <v>144</v>
      </c>
      <c r="K12">
        <v>139</v>
      </c>
      <c r="L12" s="11">
        <f>H12/1310037</f>
        <v>2.4526024837466425E-3</v>
      </c>
      <c r="M12" s="10">
        <f>I12/88</f>
        <v>4.5454545454545456E-2</v>
      </c>
      <c r="N12" s="10">
        <f>(COUNTIF(CI12:CX12,"&gt;0")/16)</f>
        <v>0.1875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22</v>
      </c>
      <c r="CI12">
        <v>0</v>
      </c>
      <c r="CJ12">
        <v>2766</v>
      </c>
      <c r="CK12">
        <v>0</v>
      </c>
      <c r="CL12">
        <v>416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9</v>
      </c>
      <c r="CW12">
        <v>0</v>
      </c>
      <c r="CX12">
        <v>0</v>
      </c>
    </row>
    <row r="13" spans="1:102" x14ac:dyDescent="0.25">
      <c r="D13" t="s">
        <v>1300</v>
      </c>
      <c r="E13" t="s">
        <v>1542</v>
      </c>
      <c r="F13" s="12" t="s">
        <v>1403</v>
      </c>
      <c r="G13" t="s">
        <v>212</v>
      </c>
      <c r="H13">
        <f>SUM(O13:CX13)</f>
        <v>1637</v>
      </c>
      <c r="I13">
        <f>COUNTIF(O13:CX13, "&gt;0")</f>
        <v>46</v>
      </c>
      <c r="J13">
        <v>119</v>
      </c>
      <c r="K13">
        <v>57</v>
      </c>
      <c r="L13" s="11">
        <f>H13/1310037</f>
        <v>1.2495830270442742E-3</v>
      </c>
      <c r="M13" s="10">
        <f>I13/88</f>
        <v>0.52272727272727271</v>
      </c>
      <c r="N13" s="10">
        <f>(COUNTIF(CI13:CX13,"&gt;0")/16)</f>
        <v>0</v>
      </c>
      <c r="O13">
        <v>0</v>
      </c>
      <c r="P13">
        <v>0</v>
      </c>
      <c r="Q13">
        <v>0</v>
      </c>
      <c r="R13">
        <v>86</v>
      </c>
      <c r="S13">
        <v>11</v>
      </c>
      <c r="T13">
        <v>39</v>
      </c>
      <c r="U13">
        <v>22</v>
      </c>
      <c r="V13">
        <v>7</v>
      </c>
      <c r="W13">
        <v>17</v>
      </c>
      <c r="X13">
        <v>0</v>
      </c>
      <c r="Y13">
        <v>0</v>
      </c>
      <c r="Z13">
        <v>0</v>
      </c>
      <c r="AA13">
        <v>7</v>
      </c>
      <c r="AB13">
        <v>11</v>
      </c>
      <c r="AC13">
        <v>47</v>
      </c>
      <c r="AD13">
        <v>20</v>
      </c>
      <c r="AE13">
        <v>19</v>
      </c>
      <c r="AF13">
        <v>27</v>
      </c>
      <c r="AG13">
        <v>0</v>
      </c>
      <c r="AH13">
        <v>0</v>
      </c>
      <c r="AI13">
        <v>0</v>
      </c>
      <c r="AJ13">
        <v>76</v>
      </c>
      <c r="AK13">
        <v>20</v>
      </c>
      <c r="AL13">
        <v>28</v>
      </c>
      <c r="AM13">
        <v>30</v>
      </c>
      <c r="AN13">
        <v>34</v>
      </c>
      <c r="AO13">
        <v>45</v>
      </c>
      <c r="AP13">
        <v>0</v>
      </c>
      <c r="AQ13">
        <v>0</v>
      </c>
      <c r="AR13">
        <v>70</v>
      </c>
      <c r="AS13">
        <v>8</v>
      </c>
      <c r="AT13">
        <v>17</v>
      </c>
      <c r="AU13">
        <v>33</v>
      </c>
      <c r="AV13">
        <v>19</v>
      </c>
      <c r="AW13">
        <v>44</v>
      </c>
      <c r="AX13">
        <v>74</v>
      </c>
      <c r="AY13">
        <v>0</v>
      </c>
      <c r="AZ13">
        <v>0</v>
      </c>
      <c r="BA13">
        <v>0</v>
      </c>
      <c r="BB13">
        <v>17</v>
      </c>
      <c r="BC13">
        <v>47</v>
      </c>
      <c r="BD13">
        <v>18</v>
      </c>
      <c r="BE13">
        <v>35</v>
      </c>
      <c r="BF13">
        <v>23</v>
      </c>
      <c r="BG13">
        <v>28</v>
      </c>
      <c r="BH13">
        <v>0</v>
      </c>
      <c r="BI13">
        <v>0</v>
      </c>
      <c r="BJ13">
        <v>0</v>
      </c>
      <c r="BK13">
        <v>0</v>
      </c>
      <c r="BL13">
        <v>35</v>
      </c>
      <c r="BM13">
        <v>0</v>
      </c>
      <c r="BN13">
        <v>32</v>
      </c>
      <c r="BO13">
        <v>47</v>
      </c>
      <c r="BP13">
        <v>54</v>
      </c>
      <c r="BQ13">
        <v>0</v>
      </c>
      <c r="BR13">
        <v>0</v>
      </c>
      <c r="BS13">
        <v>0</v>
      </c>
      <c r="BT13">
        <v>8</v>
      </c>
      <c r="BU13">
        <v>15</v>
      </c>
      <c r="BV13">
        <v>18</v>
      </c>
      <c r="BW13">
        <v>0</v>
      </c>
      <c r="BX13">
        <v>23</v>
      </c>
      <c r="BY13">
        <v>11</v>
      </c>
      <c r="BZ13">
        <v>0</v>
      </c>
      <c r="CA13">
        <v>0</v>
      </c>
      <c r="CB13">
        <v>0</v>
      </c>
      <c r="CC13">
        <v>55</v>
      </c>
      <c r="CD13">
        <v>104</v>
      </c>
      <c r="CE13">
        <v>40</v>
      </c>
      <c r="CF13">
        <v>83</v>
      </c>
      <c r="CG13">
        <v>94</v>
      </c>
      <c r="CH13">
        <v>39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</row>
    <row r="14" spans="1:102" x14ac:dyDescent="0.25">
      <c r="D14" t="s">
        <v>1264</v>
      </c>
      <c r="E14" t="s">
        <v>1491</v>
      </c>
      <c r="F14" s="12" t="s">
        <v>1403</v>
      </c>
      <c r="G14" t="s">
        <v>189</v>
      </c>
      <c r="H14">
        <f>SUM(O14:CX14)</f>
        <v>1172</v>
      </c>
      <c r="I14">
        <f>COUNTIF(O14:CX14, "&gt;0")</f>
        <v>32</v>
      </c>
      <c r="J14">
        <v>8</v>
      </c>
      <c r="K14">
        <v>6</v>
      </c>
      <c r="L14" s="11">
        <f>H14/1310037</f>
        <v>8.9463122033957819E-4</v>
      </c>
      <c r="M14" s="10">
        <f>I14/88</f>
        <v>0.36363636363636365</v>
      </c>
      <c r="N14" s="10">
        <f>(COUNTIF(CI14:CX14,"&gt;0")/16)</f>
        <v>0.25</v>
      </c>
      <c r="O14">
        <v>0</v>
      </c>
      <c r="P14">
        <v>0</v>
      </c>
      <c r="Q14">
        <v>0</v>
      </c>
      <c r="R14">
        <v>0</v>
      </c>
      <c r="S14">
        <v>0</v>
      </c>
      <c r="T14">
        <v>5</v>
      </c>
      <c r="U14">
        <v>0</v>
      </c>
      <c r="V14">
        <v>0</v>
      </c>
      <c r="W14">
        <v>0</v>
      </c>
      <c r="X14">
        <v>9</v>
      </c>
      <c r="Y14">
        <v>0</v>
      </c>
      <c r="Z14">
        <v>0</v>
      </c>
      <c r="AA14">
        <v>0</v>
      </c>
      <c r="AB14">
        <v>12</v>
      </c>
      <c r="AC14">
        <v>0</v>
      </c>
      <c r="AD14">
        <v>0</v>
      </c>
      <c r="AE14">
        <v>12</v>
      </c>
      <c r="AF14">
        <v>11</v>
      </c>
      <c r="AG14">
        <v>44</v>
      </c>
      <c r="AH14">
        <v>0</v>
      </c>
      <c r="AI14">
        <v>0</v>
      </c>
      <c r="AJ14">
        <v>47</v>
      </c>
      <c r="AK14">
        <v>0</v>
      </c>
      <c r="AL14">
        <v>24</v>
      </c>
      <c r="AM14">
        <v>38</v>
      </c>
      <c r="AN14">
        <v>26</v>
      </c>
      <c r="AO14">
        <v>8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18</v>
      </c>
      <c r="AX14">
        <v>0</v>
      </c>
      <c r="AY14">
        <v>39</v>
      </c>
      <c r="AZ14">
        <v>52</v>
      </c>
      <c r="BA14">
        <v>0</v>
      </c>
      <c r="BB14">
        <v>0</v>
      </c>
      <c r="BC14">
        <v>10</v>
      </c>
      <c r="BD14">
        <v>0</v>
      </c>
      <c r="BE14">
        <v>0</v>
      </c>
      <c r="BF14">
        <v>32</v>
      </c>
      <c r="BG14">
        <v>0</v>
      </c>
      <c r="BH14">
        <v>12</v>
      </c>
      <c r="BI14">
        <v>15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34</v>
      </c>
      <c r="BP14">
        <v>14</v>
      </c>
      <c r="BQ14">
        <v>301</v>
      </c>
      <c r="BR14">
        <v>0</v>
      </c>
      <c r="BS14">
        <v>44</v>
      </c>
      <c r="BT14">
        <v>0</v>
      </c>
      <c r="BU14">
        <v>0</v>
      </c>
      <c r="BV14">
        <v>0</v>
      </c>
      <c r="BW14">
        <v>0</v>
      </c>
      <c r="BX14">
        <v>18</v>
      </c>
      <c r="BY14">
        <v>0</v>
      </c>
      <c r="BZ14">
        <v>0</v>
      </c>
      <c r="CA14">
        <v>167</v>
      </c>
      <c r="CB14">
        <v>14</v>
      </c>
      <c r="CC14">
        <v>31</v>
      </c>
      <c r="CD14">
        <v>51</v>
      </c>
      <c r="CE14">
        <v>24</v>
      </c>
      <c r="CF14">
        <v>0</v>
      </c>
      <c r="CG14">
        <v>0</v>
      </c>
      <c r="CH14">
        <v>0</v>
      </c>
      <c r="CI14">
        <v>0</v>
      </c>
      <c r="CJ14">
        <v>3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6</v>
      </c>
      <c r="CS14">
        <v>0</v>
      </c>
      <c r="CT14">
        <v>0</v>
      </c>
      <c r="CU14">
        <v>0</v>
      </c>
      <c r="CV14">
        <v>36</v>
      </c>
      <c r="CW14">
        <v>0</v>
      </c>
      <c r="CX14">
        <v>15</v>
      </c>
    </row>
    <row r="15" spans="1:102" x14ac:dyDescent="0.25">
      <c r="D15" t="s">
        <v>1197</v>
      </c>
      <c r="E15" t="s">
        <v>1581</v>
      </c>
      <c r="F15" s="12" t="s">
        <v>1403</v>
      </c>
      <c r="G15" t="s">
        <v>224</v>
      </c>
      <c r="H15">
        <f>SUM(O15:CX15)</f>
        <v>1144</v>
      </c>
      <c r="I15">
        <f>COUNTIF(O15:CX15, "&gt;0")</f>
        <v>4</v>
      </c>
      <c r="J15">
        <v>63</v>
      </c>
      <c r="K15">
        <v>96</v>
      </c>
      <c r="L15" s="11">
        <f>H15/1310037</f>
        <v>8.732577782154244E-4</v>
      </c>
      <c r="M15" s="10">
        <f>I15/88</f>
        <v>4.5454545454545456E-2</v>
      </c>
      <c r="N15" s="10">
        <f>(COUNTIF(CI15:CX15,"&gt;0")/16)</f>
        <v>6.25E-2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71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2</v>
      </c>
      <c r="CI15">
        <v>1061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</row>
    <row r="16" spans="1:102" x14ac:dyDescent="0.25">
      <c r="D16" t="s">
        <v>1111</v>
      </c>
      <c r="E16" t="s">
        <v>1493</v>
      </c>
      <c r="F16" s="12" t="s">
        <v>1403</v>
      </c>
      <c r="G16" t="s">
        <v>201</v>
      </c>
      <c r="H16">
        <f>SUM(O16:CX16)</f>
        <v>1013</v>
      </c>
      <c r="I16">
        <f>COUNTIF(O16:CX16, "&gt;0")</f>
        <v>38</v>
      </c>
      <c r="J16">
        <v>4</v>
      </c>
      <c r="K16">
        <v>8</v>
      </c>
      <c r="L16" s="11">
        <f>H16/1310037</f>
        <v>7.7326060256313373E-4</v>
      </c>
      <c r="M16" s="10">
        <f>I16/88</f>
        <v>0.43181818181818182</v>
      </c>
      <c r="N16" s="10">
        <f>(COUNTIF(CI16:CX16,"&gt;0")/16)</f>
        <v>0</v>
      </c>
      <c r="O16">
        <v>0</v>
      </c>
      <c r="P16">
        <v>0</v>
      </c>
      <c r="Q16">
        <v>0</v>
      </c>
      <c r="R16">
        <v>19</v>
      </c>
      <c r="S16">
        <v>85</v>
      </c>
      <c r="T16">
        <v>11</v>
      </c>
      <c r="U16">
        <v>5</v>
      </c>
      <c r="V16">
        <v>11</v>
      </c>
      <c r="W16">
        <v>14</v>
      </c>
      <c r="X16">
        <v>0</v>
      </c>
      <c r="Y16">
        <v>0</v>
      </c>
      <c r="Z16">
        <v>0</v>
      </c>
      <c r="AA16">
        <v>0</v>
      </c>
      <c r="AB16">
        <v>14</v>
      </c>
      <c r="AC16">
        <v>12</v>
      </c>
      <c r="AD16">
        <v>12</v>
      </c>
      <c r="AE16">
        <v>15</v>
      </c>
      <c r="AF16">
        <v>0</v>
      </c>
      <c r="AG16">
        <v>0</v>
      </c>
      <c r="AH16">
        <v>0</v>
      </c>
      <c r="AI16">
        <v>0</v>
      </c>
      <c r="AJ16">
        <v>28</v>
      </c>
      <c r="AK16">
        <v>17</v>
      </c>
      <c r="AL16">
        <v>23</v>
      </c>
      <c r="AM16">
        <v>17</v>
      </c>
      <c r="AN16">
        <v>0</v>
      </c>
      <c r="AO16">
        <v>18</v>
      </c>
      <c r="AP16">
        <v>0</v>
      </c>
      <c r="AQ16">
        <v>0</v>
      </c>
      <c r="AR16">
        <v>0</v>
      </c>
      <c r="AS16">
        <v>5</v>
      </c>
      <c r="AT16">
        <v>6</v>
      </c>
      <c r="AU16">
        <v>34</v>
      </c>
      <c r="AV16">
        <v>0</v>
      </c>
      <c r="AW16">
        <v>35</v>
      </c>
      <c r="AX16">
        <v>0</v>
      </c>
      <c r="AY16">
        <v>0</v>
      </c>
      <c r="AZ16">
        <v>0</v>
      </c>
      <c r="BA16">
        <v>0</v>
      </c>
      <c r="BB16">
        <v>20</v>
      </c>
      <c r="BC16">
        <v>43</v>
      </c>
      <c r="BD16">
        <v>14</v>
      </c>
      <c r="BE16">
        <v>11</v>
      </c>
      <c r="BF16">
        <v>31</v>
      </c>
      <c r="BG16">
        <v>0</v>
      </c>
      <c r="BH16">
        <v>0</v>
      </c>
      <c r="BI16">
        <v>0</v>
      </c>
      <c r="BJ16">
        <v>0</v>
      </c>
      <c r="BK16">
        <v>55</v>
      </c>
      <c r="BL16">
        <v>32</v>
      </c>
      <c r="BM16">
        <v>0</v>
      </c>
      <c r="BN16">
        <v>17</v>
      </c>
      <c r="BO16">
        <v>35</v>
      </c>
      <c r="BP16">
        <v>0</v>
      </c>
      <c r="BQ16">
        <v>0</v>
      </c>
      <c r="BR16">
        <v>0</v>
      </c>
      <c r="BS16">
        <v>102</v>
      </c>
      <c r="BT16">
        <v>7</v>
      </c>
      <c r="BU16">
        <v>0</v>
      </c>
      <c r="BV16">
        <v>10</v>
      </c>
      <c r="BW16">
        <v>0</v>
      </c>
      <c r="BX16">
        <v>29</v>
      </c>
      <c r="BY16">
        <v>0</v>
      </c>
      <c r="BZ16">
        <v>0</v>
      </c>
      <c r="CA16">
        <v>0</v>
      </c>
      <c r="CB16">
        <v>0</v>
      </c>
      <c r="CC16">
        <v>27</v>
      </c>
      <c r="CD16">
        <v>63</v>
      </c>
      <c r="CE16">
        <v>57</v>
      </c>
      <c r="CF16">
        <v>39</v>
      </c>
      <c r="CG16">
        <v>36</v>
      </c>
      <c r="CH16">
        <v>4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</row>
    <row r="17" spans="4:102" x14ac:dyDescent="0.25">
      <c r="D17" s="8" t="s">
        <v>1036</v>
      </c>
      <c r="E17" t="s">
        <v>1538</v>
      </c>
      <c r="F17" s="12" t="s">
        <v>1403</v>
      </c>
      <c r="G17" t="s">
        <v>227</v>
      </c>
      <c r="H17">
        <f>SUM(O17:CX17)</f>
        <v>898</v>
      </c>
      <c r="I17">
        <f>COUNTIF(O17:CX17, "&gt;0")</f>
        <v>14</v>
      </c>
      <c r="J17">
        <v>24</v>
      </c>
      <c r="K17">
        <v>53</v>
      </c>
      <c r="L17" s="11">
        <f>H17/1310037</f>
        <v>6.854768224103594E-4</v>
      </c>
      <c r="M17" s="10">
        <f>I17/88</f>
        <v>0.15909090909090909</v>
      </c>
      <c r="N17" s="10">
        <f>(COUNTIF(CI17:CX17,"&gt;0")/16)</f>
        <v>0.125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26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21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7</v>
      </c>
      <c r="AU17">
        <v>0</v>
      </c>
      <c r="AV17">
        <v>0</v>
      </c>
      <c r="AW17">
        <v>122</v>
      </c>
      <c r="AX17">
        <v>37</v>
      </c>
      <c r="AY17">
        <v>50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165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208</v>
      </c>
      <c r="CA17">
        <v>93</v>
      </c>
      <c r="CB17">
        <v>0</v>
      </c>
      <c r="CC17">
        <v>0</v>
      </c>
      <c r="CD17">
        <v>0</v>
      </c>
      <c r="CE17">
        <v>0</v>
      </c>
      <c r="CF17">
        <v>88</v>
      </c>
      <c r="CG17">
        <v>25</v>
      </c>
      <c r="CH17">
        <v>0</v>
      </c>
      <c r="CI17">
        <v>0</v>
      </c>
      <c r="CJ17">
        <v>20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25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</row>
    <row r="18" spans="4:102" x14ac:dyDescent="0.25">
      <c r="D18" t="s">
        <v>1290</v>
      </c>
      <c r="E18" t="s">
        <v>1562</v>
      </c>
      <c r="F18" s="12" t="s">
        <v>1403</v>
      </c>
      <c r="G18" t="s">
        <v>238</v>
      </c>
      <c r="H18">
        <f>SUM(O18:CX18)</f>
        <v>555</v>
      </c>
      <c r="I18">
        <f>COUNTIF(O18:CX18, "&gt;0")</f>
        <v>7</v>
      </c>
      <c r="J18">
        <v>83</v>
      </c>
      <c r="K18">
        <v>77</v>
      </c>
      <c r="L18" s="11">
        <f>H18/1310037</f>
        <v>4.2365215638947602E-4</v>
      </c>
      <c r="M18" s="10">
        <f>I18/88</f>
        <v>7.9545454545454544E-2</v>
      </c>
      <c r="N18" s="10">
        <f>(COUNTIF(CI18:CX18,"&gt;0")/16)</f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277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136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35</v>
      </c>
      <c r="AY18">
        <v>0</v>
      </c>
      <c r="AZ18">
        <v>0</v>
      </c>
      <c r="BA18">
        <v>0</v>
      </c>
      <c r="BB18">
        <v>0</v>
      </c>
      <c r="BC18">
        <v>29</v>
      </c>
      <c r="BD18">
        <v>0</v>
      </c>
      <c r="BE18">
        <v>0</v>
      </c>
      <c r="BF18">
        <v>41</v>
      </c>
      <c r="BG18">
        <v>0</v>
      </c>
      <c r="BH18">
        <v>0</v>
      </c>
      <c r="BI18">
        <v>11</v>
      </c>
      <c r="BJ18">
        <v>0</v>
      </c>
      <c r="BK18">
        <v>0</v>
      </c>
      <c r="BL18">
        <v>0</v>
      </c>
      <c r="BM18">
        <v>26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</row>
    <row r="19" spans="4:102" x14ac:dyDescent="0.25">
      <c r="D19" t="s">
        <v>1388</v>
      </c>
      <c r="E19" t="s">
        <v>1665</v>
      </c>
      <c r="F19" s="12" t="s">
        <v>1403</v>
      </c>
      <c r="G19" t="s">
        <v>235</v>
      </c>
      <c r="H19">
        <f>SUM(O19:CX19)</f>
        <v>407</v>
      </c>
      <c r="I19">
        <f>COUNTIF(O19:CX19, "&gt;0")</f>
        <v>2</v>
      </c>
      <c r="J19">
        <v>84</v>
      </c>
      <c r="K19">
        <v>179</v>
      </c>
      <c r="L19" s="11">
        <f>H19/1310037</f>
        <v>3.1067824801894907E-4</v>
      </c>
      <c r="M19" s="10">
        <f>I19/88</f>
        <v>2.2727272727272728E-2</v>
      </c>
      <c r="N19" s="10">
        <f>(COUNTIF(CI19:CX19,"&gt;0")/16)</f>
        <v>0.125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34</v>
      </c>
      <c r="CL19">
        <v>0</v>
      </c>
      <c r="CM19">
        <v>0</v>
      </c>
      <c r="CN19">
        <v>0</v>
      </c>
      <c r="CO19">
        <v>373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</row>
    <row r="20" spans="4:102" x14ac:dyDescent="0.25">
      <c r="D20" t="s">
        <v>1141</v>
      </c>
      <c r="E20" t="s">
        <v>1495</v>
      </c>
      <c r="F20" s="12" t="s">
        <v>1403</v>
      </c>
      <c r="G20" t="s">
        <v>204</v>
      </c>
      <c r="H20">
        <f>SUM(O20:CX20)</f>
        <v>397</v>
      </c>
      <c r="I20">
        <f>COUNTIF(O20:CX20, "&gt;0")</f>
        <v>11</v>
      </c>
      <c r="J20">
        <v>11</v>
      </c>
      <c r="K20">
        <v>10</v>
      </c>
      <c r="L20" s="11">
        <f>H20/1310037</f>
        <v>3.0304487583175134E-4</v>
      </c>
      <c r="M20" s="10">
        <f>I20/88</f>
        <v>0.125</v>
      </c>
      <c r="N20" s="10">
        <f>(COUNTIF(CI20:CX20,"&gt;0")/16)</f>
        <v>0</v>
      </c>
      <c r="O20">
        <v>0</v>
      </c>
      <c r="P20">
        <v>0</v>
      </c>
      <c r="Q20">
        <v>0</v>
      </c>
      <c r="R20">
        <v>5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59</v>
      </c>
      <c r="AK20">
        <v>8</v>
      </c>
      <c r="AL20">
        <v>27</v>
      </c>
      <c r="AM20">
        <v>0</v>
      </c>
      <c r="AN20">
        <v>3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38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136</v>
      </c>
      <c r="CA20">
        <v>0</v>
      </c>
      <c r="CB20">
        <v>86</v>
      </c>
      <c r="CC20">
        <v>13</v>
      </c>
      <c r="CD20">
        <v>9</v>
      </c>
      <c r="CE20">
        <v>13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</row>
    <row r="21" spans="4:102" x14ac:dyDescent="0.25">
      <c r="D21" t="s">
        <v>1132</v>
      </c>
      <c r="E21" t="s">
        <v>1510</v>
      </c>
      <c r="F21" s="12" t="s">
        <v>1403</v>
      </c>
      <c r="G21" t="s">
        <v>230</v>
      </c>
      <c r="H21">
        <f>SUM(O21:CX21)</f>
        <v>187</v>
      </c>
      <c r="I21">
        <f>COUNTIF(O21:CX21, "&gt;0")</f>
        <v>3</v>
      </c>
      <c r="J21">
        <v>118</v>
      </c>
      <c r="K21">
        <v>25</v>
      </c>
      <c r="L21" s="11">
        <f>H21/1310037</f>
        <v>1.4274405990059822E-4</v>
      </c>
      <c r="M21" s="10">
        <f>I21/88</f>
        <v>3.4090909090909088E-2</v>
      </c>
      <c r="N21" s="10">
        <f>(COUNTIF(CI21:CX21,"&gt;0")/16)</f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25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93</v>
      </c>
      <c r="CA21">
        <v>0</v>
      </c>
      <c r="CB21">
        <v>69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</row>
    <row r="22" spans="4:102" x14ac:dyDescent="0.25">
      <c r="D22" t="s">
        <v>1337</v>
      </c>
      <c r="E22" t="s">
        <v>1545</v>
      </c>
      <c r="F22" s="12" t="s">
        <v>1403</v>
      </c>
      <c r="G22" t="s">
        <v>204</v>
      </c>
      <c r="H22">
        <f>SUM(O22:CX22)</f>
        <v>93</v>
      </c>
      <c r="I22">
        <f>COUNTIF(O22:CX22, "&gt;0")</f>
        <v>7</v>
      </c>
      <c r="J22">
        <v>50</v>
      </c>
      <c r="K22">
        <v>60</v>
      </c>
      <c r="L22" s="11">
        <f>H22/1310037</f>
        <v>7.0990361340939222E-5</v>
      </c>
      <c r="M22" s="10">
        <f>I22/88</f>
        <v>7.9545454545454544E-2</v>
      </c>
      <c r="N22" s="10">
        <f>(COUNTIF(CI22:CX22,"&gt;0")/16)</f>
        <v>0.25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4</v>
      </c>
      <c r="BO22">
        <v>0</v>
      </c>
      <c r="BP22">
        <v>3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4</v>
      </c>
      <c r="CG22">
        <v>0</v>
      </c>
      <c r="CH22">
        <v>0</v>
      </c>
      <c r="CI22">
        <v>0</v>
      </c>
      <c r="CJ22">
        <v>2</v>
      </c>
      <c r="CK22">
        <v>0</v>
      </c>
      <c r="CL22">
        <v>18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5</v>
      </c>
      <c r="CU22">
        <v>0</v>
      </c>
      <c r="CV22">
        <v>0</v>
      </c>
      <c r="CW22">
        <v>57</v>
      </c>
      <c r="CX22">
        <v>0</v>
      </c>
    </row>
    <row r="23" spans="4:102" x14ac:dyDescent="0.25">
      <c r="D23" t="s">
        <v>1163</v>
      </c>
      <c r="E23" t="s">
        <v>1494</v>
      </c>
      <c r="F23" s="12" t="s">
        <v>1403</v>
      </c>
      <c r="G23" t="s">
        <v>215</v>
      </c>
      <c r="H23">
        <f>SUM(O23:CX23)</f>
        <v>56</v>
      </c>
      <c r="I23">
        <f>COUNTIF(O23:CX23, "&gt;0")</f>
        <v>2</v>
      </c>
      <c r="J23">
        <v>17</v>
      </c>
      <c r="K23">
        <v>9</v>
      </c>
      <c r="L23" s="11">
        <f>H23/1310037</f>
        <v>4.274688424830749E-5</v>
      </c>
      <c r="M23" s="10">
        <f>I23/88</f>
        <v>2.2727272727272728E-2</v>
      </c>
      <c r="N23" s="10">
        <f>(COUNTIF(CI23:CX23,"&gt;0")/16)</f>
        <v>0.125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5</v>
      </c>
      <c r="CQ23">
        <v>51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</row>
    <row r="24" spans="4:102" x14ac:dyDescent="0.25">
      <c r="D24" t="s">
        <v>1346</v>
      </c>
      <c r="E24" t="s">
        <v>1496</v>
      </c>
      <c r="H24">
        <f>SUM(O24:CX24)</f>
        <v>125802</v>
      </c>
      <c r="I24">
        <f>COUNTIF(O24:CX24, "&gt;0")</f>
        <v>60</v>
      </c>
      <c r="J24">
        <v>75</v>
      </c>
      <c r="K24">
        <v>11</v>
      </c>
      <c r="L24" s="11">
        <f>H24/1310037</f>
        <v>9.6029348789385335E-2</v>
      </c>
      <c r="M24" s="10">
        <f>I24/88</f>
        <v>0.68181818181818177</v>
      </c>
      <c r="N24" s="10">
        <f>(COUNTIF(CI24:CX24,"&gt;0")/16)</f>
        <v>0.5625</v>
      </c>
      <c r="O24">
        <v>0</v>
      </c>
      <c r="P24">
        <v>0</v>
      </c>
      <c r="Q24">
        <v>0</v>
      </c>
      <c r="R24">
        <v>131</v>
      </c>
      <c r="S24">
        <v>0</v>
      </c>
      <c r="T24">
        <v>12</v>
      </c>
      <c r="U24">
        <v>3165</v>
      </c>
      <c r="V24">
        <v>412</v>
      </c>
      <c r="W24">
        <v>531</v>
      </c>
      <c r="X24">
        <v>728</v>
      </c>
      <c r="Y24">
        <v>0</v>
      </c>
      <c r="Z24">
        <v>0</v>
      </c>
      <c r="AA24">
        <v>669</v>
      </c>
      <c r="AB24">
        <v>267</v>
      </c>
      <c r="AC24">
        <v>143</v>
      </c>
      <c r="AD24">
        <v>6053</v>
      </c>
      <c r="AE24">
        <v>2703</v>
      </c>
      <c r="AF24">
        <v>6358</v>
      </c>
      <c r="AG24">
        <v>0</v>
      </c>
      <c r="AH24">
        <v>0</v>
      </c>
      <c r="AI24">
        <v>0</v>
      </c>
      <c r="AJ24">
        <v>85</v>
      </c>
      <c r="AK24">
        <v>11</v>
      </c>
      <c r="AL24">
        <v>23</v>
      </c>
      <c r="AM24">
        <v>130</v>
      </c>
      <c r="AN24">
        <v>119</v>
      </c>
      <c r="AO24">
        <v>42</v>
      </c>
      <c r="AP24">
        <v>0</v>
      </c>
      <c r="AQ24">
        <v>0</v>
      </c>
      <c r="AR24">
        <v>0</v>
      </c>
      <c r="AS24">
        <v>26</v>
      </c>
      <c r="AT24">
        <v>12</v>
      </c>
      <c r="AU24">
        <v>17</v>
      </c>
      <c r="AV24">
        <v>13096</v>
      </c>
      <c r="AW24">
        <v>331</v>
      </c>
      <c r="AX24">
        <v>11670</v>
      </c>
      <c r="AY24">
        <v>23</v>
      </c>
      <c r="AZ24">
        <v>0</v>
      </c>
      <c r="BA24">
        <v>0</v>
      </c>
      <c r="BB24">
        <v>10</v>
      </c>
      <c r="BC24">
        <v>16</v>
      </c>
      <c r="BD24">
        <v>7</v>
      </c>
      <c r="BE24">
        <v>7562</v>
      </c>
      <c r="BF24">
        <v>2280</v>
      </c>
      <c r="BG24">
        <v>17790</v>
      </c>
      <c r="BH24">
        <v>0</v>
      </c>
      <c r="BI24">
        <v>0</v>
      </c>
      <c r="BJ24">
        <v>553</v>
      </c>
      <c r="BK24">
        <v>0</v>
      </c>
      <c r="BL24">
        <v>22</v>
      </c>
      <c r="BM24">
        <v>0</v>
      </c>
      <c r="BN24">
        <v>71</v>
      </c>
      <c r="BO24">
        <v>181</v>
      </c>
      <c r="BP24">
        <v>177</v>
      </c>
      <c r="BQ24">
        <v>147</v>
      </c>
      <c r="BR24">
        <v>2</v>
      </c>
      <c r="BS24">
        <v>25</v>
      </c>
      <c r="BT24">
        <v>0</v>
      </c>
      <c r="BU24">
        <v>27</v>
      </c>
      <c r="BV24">
        <v>12</v>
      </c>
      <c r="BW24">
        <v>9558</v>
      </c>
      <c r="BX24">
        <v>3718</v>
      </c>
      <c r="BY24">
        <v>11120</v>
      </c>
      <c r="BZ24">
        <v>0</v>
      </c>
      <c r="CA24">
        <v>0</v>
      </c>
      <c r="CB24">
        <v>110</v>
      </c>
      <c r="CC24">
        <v>30</v>
      </c>
      <c r="CD24">
        <v>65</v>
      </c>
      <c r="CE24">
        <v>41</v>
      </c>
      <c r="CF24">
        <v>912</v>
      </c>
      <c r="CG24">
        <v>1198</v>
      </c>
      <c r="CH24">
        <v>5157</v>
      </c>
      <c r="CI24">
        <v>0</v>
      </c>
      <c r="CJ24">
        <v>4231</v>
      </c>
      <c r="CK24">
        <v>176</v>
      </c>
      <c r="CL24">
        <v>31</v>
      </c>
      <c r="CM24">
        <v>0</v>
      </c>
      <c r="CN24">
        <v>10</v>
      </c>
      <c r="CO24">
        <v>0</v>
      </c>
      <c r="CP24">
        <v>8281</v>
      </c>
      <c r="CQ24">
        <v>0</v>
      </c>
      <c r="CR24">
        <v>1458</v>
      </c>
      <c r="CS24">
        <v>0</v>
      </c>
      <c r="CT24">
        <v>2987</v>
      </c>
      <c r="CU24">
        <v>0</v>
      </c>
      <c r="CV24">
        <v>364</v>
      </c>
      <c r="CW24">
        <v>716</v>
      </c>
      <c r="CX24">
        <v>0</v>
      </c>
    </row>
    <row r="25" spans="4:102" x14ac:dyDescent="0.25">
      <c r="D25" t="s">
        <v>1115</v>
      </c>
      <c r="E25" t="s">
        <v>1498</v>
      </c>
      <c r="H25">
        <f>SUM(O25:CX25)</f>
        <v>12232</v>
      </c>
      <c r="I25">
        <f>COUNTIF(O25:CX25, "&gt;0")</f>
        <v>9</v>
      </c>
      <c r="J25">
        <v>6</v>
      </c>
      <c r="K25">
        <v>13</v>
      </c>
      <c r="L25" s="11">
        <f>H25/1310037</f>
        <v>9.3371408593803072E-3</v>
      </c>
      <c r="M25" s="10">
        <f>I25/88</f>
        <v>0.10227272727272728</v>
      </c>
      <c r="N25" s="10">
        <f>(COUNTIF(CI25:CX25,"&gt;0")/16)</f>
        <v>0.125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133</v>
      </c>
      <c r="AK25">
        <v>129</v>
      </c>
      <c r="AL25">
        <v>76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11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23</v>
      </c>
      <c r="CD25">
        <v>44</v>
      </c>
      <c r="CE25">
        <v>33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41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11742</v>
      </c>
    </row>
    <row r="26" spans="4:102" x14ac:dyDescent="0.25">
      <c r="D26" t="s">
        <v>1315</v>
      </c>
      <c r="E26" t="s">
        <v>1529</v>
      </c>
      <c r="H26">
        <f>SUM(O26:CX26)</f>
        <v>11707</v>
      </c>
      <c r="I26">
        <f>COUNTIF(O26:CX26, "&gt;0")</f>
        <v>60</v>
      </c>
      <c r="J26">
        <v>26</v>
      </c>
      <c r="K26">
        <v>44</v>
      </c>
      <c r="L26" s="11">
        <f>H26/1310037</f>
        <v>8.9363888195524242E-3</v>
      </c>
      <c r="M26" s="10">
        <f>I26/88</f>
        <v>0.68181818181818177</v>
      </c>
      <c r="N26" s="10">
        <f>(COUNTIF(CI26:CX26,"&gt;0")/16)</f>
        <v>0.4375</v>
      </c>
      <c r="O26">
        <v>0</v>
      </c>
      <c r="P26">
        <v>0</v>
      </c>
      <c r="Q26">
        <v>0</v>
      </c>
      <c r="R26">
        <v>37</v>
      </c>
      <c r="S26">
        <v>33</v>
      </c>
      <c r="T26">
        <v>12</v>
      </c>
      <c r="U26">
        <v>197</v>
      </c>
      <c r="V26">
        <v>657</v>
      </c>
      <c r="W26">
        <v>665</v>
      </c>
      <c r="X26">
        <v>0</v>
      </c>
      <c r="Y26">
        <v>0</v>
      </c>
      <c r="Z26">
        <v>10</v>
      </c>
      <c r="AA26">
        <v>0</v>
      </c>
      <c r="AB26">
        <v>30</v>
      </c>
      <c r="AC26">
        <v>33</v>
      </c>
      <c r="AD26">
        <v>115</v>
      </c>
      <c r="AE26">
        <v>82</v>
      </c>
      <c r="AF26">
        <v>365</v>
      </c>
      <c r="AG26">
        <v>65</v>
      </c>
      <c r="AH26">
        <v>0</v>
      </c>
      <c r="AI26">
        <v>81</v>
      </c>
      <c r="AJ26">
        <v>71</v>
      </c>
      <c r="AK26">
        <v>0</v>
      </c>
      <c r="AL26">
        <v>53</v>
      </c>
      <c r="AM26">
        <v>108</v>
      </c>
      <c r="AN26">
        <v>130</v>
      </c>
      <c r="AO26">
        <v>133</v>
      </c>
      <c r="AP26">
        <v>0</v>
      </c>
      <c r="AQ26">
        <v>0</v>
      </c>
      <c r="AR26">
        <v>0</v>
      </c>
      <c r="AS26">
        <v>259</v>
      </c>
      <c r="AT26">
        <v>23</v>
      </c>
      <c r="AU26">
        <v>0</v>
      </c>
      <c r="AV26">
        <v>91</v>
      </c>
      <c r="AW26">
        <v>437</v>
      </c>
      <c r="AX26">
        <v>85</v>
      </c>
      <c r="AY26">
        <v>111</v>
      </c>
      <c r="AZ26">
        <v>0</v>
      </c>
      <c r="BA26">
        <v>0</v>
      </c>
      <c r="BB26">
        <v>0</v>
      </c>
      <c r="BC26">
        <v>33</v>
      </c>
      <c r="BD26">
        <v>0</v>
      </c>
      <c r="BE26">
        <v>256</v>
      </c>
      <c r="BF26">
        <v>193</v>
      </c>
      <c r="BG26">
        <v>61</v>
      </c>
      <c r="BH26">
        <v>129</v>
      </c>
      <c r="BI26">
        <v>17</v>
      </c>
      <c r="BJ26">
        <v>177</v>
      </c>
      <c r="BK26">
        <v>0</v>
      </c>
      <c r="BL26">
        <v>0</v>
      </c>
      <c r="BM26">
        <v>86</v>
      </c>
      <c r="BN26">
        <v>2216</v>
      </c>
      <c r="BO26">
        <v>790</v>
      </c>
      <c r="BP26">
        <v>1375</v>
      </c>
      <c r="BQ26">
        <v>81</v>
      </c>
      <c r="BR26">
        <v>108</v>
      </c>
      <c r="BS26">
        <v>85</v>
      </c>
      <c r="BT26">
        <v>20</v>
      </c>
      <c r="BU26">
        <v>34</v>
      </c>
      <c r="BV26">
        <v>26</v>
      </c>
      <c r="BW26">
        <v>18</v>
      </c>
      <c r="BX26">
        <v>508</v>
      </c>
      <c r="BY26">
        <v>53</v>
      </c>
      <c r="BZ26">
        <v>0</v>
      </c>
      <c r="CA26">
        <v>55</v>
      </c>
      <c r="CB26">
        <v>110</v>
      </c>
      <c r="CC26">
        <v>59</v>
      </c>
      <c r="CD26">
        <v>65</v>
      </c>
      <c r="CE26">
        <v>48</v>
      </c>
      <c r="CF26">
        <v>259</v>
      </c>
      <c r="CG26">
        <v>238</v>
      </c>
      <c r="CH26">
        <v>385</v>
      </c>
      <c r="CI26">
        <v>0</v>
      </c>
      <c r="CJ26">
        <v>9</v>
      </c>
      <c r="CK26">
        <v>0</v>
      </c>
      <c r="CL26">
        <v>12</v>
      </c>
      <c r="CM26">
        <v>0</v>
      </c>
      <c r="CN26">
        <v>19</v>
      </c>
      <c r="CO26">
        <v>13</v>
      </c>
      <c r="CP26">
        <v>20</v>
      </c>
      <c r="CQ26">
        <v>10</v>
      </c>
      <c r="CR26">
        <v>0</v>
      </c>
      <c r="CS26">
        <v>0</v>
      </c>
      <c r="CT26">
        <v>256</v>
      </c>
      <c r="CU26">
        <v>0</v>
      </c>
      <c r="CV26">
        <v>0</v>
      </c>
      <c r="CW26">
        <v>0</v>
      </c>
      <c r="CX26">
        <v>0</v>
      </c>
    </row>
    <row r="27" spans="4:102" x14ac:dyDescent="0.25">
      <c r="D27" s="16" t="s">
        <v>1278</v>
      </c>
      <c r="E27" t="s">
        <v>1715</v>
      </c>
      <c r="H27">
        <f>SUM(O27:CX27)</f>
        <v>11443</v>
      </c>
      <c r="I27">
        <f>COUNTIF(O27:CX27, "&gt;0")</f>
        <v>67</v>
      </c>
      <c r="J27">
        <v>196</v>
      </c>
      <c r="K27">
        <v>229</v>
      </c>
      <c r="L27" s="11">
        <f>H27/1310037</f>
        <v>8.7348677938104032E-3</v>
      </c>
      <c r="M27" s="10">
        <f>I27/88</f>
        <v>0.76136363636363635</v>
      </c>
      <c r="N27" s="10">
        <f>(COUNTIF(CI27:CX27,"&gt;0")/16)</f>
        <v>0.5</v>
      </c>
      <c r="O27">
        <v>0</v>
      </c>
      <c r="P27">
        <v>0</v>
      </c>
      <c r="Q27">
        <v>91</v>
      </c>
      <c r="R27">
        <v>115</v>
      </c>
      <c r="S27">
        <v>198</v>
      </c>
      <c r="T27">
        <v>132</v>
      </c>
      <c r="U27">
        <v>38</v>
      </c>
      <c r="V27">
        <v>158</v>
      </c>
      <c r="W27">
        <v>85</v>
      </c>
      <c r="X27">
        <v>0</v>
      </c>
      <c r="Y27">
        <v>314</v>
      </c>
      <c r="Z27">
        <v>0</v>
      </c>
      <c r="AA27">
        <v>349</v>
      </c>
      <c r="AB27">
        <v>291</v>
      </c>
      <c r="AC27">
        <v>80</v>
      </c>
      <c r="AD27">
        <v>73</v>
      </c>
      <c r="AE27">
        <v>67</v>
      </c>
      <c r="AF27">
        <v>43</v>
      </c>
      <c r="AG27">
        <v>0</v>
      </c>
      <c r="AH27">
        <v>58</v>
      </c>
      <c r="AI27">
        <v>45</v>
      </c>
      <c r="AJ27">
        <v>230</v>
      </c>
      <c r="AK27">
        <v>118</v>
      </c>
      <c r="AL27">
        <v>210</v>
      </c>
      <c r="AM27">
        <v>355</v>
      </c>
      <c r="AN27">
        <v>359</v>
      </c>
      <c r="AO27">
        <v>225</v>
      </c>
      <c r="AP27">
        <v>338</v>
      </c>
      <c r="AQ27">
        <v>200</v>
      </c>
      <c r="AR27">
        <v>36</v>
      </c>
      <c r="AS27">
        <v>32</v>
      </c>
      <c r="AT27">
        <v>99</v>
      </c>
      <c r="AU27">
        <v>76</v>
      </c>
      <c r="AV27">
        <v>66</v>
      </c>
      <c r="AW27">
        <v>136</v>
      </c>
      <c r="AX27">
        <v>49</v>
      </c>
      <c r="AY27">
        <v>1073</v>
      </c>
      <c r="AZ27">
        <v>0</v>
      </c>
      <c r="BA27">
        <v>0</v>
      </c>
      <c r="BB27">
        <v>399</v>
      </c>
      <c r="BC27">
        <v>157</v>
      </c>
      <c r="BD27">
        <v>52</v>
      </c>
      <c r="BE27">
        <v>116</v>
      </c>
      <c r="BF27">
        <v>95</v>
      </c>
      <c r="BG27">
        <v>32</v>
      </c>
      <c r="BH27">
        <v>16</v>
      </c>
      <c r="BI27">
        <v>0</v>
      </c>
      <c r="BJ27">
        <v>64</v>
      </c>
      <c r="BK27">
        <v>913</v>
      </c>
      <c r="BL27">
        <v>770</v>
      </c>
      <c r="BM27">
        <v>760</v>
      </c>
      <c r="BN27">
        <v>79</v>
      </c>
      <c r="BO27">
        <v>80</v>
      </c>
      <c r="BP27">
        <v>46</v>
      </c>
      <c r="BQ27">
        <v>43</v>
      </c>
      <c r="BR27">
        <v>47</v>
      </c>
      <c r="BS27">
        <v>0</v>
      </c>
      <c r="BT27">
        <v>0</v>
      </c>
      <c r="BU27">
        <v>202</v>
      </c>
      <c r="BV27">
        <v>252</v>
      </c>
      <c r="BW27">
        <v>0</v>
      </c>
      <c r="BX27">
        <v>85</v>
      </c>
      <c r="BY27">
        <v>11</v>
      </c>
      <c r="BZ27">
        <v>0</v>
      </c>
      <c r="CA27">
        <v>0</v>
      </c>
      <c r="CB27">
        <v>67</v>
      </c>
      <c r="CC27">
        <v>241</v>
      </c>
      <c r="CD27">
        <v>295</v>
      </c>
      <c r="CE27">
        <v>286</v>
      </c>
      <c r="CF27">
        <v>96</v>
      </c>
      <c r="CG27">
        <v>137</v>
      </c>
      <c r="CH27">
        <v>68</v>
      </c>
      <c r="CI27">
        <v>56</v>
      </c>
      <c r="CJ27">
        <v>0</v>
      </c>
      <c r="CK27">
        <v>44</v>
      </c>
      <c r="CL27">
        <v>0</v>
      </c>
      <c r="CM27">
        <v>0</v>
      </c>
      <c r="CN27">
        <v>18</v>
      </c>
      <c r="CO27">
        <v>45</v>
      </c>
      <c r="CP27">
        <v>35</v>
      </c>
      <c r="CQ27">
        <v>0</v>
      </c>
      <c r="CR27">
        <v>3</v>
      </c>
      <c r="CS27">
        <v>26</v>
      </c>
      <c r="CT27">
        <v>0</v>
      </c>
      <c r="CU27">
        <v>0</v>
      </c>
      <c r="CV27">
        <v>68</v>
      </c>
      <c r="CW27">
        <v>0</v>
      </c>
      <c r="CX27">
        <v>0</v>
      </c>
    </row>
    <row r="28" spans="4:102" x14ac:dyDescent="0.25">
      <c r="D28" t="s">
        <v>1088</v>
      </c>
      <c r="E28" t="s">
        <v>1591</v>
      </c>
      <c r="H28">
        <f>SUM(O28:CX28)</f>
        <v>9347</v>
      </c>
      <c r="I28">
        <f>COUNTIF(O28:CX28, "&gt;0")</f>
        <v>33</v>
      </c>
      <c r="J28">
        <v>30</v>
      </c>
      <c r="K28">
        <v>106</v>
      </c>
      <c r="L28" s="11">
        <f>H28/1310037</f>
        <v>7.1349129833737524E-3</v>
      </c>
      <c r="M28" s="10">
        <f>I28/88</f>
        <v>0.375</v>
      </c>
      <c r="N28" s="10">
        <f>(COUNTIF(CI28:CX28,"&gt;0")/16)</f>
        <v>0.125</v>
      </c>
      <c r="O28">
        <v>116</v>
      </c>
      <c r="P28">
        <v>31</v>
      </c>
      <c r="Q28">
        <v>305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107</v>
      </c>
      <c r="Y28">
        <v>155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403</v>
      </c>
      <c r="AH28">
        <v>1161</v>
      </c>
      <c r="AI28">
        <v>326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105</v>
      </c>
      <c r="AQ28">
        <v>55</v>
      </c>
      <c r="AR28">
        <v>93</v>
      </c>
      <c r="AS28">
        <v>0</v>
      </c>
      <c r="AT28">
        <v>0</v>
      </c>
      <c r="AU28">
        <v>0</v>
      </c>
      <c r="AV28">
        <v>16</v>
      </c>
      <c r="AW28">
        <v>0</v>
      </c>
      <c r="AX28">
        <v>28</v>
      </c>
      <c r="AY28">
        <v>463</v>
      </c>
      <c r="AZ28">
        <v>447</v>
      </c>
      <c r="BA28">
        <v>358</v>
      </c>
      <c r="BB28">
        <v>0</v>
      </c>
      <c r="BC28">
        <v>6</v>
      </c>
      <c r="BD28">
        <v>0</v>
      </c>
      <c r="BE28">
        <v>0</v>
      </c>
      <c r="BF28">
        <v>0</v>
      </c>
      <c r="BG28">
        <v>0</v>
      </c>
      <c r="BH28">
        <v>434</v>
      </c>
      <c r="BI28">
        <v>79</v>
      </c>
      <c r="BJ28">
        <v>668</v>
      </c>
      <c r="BK28">
        <v>0</v>
      </c>
      <c r="BL28">
        <v>8</v>
      </c>
      <c r="BM28">
        <v>0</v>
      </c>
      <c r="BN28">
        <v>0</v>
      </c>
      <c r="BO28">
        <v>0</v>
      </c>
      <c r="BP28">
        <v>0</v>
      </c>
      <c r="BQ28">
        <v>368</v>
      </c>
      <c r="BR28">
        <v>863</v>
      </c>
      <c r="BS28">
        <v>370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619</v>
      </c>
      <c r="CA28">
        <v>944</v>
      </c>
      <c r="CB28">
        <v>710</v>
      </c>
      <c r="CC28">
        <v>19</v>
      </c>
      <c r="CD28">
        <v>24</v>
      </c>
      <c r="CE28">
        <v>0</v>
      </c>
      <c r="CF28">
        <v>0</v>
      </c>
      <c r="CG28">
        <v>10</v>
      </c>
      <c r="CH28">
        <v>5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27</v>
      </c>
      <c r="CS28">
        <v>24</v>
      </c>
      <c r="CT28">
        <v>0</v>
      </c>
      <c r="CU28">
        <v>0</v>
      </c>
      <c r="CV28">
        <v>0</v>
      </c>
      <c r="CW28">
        <v>0</v>
      </c>
      <c r="CX28">
        <v>0</v>
      </c>
    </row>
    <row r="29" spans="4:102" x14ac:dyDescent="0.25">
      <c r="D29" t="s">
        <v>1230</v>
      </c>
      <c r="E29" t="s">
        <v>1514</v>
      </c>
      <c r="H29">
        <f>SUM(O29:CX29)</f>
        <v>8571</v>
      </c>
      <c r="I29">
        <f>COUNTIF(O29:CX29, "&gt;0")</f>
        <v>40</v>
      </c>
      <c r="J29">
        <v>74</v>
      </c>
      <c r="K29">
        <v>29</v>
      </c>
      <c r="L29" s="11">
        <f>H29/1310037</f>
        <v>6.542563301647205E-3</v>
      </c>
      <c r="M29" s="10">
        <f>I29/88</f>
        <v>0.45454545454545453</v>
      </c>
      <c r="N29" s="10">
        <f>(COUNTIF(CI29:CX29,"&gt;0")/16)</f>
        <v>6.25E-2</v>
      </c>
      <c r="O29">
        <v>86</v>
      </c>
      <c r="P29">
        <v>46</v>
      </c>
      <c r="Q29">
        <v>238</v>
      </c>
      <c r="R29">
        <v>0</v>
      </c>
      <c r="S29">
        <v>0</v>
      </c>
      <c r="T29">
        <v>0</v>
      </c>
      <c r="U29">
        <v>32</v>
      </c>
      <c r="V29">
        <v>64</v>
      </c>
      <c r="W29">
        <v>1147</v>
      </c>
      <c r="X29">
        <v>46</v>
      </c>
      <c r="Y29">
        <v>0</v>
      </c>
      <c r="Z29">
        <v>0</v>
      </c>
      <c r="AA29">
        <v>0</v>
      </c>
      <c r="AB29">
        <v>0</v>
      </c>
      <c r="AC29">
        <v>0</v>
      </c>
      <c r="AD29">
        <v>83</v>
      </c>
      <c r="AE29">
        <v>84</v>
      </c>
      <c r="AF29">
        <v>21</v>
      </c>
      <c r="AG29">
        <v>274</v>
      </c>
      <c r="AH29">
        <v>596</v>
      </c>
      <c r="AI29">
        <v>373</v>
      </c>
      <c r="AJ29">
        <v>18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134</v>
      </c>
      <c r="AQ29">
        <v>0</v>
      </c>
      <c r="AR29">
        <v>54</v>
      </c>
      <c r="AS29">
        <v>0</v>
      </c>
      <c r="AT29">
        <v>0</v>
      </c>
      <c r="AU29">
        <v>0</v>
      </c>
      <c r="AV29">
        <v>16</v>
      </c>
      <c r="AW29">
        <v>19</v>
      </c>
      <c r="AX29">
        <v>46</v>
      </c>
      <c r="AY29">
        <v>74</v>
      </c>
      <c r="AZ29">
        <v>295</v>
      </c>
      <c r="BA29">
        <v>348</v>
      </c>
      <c r="BB29">
        <v>0</v>
      </c>
      <c r="BC29">
        <v>0</v>
      </c>
      <c r="BD29">
        <v>0</v>
      </c>
      <c r="BE29">
        <v>88</v>
      </c>
      <c r="BF29">
        <v>48</v>
      </c>
      <c r="BG29">
        <v>27</v>
      </c>
      <c r="BH29">
        <v>118</v>
      </c>
      <c r="BI29">
        <v>77</v>
      </c>
      <c r="BJ29">
        <v>850</v>
      </c>
      <c r="BK29">
        <v>0</v>
      </c>
      <c r="BL29">
        <v>0</v>
      </c>
      <c r="BM29">
        <v>0</v>
      </c>
      <c r="BN29">
        <v>0</v>
      </c>
      <c r="BO29">
        <v>5</v>
      </c>
      <c r="BP29">
        <v>0</v>
      </c>
      <c r="BQ29">
        <v>0</v>
      </c>
      <c r="BR29">
        <v>1320</v>
      </c>
      <c r="BS29">
        <v>525</v>
      </c>
      <c r="BT29">
        <v>0</v>
      </c>
      <c r="BU29">
        <v>0</v>
      </c>
      <c r="BV29">
        <v>0</v>
      </c>
      <c r="BW29">
        <v>0</v>
      </c>
      <c r="BX29">
        <v>10</v>
      </c>
      <c r="BY29">
        <v>4</v>
      </c>
      <c r="BZ29">
        <v>459</v>
      </c>
      <c r="CA29">
        <v>628</v>
      </c>
      <c r="CB29">
        <v>250</v>
      </c>
      <c r="CC29">
        <v>13</v>
      </c>
      <c r="CD29">
        <v>0</v>
      </c>
      <c r="CE29">
        <v>0</v>
      </c>
      <c r="CF29">
        <v>24</v>
      </c>
      <c r="CG29">
        <v>15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16</v>
      </c>
      <c r="CT29">
        <v>0</v>
      </c>
      <c r="CU29">
        <v>0</v>
      </c>
      <c r="CV29">
        <v>0</v>
      </c>
      <c r="CW29">
        <v>0</v>
      </c>
      <c r="CX29">
        <v>0</v>
      </c>
    </row>
    <row r="30" spans="4:102" x14ac:dyDescent="0.25">
      <c r="D30" s="8" t="s">
        <v>1034</v>
      </c>
      <c r="E30" t="s">
        <v>1531</v>
      </c>
      <c r="F30" s="13"/>
      <c r="H30">
        <f>SUM(O30:CX30)</f>
        <v>6882</v>
      </c>
      <c r="I30">
        <f>COUNTIF(O30:CX30, "&gt;0")</f>
        <v>11</v>
      </c>
      <c r="J30">
        <v>44</v>
      </c>
      <c r="K30">
        <v>46</v>
      </c>
      <c r="L30" s="11">
        <f>H30/1310037</f>
        <v>5.2532867392295025E-3</v>
      </c>
      <c r="M30" s="10">
        <f>I30/88</f>
        <v>0.125</v>
      </c>
      <c r="N30" s="10">
        <f>(COUNTIF(CI30:CX30,"&gt;0")/16)</f>
        <v>6.25E-2</v>
      </c>
      <c r="O30">
        <v>0</v>
      </c>
      <c r="P30">
        <v>0</v>
      </c>
      <c r="Q30">
        <v>87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346</v>
      </c>
      <c r="Z30">
        <v>264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72</v>
      </c>
      <c r="AT30">
        <v>1340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122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104</v>
      </c>
      <c r="BL30">
        <v>0</v>
      </c>
      <c r="BM30">
        <v>1621</v>
      </c>
      <c r="BN30">
        <v>311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496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2119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</row>
    <row r="31" spans="4:102" x14ac:dyDescent="0.25">
      <c r="D31" t="s">
        <v>1267</v>
      </c>
      <c r="E31" t="s">
        <v>1500</v>
      </c>
      <c r="H31">
        <f>SUM(O31:CX31)</f>
        <v>6176</v>
      </c>
      <c r="I31">
        <f>COUNTIF(O31:CX31, "&gt;0")</f>
        <v>11</v>
      </c>
      <c r="J31">
        <v>18</v>
      </c>
      <c r="K31">
        <v>15</v>
      </c>
      <c r="L31" s="11">
        <f>H31/1310037</f>
        <v>4.7143706628133405E-3</v>
      </c>
      <c r="M31" s="10">
        <f>I31/88</f>
        <v>0.125</v>
      </c>
      <c r="N31" s="10">
        <f>(COUNTIF(CI31:CX31,"&gt;0")/16)</f>
        <v>6.25E-2</v>
      </c>
      <c r="O31">
        <v>28</v>
      </c>
      <c r="P31">
        <v>0</v>
      </c>
      <c r="Q31">
        <v>0</v>
      </c>
      <c r="R31">
        <v>4</v>
      </c>
      <c r="S31">
        <v>145</v>
      </c>
      <c r="T31">
        <v>3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710</v>
      </c>
      <c r="AI31">
        <v>0</v>
      </c>
      <c r="AJ31">
        <v>50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4551</v>
      </c>
      <c r="CC31">
        <v>95</v>
      </c>
      <c r="CD31">
        <v>246</v>
      </c>
      <c r="CE31">
        <v>328</v>
      </c>
      <c r="CF31">
        <v>0</v>
      </c>
      <c r="CG31">
        <v>0</v>
      </c>
      <c r="CH31">
        <v>0</v>
      </c>
      <c r="CI31">
        <v>16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</row>
    <row r="32" spans="4:102" x14ac:dyDescent="0.25">
      <c r="D32" t="s">
        <v>988</v>
      </c>
      <c r="E32" t="s">
        <v>1497</v>
      </c>
      <c r="H32">
        <f>SUM(O32:CX32)</f>
        <v>4720</v>
      </c>
      <c r="I32">
        <f>COUNTIF(O32:CX32, "&gt;0")</f>
        <v>49</v>
      </c>
      <c r="J32">
        <v>10</v>
      </c>
      <c r="K32">
        <v>12</v>
      </c>
      <c r="L32" s="11">
        <f>H32/1310037</f>
        <v>3.6029516723573457E-3</v>
      </c>
      <c r="M32" s="10">
        <f>I32/88</f>
        <v>0.55681818181818177</v>
      </c>
      <c r="N32" s="10">
        <f>(COUNTIF(CI32:CX32,"&gt;0")/16)</f>
        <v>6.25E-2</v>
      </c>
      <c r="O32">
        <v>0</v>
      </c>
      <c r="P32">
        <v>0</v>
      </c>
      <c r="Q32">
        <v>0</v>
      </c>
      <c r="R32">
        <v>46</v>
      </c>
      <c r="S32">
        <v>72</v>
      </c>
      <c r="T32">
        <v>23</v>
      </c>
      <c r="U32">
        <v>47</v>
      </c>
      <c r="V32">
        <v>47</v>
      </c>
      <c r="W32">
        <v>76</v>
      </c>
      <c r="X32">
        <v>0</v>
      </c>
      <c r="Y32">
        <v>0</v>
      </c>
      <c r="Z32">
        <v>0</v>
      </c>
      <c r="AA32">
        <v>45</v>
      </c>
      <c r="AB32">
        <v>86</v>
      </c>
      <c r="AC32">
        <v>63</v>
      </c>
      <c r="AD32">
        <v>28</v>
      </c>
      <c r="AE32">
        <v>38</v>
      </c>
      <c r="AF32">
        <v>69</v>
      </c>
      <c r="AG32">
        <v>0</v>
      </c>
      <c r="AH32">
        <v>0</v>
      </c>
      <c r="AI32">
        <v>0</v>
      </c>
      <c r="AJ32">
        <v>148</v>
      </c>
      <c r="AK32">
        <v>33</v>
      </c>
      <c r="AL32">
        <v>85</v>
      </c>
      <c r="AM32">
        <v>48</v>
      </c>
      <c r="AN32">
        <v>53</v>
      </c>
      <c r="AO32">
        <v>27</v>
      </c>
      <c r="AP32">
        <v>0</v>
      </c>
      <c r="AQ32">
        <v>0</v>
      </c>
      <c r="AR32">
        <v>0</v>
      </c>
      <c r="AS32">
        <v>21</v>
      </c>
      <c r="AT32">
        <v>38</v>
      </c>
      <c r="AU32">
        <v>73</v>
      </c>
      <c r="AV32">
        <v>75</v>
      </c>
      <c r="AW32">
        <v>405</v>
      </c>
      <c r="AX32">
        <v>78</v>
      </c>
      <c r="AY32">
        <v>0</v>
      </c>
      <c r="AZ32">
        <v>0</v>
      </c>
      <c r="BA32">
        <v>0</v>
      </c>
      <c r="BB32">
        <v>189</v>
      </c>
      <c r="BC32">
        <v>574</v>
      </c>
      <c r="BD32">
        <v>82</v>
      </c>
      <c r="BE32">
        <v>45</v>
      </c>
      <c r="BF32">
        <v>115</v>
      </c>
      <c r="BG32">
        <v>18</v>
      </c>
      <c r="BH32">
        <v>0</v>
      </c>
      <c r="BI32">
        <v>0</v>
      </c>
      <c r="BJ32">
        <v>0</v>
      </c>
      <c r="BK32">
        <v>57</v>
      </c>
      <c r="BL32">
        <v>87</v>
      </c>
      <c r="BM32">
        <v>0</v>
      </c>
      <c r="BN32">
        <v>49</v>
      </c>
      <c r="BO32">
        <v>69</v>
      </c>
      <c r="BP32">
        <v>34</v>
      </c>
      <c r="BQ32">
        <v>0</v>
      </c>
      <c r="BR32">
        <v>0</v>
      </c>
      <c r="BS32">
        <v>448</v>
      </c>
      <c r="BT32">
        <v>28</v>
      </c>
      <c r="BU32">
        <v>23</v>
      </c>
      <c r="BV32">
        <v>55</v>
      </c>
      <c r="BW32">
        <v>5</v>
      </c>
      <c r="BX32">
        <v>76</v>
      </c>
      <c r="BY32">
        <v>19</v>
      </c>
      <c r="BZ32">
        <v>0</v>
      </c>
      <c r="CA32">
        <v>0</v>
      </c>
      <c r="CB32">
        <v>0</v>
      </c>
      <c r="CC32">
        <v>224</v>
      </c>
      <c r="CD32">
        <v>231</v>
      </c>
      <c r="CE32">
        <v>232</v>
      </c>
      <c r="CF32">
        <v>103</v>
      </c>
      <c r="CG32">
        <v>166</v>
      </c>
      <c r="CH32">
        <v>59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8</v>
      </c>
      <c r="CT32">
        <v>0</v>
      </c>
      <c r="CU32">
        <v>0</v>
      </c>
      <c r="CV32">
        <v>0</v>
      </c>
      <c r="CW32">
        <v>0</v>
      </c>
      <c r="CX32">
        <v>0</v>
      </c>
    </row>
    <row r="33" spans="1:102" x14ac:dyDescent="0.25">
      <c r="D33" t="s">
        <v>1242</v>
      </c>
      <c r="E33" t="s">
        <v>1547</v>
      </c>
      <c r="H33">
        <f>SUM(O33:CX33)</f>
        <v>4395</v>
      </c>
      <c r="I33">
        <f>COUNTIF(O33:CX33, "&gt;0")</f>
        <v>20</v>
      </c>
      <c r="J33">
        <v>41</v>
      </c>
      <c r="K33">
        <v>62</v>
      </c>
      <c r="L33" s="11">
        <f>H33/1310037</f>
        <v>3.3548670762734182E-3</v>
      </c>
      <c r="M33" s="10">
        <f>I33/88</f>
        <v>0.22727272727272727</v>
      </c>
      <c r="N33" s="10">
        <f>(COUNTIF(CI33:CX33,"&gt;0")/16)</f>
        <v>6.25E-2</v>
      </c>
      <c r="O33">
        <v>26</v>
      </c>
      <c r="P33">
        <v>10</v>
      </c>
      <c r="Q33">
        <v>194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43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418</v>
      </c>
      <c r="AH33">
        <v>447</v>
      </c>
      <c r="AI33">
        <v>83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23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78</v>
      </c>
      <c r="AZ33">
        <v>0</v>
      </c>
      <c r="BA33">
        <v>186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110</v>
      </c>
      <c r="BI33">
        <v>26</v>
      </c>
      <c r="BJ33">
        <v>92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497</v>
      </c>
      <c r="BR33">
        <v>595</v>
      </c>
      <c r="BS33">
        <v>188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747</v>
      </c>
      <c r="CA33">
        <v>536</v>
      </c>
      <c r="CB33">
        <v>93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3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</row>
    <row r="34" spans="1:102" x14ac:dyDescent="0.25">
      <c r="D34" t="s">
        <v>1122</v>
      </c>
      <c r="E34" t="s">
        <v>1535</v>
      </c>
      <c r="H34">
        <f>SUM(O34:CX34)</f>
        <v>4104</v>
      </c>
      <c r="I34">
        <f>COUNTIF(O34:CX34, "&gt;0")</f>
        <v>45</v>
      </c>
      <c r="J34">
        <v>136</v>
      </c>
      <c r="K34">
        <v>50</v>
      </c>
      <c r="L34" s="11">
        <f>H34/1310037</f>
        <v>3.1327359456259632E-3</v>
      </c>
      <c r="M34" s="10">
        <f>I34/88</f>
        <v>0.51136363636363635</v>
      </c>
      <c r="N34" s="10">
        <f>(COUNTIF(CI34:CX34,"&gt;0")/16)</f>
        <v>0</v>
      </c>
      <c r="O34">
        <v>0</v>
      </c>
      <c r="P34">
        <v>0</v>
      </c>
      <c r="Q34">
        <v>0</v>
      </c>
      <c r="R34">
        <v>92</v>
      </c>
      <c r="S34">
        <v>57</v>
      </c>
      <c r="T34">
        <v>16</v>
      </c>
      <c r="U34">
        <v>33</v>
      </c>
      <c r="V34">
        <v>54</v>
      </c>
      <c r="W34">
        <v>31</v>
      </c>
      <c r="X34">
        <v>0</v>
      </c>
      <c r="Y34">
        <v>0</v>
      </c>
      <c r="Z34">
        <v>0</v>
      </c>
      <c r="AA34">
        <v>0</v>
      </c>
      <c r="AB34">
        <v>52</v>
      </c>
      <c r="AC34">
        <v>34</v>
      </c>
      <c r="AD34">
        <v>18</v>
      </c>
      <c r="AE34">
        <v>71</v>
      </c>
      <c r="AF34">
        <v>37</v>
      </c>
      <c r="AG34">
        <v>0</v>
      </c>
      <c r="AH34">
        <v>107</v>
      </c>
      <c r="AI34">
        <v>0</v>
      </c>
      <c r="AJ34">
        <v>529</v>
      </c>
      <c r="AK34">
        <v>109</v>
      </c>
      <c r="AL34">
        <v>229</v>
      </c>
      <c r="AM34">
        <v>77</v>
      </c>
      <c r="AN34">
        <v>51</v>
      </c>
      <c r="AO34">
        <v>42</v>
      </c>
      <c r="AP34">
        <v>0</v>
      </c>
      <c r="AQ34">
        <v>0</v>
      </c>
      <c r="AR34">
        <v>0</v>
      </c>
      <c r="AS34">
        <v>0</v>
      </c>
      <c r="AT34">
        <v>86</v>
      </c>
      <c r="AU34">
        <v>29</v>
      </c>
      <c r="AV34">
        <v>0</v>
      </c>
      <c r="AW34">
        <v>157</v>
      </c>
      <c r="AX34">
        <v>50</v>
      </c>
      <c r="AY34">
        <v>0</v>
      </c>
      <c r="AZ34">
        <v>0</v>
      </c>
      <c r="BA34">
        <v>0</v>
      </c>
      <c r="BB34">
        <v>80</v>
      </c>
      <c r="BC34">
        <v>194</v>
      </c>
      <c r="BD34">
        <v>21</v>
      </c>
      <c r="BE34">
        <v>42</v>
      </c>
      <c r="BF34">
        <v>55</v>
      </c>
      <c r="BG34">
        <v>49</v>
      </c>
      <c r="BH34">
        <v>0</v>
      </c>
      <c r="BI34">
        <v>0</v>
      </c>
      <c r="BJ34">
        <v>0</v>
      </c>
      <c r="BK34">
        <v>99</v>
      </c>
      <c r="BL34">
        <v>58</v>
      </c>
      <c r="BM34">
        <v>40</v>
      </c>
      <c r="BN34">
        <v>32</v>
      </c>
      <c r="BO34">
        <v>68</v>
      </c>
      <c r="BP34">
        <v>35</v>
      </c>
      <c r="BQ34">
        <v>0</v>
      </c>
      <c r="BR34">
        <v>0</v>
      </c>
      <c r="BS34">
        <v>0</v>
      </c>
      <c r="BT34">
        <v>38</v>
      </c>
      <c r="BU34">
        <v>21</v>
      </c>
      <c r="BV34">
        <v>25</v>
      </c>
      <c r="BW34">
        <v>0</v>
      </c>
      <c r="BX34">
        <v>71</v>
      </c>
      <c r="BY34">
        <v>32</v>
      </c>
      <c r="BZ34">
        <v>0</v>
      </c>
      <c r="CA34">
        <v>0</v>
      </c>
      <c r="CB34">
        <v>0</v>
      </c>
      <c r="CC34">
        <v>291</v>
      </c>
      <c r="CD34">
        <v>337</v>
      </c>
      <c r="CE34">
        <v>389</v>
      </c>
      <c r="CF34">
        <v>67</v>
      </c>
      <c r="CG34">
        <v>58</v>
      </c>
      <c r="CH34">
        <v>41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</row>
    <row r="35" spans="1:102" x14ac:dyDescent="0.25">
      <c r="A35" s="8"/>
      <c r="D35" t="s">
        <v>998</v>
      </c>
      <c r="E35" t="s">
        <v>1519</v>
      </c>
      <c r="H35">
        <f>SUM(O35:CX35)</f>
        <v>4015</v>
      </c>
      <c r="I35">
        <f>COUNTIF(O35:CX35, "&gt;0")</f>
        <v>32</v>
      </c>
      <c r="J35">
        <v>16</v>
      </c>
      <c r="K35">
        <v>34</v>
      </c>
      <c r="L35" s="11">
        <f>H35/1310037</f>
        <v>3.0647989331599032E-3</v>
      </c>
      <c r="M35" s="10">
        <f>I35/88</f>
        <v>0.36363636363636365</v>
      </c>
      <c r="N35" s="10">
        <f>(COUNTIF(CI35:CX35,"&gt;0")/16)</f>
        <v>6.25E-2</v>
      </c>
      <c r="O35">
        <v>3</v>
      </c>
      <c r="P35">
        <v>8</v>
      </c>
      <c r="Q35">
        <v>0</v>
      </c>
      <c r="R35">
        <v>0</v>
      </c>
      <c r="S35">
        <v>0</v>
      </c>
      <c r="T35">
        <v>0</v>
      </c>
      <c r="U35">
        <v>430</v>
      </c>
      <c r="V35">
        <v>173</v>
      </c>
      <c r="W35">
        <v>586</v>
      </c>
      <c r="X35">
        <v>0</v>
      </c>
      <c r="Y35">
        <v>0</v>
      </c>
      <c r="Z35">
        <v>8</v>
      </c>
      <c r="AA35">
        <v>12</v>
      </c>
      <c r="AB35">
        <v>122</v>
      </c>
      <c r="AC35">
        <v>54</v>
      </c>
      <c r="AD35">
        <v>66</v>
      </c>
      <c r="AE35">
        <v>275</v>
      </c>
      <c r="AF35">
        <v>100</v>
      </c>
      <c r="AG35">
        <v>0</v>
      </c>
      <c r="AH35">
        <v>0</v>
      </c>
      <c r="AI35">
        <v>0</v>
      </c>
      <c r="AJ35">
        <v>0</v>
      </c>
      <c r="AK35">
        <v>4</v>
      </c>
      <c r="AL35">
        <v>0</v>
      </c>
      <c r="AM35">
        <v>0</v>
      </c>
      <c r="AN35">
        <v>0</v>
      </c>
      <c r="AO35">
        <v>150</v>
      </c>
      <c r="AP35">
        <v>225</v>
      </c>
      <c r="AQ35">
        <v>0</v>
      </c>
      <c r="AR35">
        <v>0</v>
      </c>
      <c r="AS35">
        <v>0</v>
      </c>
      <c r="AT35">
        <v>41</v>
      </c>
      <c r="AU35">
        <v>36</v>
      </c>
      <c r="AV35">
        <v>30</v>
      </c>
      <c r="AW35">
        <v>51</v>
      </c>
      <c r="AX35">
        <v>65</v>
      </c>
      <c r="AY35">
        <v>0</v>
      </c>
      <c r="AZ35">
        <v>50</v>
      </c>
      <c r="BA35">
        <v>76</v>
      </c>
      <c r="BB35">
        <v>0</v>
      </c>
      <c r="BC35">
        <v>0</v>
      </c>
      <c r="BD35">
        <v>0</v>
      </c>
      <c r="BE35">
        <v>0</v>
      </c>
      <c r="BF35">
        <v>69</v>
      </c>
      <c r="BG35">
        <v>16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61</v>
      </c>
      <c r="BT35">
        <v>0</v>
      </c>
      <c r="BU35">
        <v>0</v>
      </c>
      <c r="BV35">
        <v>0</v>
      </c>
      <c r="BW35">
        <v>0</v>
      </c>
      <c r="BX35">
        <v>144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10</v>
      </c>
      <c r="CE35">
        <v>8</v>
      </c>
      <c r="CF35">
        <v>276</v>
      </c>
      <c r="CG35">
        <v>670</v>
      </c>
      <c r="CH35">
        <v>189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7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</row>
    <row r="36" spans="1:102" x14ac:dyDescent="0.25">
      <c r="D36" t="s">
        <v>1280</v>
      </c>
      <c r="E36" t="s">
        <v>1525</v>
      </c>
      <c r="H36">
        <f>SUM(O36:CX36)</f>
        <v>3691</v>
      </c>
      <c r="I36">
        <f>COUNTIF(O36:CX36, "&gt;0")</f>
        <v>7</v>
      </c>
      <c r="J36">
        <v>61</v>
      </c>
      <c r="K36">
        <v>40</v>
      </c>
      <c r="L36" s="11">
        <f>H36/1310037</f>
        <v>2.8174776742946957E-3</v>
      </c>
      <c r="M36" s="10">
        <f>I36/88</f>
        <v>7.9545454545454544E-2</v>
      </c>
      <c r="N36" s="10">
        <f>(COUNTIF(CI36:CX36,"&gt;0")/16)</f>
        <v>0</v>
      </c>
      <c r="O36">
        <v>17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926</v>
      </c>
      <c r="AI36">
        <v>0</v>
      </c>
      <c r="AJ36">
        <v>0</v>
      </c>
      <c r="AK36">
        <v>7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2664</v>
      </c>
      <c r="CC36">
        <v>18</v>
      </c>
      <c r="CD36">
        <v>26</v>
      </c>
      <c r="CE36">
        <v>33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</row>
    <row r="37" spans="1:102" x14ac:dyDescent="0.25">
      <c r="D37" t="s">
        <v>1188</v>
      </c>
      <c r="E37" t="s">
        <v>1513</v>
      </c>
      <c r="H37">
        <f>SUM(O37:CX37)</f>
        <v>3495</v>
      </c>
      <c r="I37">
        <f>COUNTIF(O37:CX37, "&gt;0")</f>
        <v>27</v>
      </c>
      <c r="J37">
        <v>123</v>
      </c>
      <c r="K37">
        <v>28</v>
      </c>
      <c r="L37" s="11">
        <f>H37/1310037</f>
        <v>2.6678635794256194E-3</v>
      </c>
      <c r="M37" s="10">
        <f>I37/88</f>
        <v>0.30681818181818182</v>
      </c>
      <c r="N37" s="10">
        <f>(COUNTIF(CI37:CX37,"&gt;0")/16)</f>
        <v>0</v>
      </c>
      <c r="O37">
        <v>0</v>
      </c>
      <c r="P37">
        <v>0</v>
      </c>
      <c r="Q37">
        <v>0</v>
      </c>
      <c r="R37">
        <v>68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15</v>
      </c>
      <c r="AC37">
        <v>31</v>
      </c>
      <c r="AD37">
        <v>0</v>
      </c>
      <c r="AE37">
        <v>0</v>
      </c>
      <c r="AF37">
        <v>0</v>
      </c>
      <c r="AG37">
        <v>0</v>
      </c>
      <c r="AH37">
        <v>42</v>
      </c>
      <c r="AI37">
        <v>0</v>
      </c>
      <c r="AJ37">
        <v>122</v>
      </c>
      <c r="AK37">
        <v>153</v>
      </c>
      <c r="AL37">
        <v>95</v>
      </c>
      <c r="AM37">
        <v>23</v>
      </c>
      <c r="AN37">
        <v>7</v>
      </c>
      <c r="AO37">
        <v>0</v>
      </c>
      <c r="AP37">
        <v>1837</v>
      </c>
      <c r="AQ37">
        <v>0</v>
      </c>
      <c r="AR37">
        <v>0</v>
      </c>
      <c r="AS37">
        <v>11</v>
      </c>
      <c r="AT37">
        <v>0</v>
      </c>
      <c r="AU37">
        <v>30</v>
      </c>
      <c r="AV37">
        <v>0</v>
      </c>
      <c r="AW37">
        <v>11</v>
      </c>
      <c r="AX37">
        <v>12</v>
      </c>
      <c r="AY37">
        <v>0</v>
      </c>
      <c r="AZ37">
        <v>0</v>
      </c>
      <c r="BA37">
        <v>0</v>
      </c>
      <c r="BB37">
        <v>15</v>
      </c>
      <c r="BC37">
        <v>12</v>
      </c>
      <c r="BD37">
        <v>0</v>
      </c>
      <c r="BE37">
        <v>0</v>
      </c>
      <c r="BF37">
        <v>85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14</v>
      </c>
      <c r="BM37">
        <v>0</v>
      </c>
      <c r="BN37">
        <v>0</v>
      </c>
      <c r="BO37">
        <v>14</v>
      </c>
      <c r="BP37">
        <v>0</v>
      </c>
      <c r="BQ37">
        <v>0</v>
      </c>
      <c r="BR37">
        <v>0</v>
      </c>
      <c r="BS37">
        <v>121</v>
      </c>
      <c r="BT37">
        <v>0</v>
      </c>
      <c r="BU37">
        <v>10</v>
      </c>
      <c r="BV37">
        <v>258</v>
      </c>
      <c r="BW37">
        <v>0</v>
      </c>
      <c r="BX37">
        <v>20</v>
      </c>
      <c r="BY37">
        <v>0</v>
      </c>
      <c r="BZ37">
        <v>0</v>
      </c>
      <c r="CA37">
        <v>0</v>
      </c>
      <c r="CB37">
        <v>0</v>
      </c>
      <c r="CC37">
        <v>138</v>
      </c>
      <c r="CD37">
        <v>133</v>
      </c>
      <c r="CE37">
        <v>113</v>
      </c>
      <c r="CF37">
        <v>105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</row>
    <row r="38" spans="1:102" x14ac:dyDescent="0.25">
      <c r="D38" t="s">
        <v>1249</v>
      </c>
      <c r="E38" t="s">
        <v>1502</v>
      </c>
      <c r="H38">
        <f>SUM(O38:CX38)</f>
        <v>3112</v>
      </c>
      <c r="I38">
        <f>COUNTIF(O38:CX38, "&gt;0")</f>
        <v>6</v>
      </c>
      <c r="J38">
        <v>67</v>
      </c>
      <c r="K38">
        <v>17</v>
      </c>
      <c r="L38" s="11">
        <f>H38/1310037</f>
        <v>2.3755054246559449E-3</v>
      </c>
      <c r="M38" s="10">
        <f>I38/88</f>
        <v>6.8181818181818177E-2</v>
      </c>
      <c r="N38" s="10">
        <f>(COUNTIF(CI38:CX38,"&gt;0")/16)</f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52</v>
      </c>
      <c r="AA38">
        <v>0</v>
      </c>
      <c r="AB38">
        <v>0</v>
      </c>
      <c r="AC38">
        <v>0</v>
      </c>
      <c r="AD38">
        <v>176</v>
      </c>
      <c r="AE38">
        <v>1103</v>
      </c>
      <c r="AF38">
        <v>1446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247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88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</row>
    <row r="39" spans="1:102" x14ac:dyDescent="0.25">
      <c r="D39" t="s">
        <v>1213</v>
      </c>
      <c r="E39" t="s">
        <v>1628</v>
      </c>
      <c r="H39">
        <f>SUM(O39:CX39)</f>
        <v>2636</v>
      </c>
      <c r="I39">
        <f>COUNTIF(O39:CX39, "&gt;0")</f>
        <v>16</v>
      </c>
      <c r="J39">
        <v>236</v>
      </c>
      <c r="K39">
        <v>143</v>
      </c>
      <c r="L39" s="11">
        <f>H39/1310037</f>
        <v>2.0121569085453312E-3</v>
      </c>
      <c r="M39" s="10">
        <f>I39/88</f>
        <v>0.18181818181818182</v>
      </c>
      <c r="N39" s="10">
        <f>(COUNTIF(CI39:CX39,"&gt;0")/16)</f>
        <v>0.25</v>
      </c>
      <c r="O39">
        <v>3</v>
      </c>
      <c r="P39">
        <v>129</v>
      </c>
      <c r="Q39">
        <v>0</v>
      </c>
      <c r="R39">
        <v>215</v>
      </c>
      <c r="S39">
        <v>0</v>
      </c>
      <c r="T39">
        <v>3</v>
      </c>
      <c r="U39">
        <v>0</v>
      </c>
      <c r="V39">
        <v>0</v>
      </c>
      <c r="W39">
        <v>0</v>
      </c>
      <c r="X39">
        <v>3</v>
      </c>
      <c r="Y39">
        <v>0</v>
      </c>
      <c r="Z39">
        <v>79</v>
      </c>
      <c r="AA39">
        <v>8</v>
      </c>
      <c r="AB39">
        <v>68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144</v>
      </c>
      <c r="AQ39">
        <v>127</v>
      </c>
      <c r="AR39">
        <v>0</v>
      </c>
      <c r="AS39">
        <v>13</v>
      </c>
      <c r="AT39">
        <v>0</v>
      </c>
      <c r="AU39">
        <v>4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4</v>
      </c>
      <c r="CJ39">
        <v>0</v>
      </c>
      <c r="CK39">
        <v>5</v>
      </c>
      <c r="CL39">
        <v>0</v>
      </c>
      <c r="CM39">
        <v>0</v>
      </c>
      <c r="CN39">
        <v>0</v>
      </c>
      <c r="CO39">
        <v>1828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3</v>
      </c>
      <c r="CW39">
        <v>0</v>
      </c>
      <c r="CX39">
        <v>0</v>
      </c>
    </row>
    <row r="40" spans="1:102" x14ac:dyDescent="0.25">
      <c r="D40" t="s">
        <v>1137</v>
      </c>
      <c r="E40" t="s">
        <v>1551</v>
      </c>
      <c r="H40">
        <f>SUM(O40:CX40)</f>
        <v>2572</v>
      </c>
      <c r="I40">
        <f>COUNTIF(O40:CX40, "&gt;0")</f>
        <v>4</v>
      </c>
      <c r="J40">
        <v>192</v>
      </c>
      <c r="K40">
        <v>66</v>
      </c>
      <c r="L40" s="11">
        <f>H40/1310037</f>
        <v>1.9633033265472654E-3</v>
      </c>
      <c r="M40" s="10">
        <f>I40/88</f>
        <v>4.5454545454545456E-2</v>
      </c>
      <c r="N40" s="10">
        <f>(COUNTIF(CI40:CX40,"&gt;0")/16)</f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2286</v>
      </c>
      <c r="AH40">
        <v>0</v>
      </c>
      <c r="AI40">
        <v>0</v>
      </c>
      <c r="AJ40">
        <v>17</v>
      </c>
      <c r="AK40">
        <v>265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4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</row>
    <row r="41" spans="1:102" x14ac:dyDescent="0.25">
      <c r="D41" t="s">
        <v>986</v>
      </c>
      <c r="E41" t="s">
        <v>1554</v>
      </c>
      <c r="H41">
        <f>SUM(O41:CX41)</f>
        <v>2507</v>
      </c>
      <c r="I41">
        <f>COUNTIF(O41:CX41, "&gt;0")</f>
        <v>9</v>
      </c>
      <c r="J41">
        <v>143</v>
      </c>
      <c r="K41">
        <v>69</v>
      </c>
      <c r="L41" s="11">
        <f>H41/1310037</f>
        <v>1.9136864073304801E-3</v>
      </c>
      <c r="M41" s="10">
        <f>I41/88</f>
        <v>0.10227272727272728</v>
      </c>
      <c r="N41" s="10">
        <f>(COUNTIF(CI41:CX41,"&gt;0")/16)</f>
        <v>0</v>
      </c>
      <c r="O41">
        <v>0</v>
      </c>
      <c r="P41">
        <v>12</v>
      </c>
      <c r="Q41">
        <v>114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34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15</v>
      </c>
      <c r="AJ41">
        <v>13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7</v>
      </c>
      <c r="AY41">
        <v>204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460</v>
      </c>
      <c r="BS41">
        <v>1648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</row>
    <row r="42" spans="1:102" x14ac:dyDescent="0.25">
      <c r="D42" t="s">
        <v>1211</v>
      </c>
      <c r="E42" t="s">
        <v>1639</v>
      </c>
      <c r="H42">
        <f>SUM(O42:CX42)</f>
        <v>2349</v>
      </c>
      <c r="I42">
        <f>COUNTIF(O42:CX42, "&gt;0")</f>
        <v>13</v>
      </c>
      <c r="J42">
        <v>208</v>
      </c>
      <c r="K42">
        <v>154</v>
      </c>
      <c r="L42" s="11">
        <f>H42/1310037</f>
        <v>1.7930791267727552E-3</v>
      </c>
      <c r="M42" s="10">
        <f>I42/88</f>
        <v>0.14772727272727273</v>
      </c>
      <c r="N42" s="10">
        <f>(COUNTIF(CI42:CX42,"&gt;0")/16)</f>
        <v>6.25E-2</v>
      </c>
      <c r="O42">
        <v>11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30</v>
      </c>
      <c r="Y42">
        <v>0</v>
      </c>
      <c r="Z42">
        <v>10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614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151</v>
      </c>
      <c r="AZ42">
        <v>122</v>
      </c>
      <c r="BA42">
        <v>253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192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614</v>
      </c>
      <c r="BS42">
        <v>43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245</v>
      </c>
      <c r="CA42">
        <v>0</v>
      </c>
      <c r="CB42">
        <v>59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5</v>
      </c>
      <c r="CW42">
        <v>0</v>
      </c>
      <c r="CX42">
        <v>0</v>
      </c>
    </row>
    <row r="43" spans="1:102" x14ac:dyDescent="0.25">
      <c r="D43" t="s">
        <v>1052</v>
      </c>
      <c r="E43" t="s">
        <v>1607</v>
      </c>
      <c r="H43">
        <f>SUM(O43:CX43)</f>
        <v>2219</v>
      </c>
      <c r="I43">
        <f>COUNTIF(O43:CX43, "&gt;0")</f>
        <v>10</v>
      </c>
      <c r="J43">
        <v>34</v>
      </c>
      <c r="K43">
        <v>122</v>
      </c>
      <c r="L43" s="11">
        <f>H43/1310037</f>
        <v>1.6938452883391844E-3</v>
      </c>
      <c r="M43" s="10">
        <f>I43/88</f>
        <v>0.11363636363636363</v>
      </c>
      <c r="N43" s="10">
        <f>(COUNTIF(CI43:CX43,"&gt;0")/16)</f>
        <v>6.25E-2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222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329</v>
      </c>
      <c r="AD43">
        <v>0</v>
      </c>
      <c r="AE43">
        <v>127</v>
      </c>
      <c r="AF43">
        <v>238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209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367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52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356</v>
      </c>
      <c r="CG43">
        <v>0</v>
      </c>
      <c r="CH43">
        <v>195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124</v>
      </c>
      <c r="CX43">
        <v>0</v>
      </c>
    </row>
    <row r="44" spans="1:102" x14ac:dyDescent="0.25">
      <c r="D44" t="s">
        <v>1244</v>
      </c>
      <c r="E44" t="s">
        <v>1659</v>
      </c>
      <c r="H44">
        <f>SUM(O44:CX44)</f>
        <v>2144</v>
      </c>
      <c r="I44">
        <f>COUNTIF(O44:CX44, "&gt;0")</f>
        <v>3</v>
      </c>
      <c r="J44">
        <v>202</v>
      </c>
      <c r="K44">
        <v>174</v>
      </c>
      <c r="L44" s="11">
        <f>H44/1310037</f>
        <v>1.6365949969352012E-3</v>
      </c>
      <c r="M44" s="10">
        <f>I44/88</f>
        <v>3.4090909090909088E-2</v>
      </c>
      <c r="N44" s="10">
        <f>(COUNTIF(CI44:CX44,"&gt;0")/16)</f>
        <v>0.125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55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57</v>
      </c>
      <c r="CL44">
        <v>0</v>
      </c>
      <c r="CM44">
        <v>0</v>
      </c>
      <c r="CN44">
        <v>0</v>
      </c>
      <c r="CO44">
        <v>2032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</row>
    <row r="45" spans="1:102" x14ac:dyDescent="0.25">
      <c r="D45" t="s">
        <v>1151</v>
      </c>
      <c r="E45" t="s">
        <v>1540</v>
      </c>
      <c r="H45">
        <f>SUM(O45:CX45)</f>
        <v>2109</v>
      </c>
      <c r="I45">
        <f>COUNTIF(O45:CX45, "&gt;0")</f>
        <v>14</v>
      </c>
      <c r="J45">
        <v>20</v>
      </c>
      <c r="K45">
        <v>55</v>
      </c>
      <c r="L45" s="11">
        <f>H45/1310037</f>
        <v>1.6098781942800089E-3</v>
      </c>
      <c r="M45" s="10">
        <f>I45/88</f>
        <v>0.15909090909090909</v>
      </c>
      <c r="N45" s="10">
        <f>(COUNTIF(CI45:CX45,"&gt;0")/16)</f>
        <v>0</v>
      </c>
      <c r="O45">
        <v>68</v>
      </c>
      <c r="P45">
        <v>0</v>
      </c>
      <c r="Q45">
        <v>0</v>
      </c>
      <c r="R45">
        <v>0</v>
      </c>
      <c r="S45">
        <v>117</v>
      </c>
      <c r="T45">
        <v>0</v>
      </c>
      <c r="U45">
        <v>0</v>
      </c>
      <c r="V45">
        <v>70</v>
      </c>
      <c r="W45">
        <v>0</v>
      </c>
      <c r="X45">
        <v>0</v>
      </c>
      <c r="Y45">
        <v>263</v>
      </c>
      <c r="Z45">
        <v>0</v>
      </c>
      <c r="AA45">
        <v>0</v>
      </c>
      <c r="AB45">
        <v>121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83</v>
      </c>
      <c r="AK45">
        <v>0</v>
      </c>
      <c r="AL45">
        <v>0</v>
      </c>
      <c r="AM45">
        <v>95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108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150</v>
      </c>
      <c r="BL45">
        <v>620</v>
      </c>
      <c r="BM45">
        <v>115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140</v>
      </c>
      <c r="BU45">
        <v>0</v>
      </c>
      <c r="BV45">
        <v>59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100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</row>
    <row r="46" spans="1:102" x14ac:dyDescent="0.25">
      <c r="D46" t="s">
        <v>1044</v>
      </c>
      <c r="E46" t="s">
        <v>1717</v>
      </c>
      <c r="H46">
        <f>SUM(O46:CX46)</f>
        <v>1947</v>
      </c>
      <c r="I46">
        <f>COUNTIF(O46:CX46, "&gt;0")</f>
        <v>43</v>
      </c>
      <c r="J46">
        <v>92</v>
      </c>
      <c r="K46">
        <v>232</v>
      </c>
      <c r="L46" s="11">
        <f>H46/1310037</f>
        <v>1.4862175648474051E-3</v>
      </c>
      <c r="M46" s="10">
        <f>I46/88</f>
        <v>0.48863636363636365</v>
      </c>
      <c r="N46" s="10">
        <f>(COUNTIF(CI46:CX46,"&gt;0")/16)</f>
        <v>0</v>
      </c>
      <c r="O46">
        <v>23</v>
      </c>
      <c r="P46">
        <v>0</v>
      </c>
      <c r="Q46">
        <v>0</v>
      </c>
      <c r="R46">
        <v>22</v>
      </c>
      <c r="S46">
        <v>0</v>
      </c>
      <c r="T46">
        <v>0</v>
      </c>
      <c r="U46">
        <v>0</v>
      </c>
      <c r="V46">
        <v>22</v>
      </c>
      <c r="W46">
        <v>0</v>
      </c>
      <c r="X46">
        <v>0</v>
      </c>
      <c r="Y46">
        <v>130</v>
      </c>
      <c r="Z46">
        <v>0</v>
      </c>
      <c r="AA46">
        <v>43</v>
      </c>
      <c r="AB46">
        <v>8</v>
      </c>
      <c r="AC46">
        <v>8</v>
      </c>
      <c r="AD46">
        <v>9</v>
      </c>
      <c r="AE46">
        <v>20</v>
      </c>
      <c r="AF46">
        <v>8</v>
      </c>
      <c r="AG46">
        <v>0</v>
      </c>
      <c r="AH46">
        <v>0</v>
      </c>
      <c r="AI46">
        <v>0</v>
      </c>
      <c r="AJ46">
        <v>167</v>
      </c>
      <c r="AK46">
        <v>39</v>
      </c>
      <c r="AL46">
        <v>85</v>
      </c>
      <c r="AM46">
        <v>30</v>
      </c>
      <c r="AN46">
        <v>29</v>
      </c>
      <c r="AO46">
        <v>191</v>
      </c>
      <c r="AP46">
        <v>0</v>
      </c>
      <c r="AQ46">
        <v>0</v>
      </c>
      <c r="AR46">
        <v>0</v>
      </c>
      <c r="AS46">
        <v>9</v>
      </c>
      <c r="AT46">
        <v>63</v>
      </c>
      <c r="AU46">
        <v>16</v>
      </c>
      <c r="AV46">
        <v>17</v>
      </c>
      <c r="AW46">
        <v>202</v>
      </c>
      <c r="AX46">
        <v>75</v>
      </c>
      <c r="AY46">
        <v>73</v>
      </c>
      <c r="AZ46">
        <v>0</v>
      </c>
      <c r="BA46">
        <v>0</v>
      </c>
      <c r="BB46">
        <v>8</v>
      </c>
      <c r="BC46">
        <v>21</v>
      </c>
      <c r="BD46">
        <v>8</v>
      </c>
      <c r="BE46">
        <v>23</v>
      </c>
      <c r="BF46">
        <v>0</v>
      </c>
      <c r="BG46">
        <v>0</v>
      </c>
      <c r="BH46">
        <v>0</v>
      </c>
      <c r="BI46">
        <v>12</v>
      </c>
      <c r="BJ46">
        <v>0</v>
      </c>
      <c r="BK46">
        <v>0</v>
      </c>
      <c r="BL46">
        <v>25</v>
      </c>
      <c r="BM46">
        <v>38</v>
      </c>
      <c r="BN46">
        <v>25</v>
      </c>
      <c r="BO46">
        <v>53</v>
      </c>
      <c r="BP46">
        <v>45</v>
      </c>
      <c r="BQ46">
        <v>0</v>
      </c>
      <c r="BR46">
        <v>0</v>
      </c>
      <c r="BS46">
        <v>0</v>
      </c>
      <c r="BT46">
        <v>6</v>
      </c>
      <c r="BU46">
        <v>14</v>
      </c>
      <c r="BV46">
        <v>9</v>
      </c>
      <c r="BW46">
        <v>0</v>
      </c>
      <c r="BX46">
        <v>11</v>
      </c>
      <c r="BY46">
        <v>0</v>
      </c>
      <c r="BZ46">
        <v>87</v>
      </c>
      <c r="CA46">
        <v>0</v>
      </c>
      <c r="CB46">
        <v>0</v>
      </c>
      <c r="CC46">
        <v>48</v>
      </c>
      <c r="CD46">
        <v>95</v>
      </c>
      <c r="CE46">
        <v>99</v>
      </c>
      <c r="CF46">
        <v>16</v>
      </c>
      <c r="CG46">
        <v>15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</row>
    <row r="47" spans="1:102" x14ac:dyDescent="0.25">
      <c r="D47" t="s">
        <v>1050</v>
      </c>
      <c r="E47" t="s">
        <v>1590</v>
      </c>
      <c r="H47">
        <f>SUM(O47:CX47)</f>
        <v>1909</v>
      </c>
      <c r="I47">
        <f>COUNTIF(O47:CX47, "&gt;0")</f>
        <v>8</v>
      </c>
      <c r="J47">
        <v>189</v>
      </c>
      <c r="K47">
        <v>105</v>
      </c>
      <c r="L47" s="11">
        <f>H47/1310037</f>
        <v>1.4572107505360535E-3</v>
      </c>
      <c r="M47" s="10">
        <f>I47/88</f>
        <v>9.0909090909090912E-2</v>
      </c>
      <c r="N47" s="10">
        <f>(COUNTIF(CI47:CX47,"&gt;0")/16)</f>
        <v>6.25E-2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45</v>
      </c>
      <c r="X47">
        <v>0</v>
      </c>
      <c r="Y47">
        <v>0</v>
      </c>
      <c r="Z47">
        <v>0</v>
      </c>
      <c r="AA47">
        <v>0</v>
      </c>
      <c r="AB47">
        <v>33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123</v>
      </c>
      <c r="AN47">
        <v>0</v>
      </c>
      <c r="AO47">
        <v>0</v>
      </c>
      <c r="AP47">
        <v>1157</v>
      </c>
      <c r="AQ47">
        <v>0</v>
      </c>
      <c r="AR47">
        <v>0</v>
      </c>
      <c r="AS47">
        <v>0</v>
      </c>
      <c r="AT47">
        <v>456</v>
      </c>
      <c r="AU47">
        <v>27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10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58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</row>
    <row r="48" spans="1:102" x14ac:dyDescent="0.25">
      <c r="D48" t="s">
        <v>1292</v>
      </c>
      <c r="E48" t="s">
        <v>1647</v>
      </c>
      <c r="H48">
        <f>SUM(O48:CX48)</f>
        <v>1817</v>
      </c>
      <c r="I48">
        <f>COUNTIF(O48:CX48, "&gt;0")</f>
        <v>10</v>
      </c>
      <c r="J48">
        <v>71</v>
      </c>
      <c r="K48">
        <v>162</v>
      </c>
      <c r="L48" s="11">
        <f>H48/1310037</f>
        <v>1.3869837264138341E-3</v>
      </c>
      <c r="M48" s="10">
        <f>I48/88</f>
        <v>0.11363636363636363</v>
      </c>
      <c r="N48" s="10">
        <f>(COUNTIF(CI48:CX48,"&gt;0")/16)</f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46</v>
      </c>
      <c r="AN48">
        <v>0</v>
      </c>
      <c r="AO48">
        <v>1462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16</v>
      </c>
      <c r="BC48">
        <v>61</v>
      </c>
      <c r="BD48">
        <v>20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12</v>
      </c>
      <c r="BQ48">
        <v>0</v>
      </c>
      <c r="BR48">
        <v>0</v>
      </c>
      <c r="BS48">
        <v>0</v>
      </c>
      <c r="BT48">
        <v>17</v>
      </c>
      <c r="BU48">
        <v>55</v>
      </c>
      <c r="BV48">
        <v>0</v>
      </c>
      <c r="BW48">
        <v>0</v>
      </c>
      <c r="BX48">
        <v>14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114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</row>
    <row r="49" spans="1:102" x14ac:dyDescent="0.25">
      <c r="D49" t="s">
        <v>1319</v>
      </c>
      <c r="E49" t="s">
        <v>1507</v>
      </c>
      <c r="H49">
        <f>SUM(O49:CX49)</f>
        <v>1687</v>
      </c>
      <c r="I49">
        <f>COUNTIF(O49:CX49, "&gt;0")</f>
        <v>25</v>
      </c>
      <c r="J49">
        <v>91</v>
      </c>
      <c r="K49">
        <v>22</v>
      </c>
      <c r="L49" s="11">
        <f>H49/1310037</f>
        <v>1.2877498879802632E-3</v>
      </c>
      <c r="M49" s="10">
        <f>I49/88</f>
        <v>0.28409090909090912</v>
      </c>
      <c r="N49" s="10">
        <f>(COUNTIF(CI49:CX49,"&gt;0")/16)</f>
        <v>6.25E-2</v>
      </c>
      <c r="O49">
        <v>0</v>
      </c>
      <c r="P49">
        <v>0</v>
      </c>
      <c r="Q49">
        <v>0</v>
      </c>
      <c r="R49">
        <v>15</v>
      </c>
      <c r="S49">
        <v>82</v>
      </c>
      <c r="T49">
        <v>0</v>
      </c>
      <c r="U49">
        <v>74</v>
      </c>
      <c r="V49">
        <v>20</v>
      </c>
      <c r="W49">
        <v>25</v>
      </c>
      <c r="X49">
        <v>0</v>
      </c>
      <c r="Y49">
        <v>0</v>
      </c>
      <c r="Z49">
        <v>0</v>
      </c>
      <c r="AA49">
        <v>0</v>
      </c>
      <c r="AB49">
        <v>44</v>
      </c>
      <c r="AC49">
        <v>0</v>
      </c>
      <c r="AD49">
        <v>19</v>
      </c>
      <c r="AE49">
        <v>0</v>
      </c>
      <c r="AF49">
        <v>325</v>
      </c>
      <c r="AG49">
        <v>0</v>
      </c>
      <c r="AH49">
        <v>0</v>
      </c>
      <c r="AI49">
        <v>0</v>
      </c>
      <c r="AJ49">
        <v>9</v>
      </c>
      <c r="AK49">
        <v>0</v>
      </c>
      <c r="AL49">
        <v>0</v>
      </c>
      <c r="AM49">
        <v>32</v>
      </c>
      <c r="AN49">
        <v>17</v>
      </c>
      <c r="AO49">
        <v>58</v>
      </c>
      <c r="AP49">
        <v>0</v>
      </c>
      <c r="AQ49">
        <v>0</v>
      </c>
      <c r="AR49">
        <v>0</v>
      </c>
      <c r="AS49">
        <v>0</v>
      </c>
      <c r="AT49">
        <v>13</v>
      </c>
      <c r="AU49">
        <v>0</v>
      </c>
      <c r="AV49">
        <v>17</v>
      </c>
      <c r="AW49">
        <v>42</v>
      </c>
      <c r="AX49">
        <v>488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156</v>
      </c>
      <c r="BG49">
        <v>20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80</v>
      </c>
      <c r="BY49">
        <v>0</v>
      </c>
      <c r="BZ49">
        <v>0</v>
      </c>
      <c r="CA49">
        <v>0</v>
      </c>
      <c r="CB49">
        <v>0</v>
      </c>
      <c r="CC49">
        <v>6</v>
      </c>
      <c r="CD49">
        <v>19</v>
      </c>
      <c r="CE49">
        <v>16</v>
      </c>
      <c r="CF49">
        <v>24</v>
      </c>
      <c r="CG49">
        <v>47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39</v>
      </c>
      <c r="CU49">
        <v>0</v>
      </c>
      <c r="CV49">
        <v>0</v>
      </c>
      <c r="CW49">
        <v>0</v>
      </c>
      <c r="CX49">
        <v>0</v>
      </c>
    </row>
    <row r="50" spans="1:102" x14ac:dyDescent="0.25">
      <c r="A50" s="8"/>
      <c r="D50" t="s">
        <v>1275</v>
      </c>
      <c r="E50" t="s">
        <v>1574</v>
      </c>
      <c r="H50">
        <f>SUM(O50:CX50)</f>
        <v>1634</v>
      </c>
      <c r="I50">
        <f>COUNTIF(O50:CX50, "&gt;0")</f>
        <v>18</v>
      </c>
      <c r="J50">
        <v>116</v>
      </c>
      <c r="K50">
        <v>89</v>
      </c>
      <c r="L50" s="11">
        <f>H50/1310037</f>
        <v>1.2472930153881151E-3</v>
      </c>
      <c r="M50" s="10">
        <f>I50/88</f>
        <v>0.20454545454545456</v>
      </c>
      <c r="N50" s="10">
        <f>(COUNTIF(CI50:CX50,"&gt;0")/16)</f>
        <v>0</v>
      </c>
      <c r="O50">
        <v>0</v>
      </c>
      <c r="P50">
        <v>0</v>
      </c>
      <c r="Q50">
        <v>0</v>
      </c>
      <c r="R50">
        <v>397</v>
      </c>
      <c r="S50">
        <v>0</v>
      </c>
      <c r="T50">
        <v>0</v>
      </c>
      <c r="U50">
        <v>0</v>
      </c>
      <c r="V50">
        <v>22</v>
      </c>
      <c r="W50">
        <v>118</v>
      </c>
      <c r="X50">
        <v>0</v>
      </c>
      <c r="Y50">
        <v>0</v>
      </c>
      <c r="Z50">
        <v>0</v>
      </c>
      <c r="AA50">
        <v>0</v>
      </c>
      <c r="AB50">
        <v>0</v>
      </c>
      <c r="AC50">
        <v>21</v>
      </c>
      <c r="AD50">
        <v>75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215</v>
      </c>
      <c r="AK50">
        <v>0</v>
      </c>
      <c r="AL50">
        <v>152</v>
      </c>
      <c r="AM50">
        <v>0</v>
      </c>
      <c r="AN50">
        <v>116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26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100</v>
      </c>
      <c r="BB50">
        <v>0</v>
      </c>
      <c r="BC50">
        <v>0</v>
      </c>
      <c r="BD50">
        <v>0</v>
      </c>
      <c r="BE50">
        <v>24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65</v>
      </c>
      <c r="BL50">
        <v>0</v>
      </c>
      <c r="BM50">
        <v>0</v>
      </c>
      <c r="BN50">
        <v>11</v>
      </c>
      <c r="BO50">
        <v>41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32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88</v>
      </c>
      <c r="CD50">
        <v>0</v>
      </c>
      <c r="CE50">
        <v>97</v>
      </c>
      <c r="CF50">
        <v>0</v>
      </c>
      <c r="CG50">
        <v>34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</row>
    <row r="51" spans="1:102" x14ac:dyDescent="0.25">
      <c r="D51" t="s">
        <v>1069</v>
      </c>
      <c r="E51" t="s">
        <v>1597</v>
      </c>
      <c r="H51">
        <f>SUM(O51:CX51)</f>
        <v>1547</v>
      </c>
      <c r="I51">
        <f>COUNTIF(O51:CX51, "&gt;0")</f>
        <v>12</v>
      </c>
      <c r="J51">
        <v>124</v>
      </c>
      <c r="K51">
        <v>112</v>
      </c>
      <c r="L51" s="11">
        <f>H51/1310037</f>
        <v>1.1808826773594945E-3</v>
      </c>
      <c r="M51" s="10">
        <f>I51/88</f>
        <v>0.13636363636363635</v>
      </c>
      <c r="N51" s="10">
        <f>(COUNTIF(CI51:CX51,"&gt;0")/16)</f>
        <v>6.25E-2</v>
      </c>
      <c r="O51">
        <v>8</v>
      </c>
      <c r="P51">
        <v>8</v>
      </c>
      <c r="Q51">
        <v>248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10</v>
      </c>
      <c r="Y51">
        <v>248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94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54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110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526</v>
      </c>
      <c r="CA51">
        <v>110</v>
      </c>
      <c r="CB51">
        <v>128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3</v>
      </c>
      <c r="CT51">
        <v>0</v>
      </c>
      <c r="CU51">
        <v>0</v>
      </c>
      <c r="CV51">
        <v>0</v>
      </c>
      <c r="CW51">
        <v>0</v>
      </c>
      <c r="CX51">
        <v>0</v>
      </c>
    </row>
    <row r="52" spans="1:102" x14ac:dyDescent="0.25">
      <c r="D52" t="s">
        <v>1180</v>
      </c>
      <c r="E52" t="s">
        <v>1625</v>
      </c>
      <c r="H52">
        <f>SUM(O52:CX52)</f>
        <v>1499</v>
      </c>
      <c r="I52">
        <f>COUNTIF(O52:CX52, "&gt;0")</f>
        <v>30</v>
      </c>
      <c r="J52">
        <v>58</v>
      </c>
      <c r="K52">
        <v>140</v>
      </c>
      <c r="L52" s="11">
        <f>H52/1310037</f>
        <v>1.1442424908609452E-3</v>
      </c>
      <c r="M52" s="10">
        <f>I52/88</f>
        <v>0.34090909090909088</v>
      </c>
      <c r="N52" s="10">
        <f>(COUNTIF(CI52:CX52,"&gt;0")/16)</f>
        <v>0.625</v>
      </c>
      <c r="O52">
        <v>0</v>
      </c>
      <c r="P52">
        <v>0</v>
      </c>
      <c r="Q52">
        <v>0</v>
      </c>
      <c r="R52">
        <v>5</v>
      </c>
      <c r="S52">
        <v>34</v>
      </c>
      <c r="T52">
        <v>0</v>
      </c>
      <c r="U52">
        <v>3</v>
      </c>
      <c r="V52">
        <v>4</v>
      </c>
      <c r="W52">
        <v>0</v>
      </c>
      <c r="X52">
        <v>0</v>
      </c>
      <c r="Y52">
        <v>51</v>
      </c>
      <c r="Z52">
        <v>0</v>
      </c>
      <c r="AA52">
        <v>7</v>
      </c>
      <c r="AB52">
        <v>24</v>
      </c>
      <c r="AC52">
        <v>53</v>
      </c>
      <c r="AD52">
        <v>0</v>
      </c>
      <c r="AE52">
        <v>5</v>
      </c>
      <c r="AF52">
        <v>0</v>
      </c>
      <c r="AG52">
        <v>0</v>
      </c>
      <c r="AH52">
        <v>0</v>
      </c>
      <c r="AI52">
        <v>0</v>
      </c>
      <c r="AJ52">
        <v>12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4</v>
      </c>
      <c r="AT52">
        <v>5</v>
      </c>
      <c r="AU52">
        <v>10</v>
      </c>
      <c r="AV52">
        <v>0</v>
      </c>
      <c r="AW52">
        <v>3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3</v>
      </c>
      <c r="BM52">
        <v>0</v>
      </c>
      <c r="BN52">
        <v>0</v>
      </c>
      <c r="BO52">
        <v>7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9</v>
      </c>
      <c r="BY52">
        <v>4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13</v>
      </c>
      <c r="CG52">
        <v>34</v>
      </c>
      <c r="CH52">
        <v>0</v>
      </c>
      <c r="CI52">
        <v>42</v>
      </c>
      <c r="CJ52">
        <v>0</v>
      </c>
      <c r="CK52">
        <v>511</v>
      </c>
      <c r="CL52">
        <v>69</v>
      </c>
      <c r="CM52">
        <v>0</v>
      </c>
      <c r="CN52">
        <v>0</v>
      </c>
      <c r="CO52">
        <v>53</v>
      </c>
      <c r="CP52">
        <v>13</v>
      </c>
      <c r="CQ52">
        <v>0</v>
      </c>
      <c r="CR52">
        <v>15</v>
      </c>
      <c r="CS52">
        <v>53</v>
      </c>
      <c r="CT52">
        <v>0</v>
      </c>
      <c r="CU52">
        <v>97</v>
      </c>
      <c r="CV52">
        <v>319</v>
      </c>
      <c r="CW52">
        <v>37</v>
      </c>
      <c r="CX52">
        <v>0</v>
      </c>
    </row>
    <row r="53" spans="1:102" x14ac:dyDescent="0.25">
      <c r="D53" t="s">
        <v>1236</v>
      </c>
      <c r="E53" t="s">
        <v>1646</v>
      </c>
      <c r="H53">
        <f>SUM(O53:CX53)</f>
        <v>1497</v>
      </c>
      <c r="I53">
        <f>COUNTIF(O53:CX53, "&gt;0")</f>
        <v>2</v>
      </c>
      <c r="J53">
        <v>203</v>
      </c>
      <c r="K53">
        <v>161</v>
      </c>
      <c r="L53" s="11">
        <f>H53/1310037</f>
        <v>1.1427158164235055E-3</v>
      </c>
      <c r="M53" s="10">
        <f>I53/88</f>
        <v>2.2727272727272728E-2</v>
      </c>
      <c r="N53" s="10">
        <f>(COUNTIF(CI53:CX53,"&gt;0")/16)</f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1484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13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</row>
    <row r="54" spans="1:102" x14ac:dyDescent="0.25">
      <c r="D54" t="s">
        <v>1191</v>
      </c>
      <c r="E54" t="s">
        <v>1595</v>
      </c>
      <c r="H54">
        <f>SUM(O54:CX54)</f>
        <v>1489</v>
      </c>
      <c r="I54">
        <f>COUNTIF(O54:CX54, "&gt;0")</f>
        <v>37</v>
      </c>
      <c r="J54">
        <v>157</v>
      </c>
      <c r="K54">
        <v>110</v>
      </c>
      <c r="L54" s="11">
        <f>H54/1310037</f>
        <v>1.1366091186737473E-3</v>
      </c>
      <c r="M54" s="10">
        <f>I54/88</f>
        <v>0.42045454545454547</v>
      </c>
      <c r="N54" s="10">
        <f>(COUNTIF(CI54:CX54,"&gt;0")/16)</f>
        <v>6.25E-2</v>
      </c>
      <c r="O54">
        <v>0</v>
      </c>
      <c r="P54">
        <v>0</v>
      </c>
      <c r="Q54">
        <v>0</v>
      </c>
      <c r="R54">
        <v>22</v>
      </c>
      <c r="S54">
        <v>0</v>
      </c>
      <c r="T54">
        <v>13</v>
      </c>
      <c r="U54">
        <v>0</v>
      </c>
      <c r="V54">
        <v>18</v>
      </c>
      <c r="W54">
        <v>22</v>
      </c>
      <c r="X54">
        <v>0</v>
      </c>
      <c r="Y54">
        <v>0</v>
      </c>
      <c r="Z54">
        <v>0</v>
      </c>
      <c r="AA54">
        <v>7</v>
      </c>
      <c r="AB54">
        <v>40</v>
      </c>
      <c r="AC54">
        <v>63</v>
      </c>
      <c r="AD54">
        <v>0</v>
      </c>
      <c r="AE54">
        <v>8</v>
      </c>
      <c r="AF54">
        <v>0</v>
      </c>
      <c r="AG54">
        <v>0</v>
      </c>
      <c r="AH54">
        <v>0</v>
      </c>
      <c r="AI54">
        <v>0</v>
      </c>
      <c r="AJ54">
        <v>103</v>
      </c>
      <c r="AK54">
        <v>19</v>
      </c>
      <c r="AL54">
        <v>63</v>
      </c>
      <c r="AM54">
        <v>46</v>
      </c>
      <c r="AN54">
        <v>35</v>
      </c>
      <c r="AO54">
        <v>12</v>
      </c>
      <c r="AP54">
        <v>0</v>
      </c>
      <c r="AQ54">
        <v>0</v>
      </c>
      <c r="AR54">
        <v>162</v>
      </c>
      <c r="AS54">
        <v>15</v>
      </c>
      <c r="AT54">
        <v>29</v>
      </c>
      <c r="AU54">
        <v>11</v>
      </c>
      <c r="AV54">
        <v>0</v>
      </c>
      <c r="AW54">
        <v>33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39</v>
      </c>
      <c r="BD54">
        <v>0</v>
      </c>
      <c r="BE54">
        <v>0</v>
      </c>
      <c r="BF54">
        <v>5</v>
      </c>
      <c r="BG54">
        <v>0</v>
      </c>
      <c r="BH54">
        <v>0</v>
      </c>
      <c r="BI54">
        <v>8</v>
      </c>
      <c r="BJ54">
        <v>0</v>
      </c>
      <c r="BK54">
        <v>53</v>
      </c>
      <c r="BL54">
        <v>99</v>
      </c>
      <c r="BM54">
        <v>0</v>
      </c>
      <c r="BN54">
        <v>16</v>
      </c>
      <c r="BO54">
        <v>57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8</v>
      </c>
      <c r="BV54">
        <v>18</v>
      </c>
      <c r="BW54">
        <v>0</v>
      </c>
      <c r="BX54">
        <v>41</v>
      </c>
      <c r="BY54">
        <v>6</v>
      </c>
      <c r="BZ54">
        <v>0</v>
      </c>
      <c r="CA54">
        <v>0</v>
      </c>
      <c r="CB54">
        <v>0</v>
      </c>
      <c r="CC54">
        <v>101</v>
      </c>
      <c r="CD54">
        <v>105</v>
      </c>
      <c r="CE54">
        <v>115</v>
      </c>
      <c r="CF54">
        <v>51</v>
      </c>
      <c r="CG54">
        <v>33</v>
      </c>
      <c r="CH54">
        <v>4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9</v>
      </c>
      <c r="CT54">
        <v>0</v>
      </c>
      <c r="CU54">
        <v>0</v>
      </c>
      <c r="CV54">
        <v>0</v>
      </c>
      <c r="CW54">
        <v>0</v>
      </c>
      <c r="CX54">
        <v>0</v>
      </c>
    </row>
    <row r="55" spans="1:102" x14ac:dyDescent="0.25">
      <c r="A55" s="8"/>
      <c r="D55" s="8" t="s">
        <v>1080</v>
      </c>
      <c r="E55" t="s">
        <v>1544</v>
      </c>
      <c r="F55" s="13"/>
      <c r="H55">
        <f>SUM(O55:CX55)</f>
        <v>1440</v>
      </c>
      <c r="I55">
        <f>COUNTIF(O55:CX55, "&gt;0")</f>
        <v>30</v>
      </c>
      <c r="J55">
        <v>95</v>
      </c>
      <c r="K55">
        <v>59</v>
      </c>
      <c r="L55" s="11">
        <f>H55/1310037</f>
        <v>1.0992055949564784E-3</v>
      </c>
      <c r="M55" s="10">
        <f>I55/88</f>
        <v>0.34090909090909088</v>
      </c>
      <c r="N55" s="10">
        <f>(COUNTIF(CI55:CX55,"&gt;0")/16)</f>
        <v>0.25</v>
      </c>
      <c r="O55">
        <v>21</v>
      </c>
      <c r="P55">
        <v>0</v>
      </c>
      <c r="Q55">
        <v>70</v>
      </c>
      <c r="R55">
        <v>40</v>
      </c>
      <c r="S55">
        <v>49</v>
      </c>
      <c r="T55">
        <v>83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38</v>
      </c>
      <c r="AD55">
        <v>16</v>
      </c>
      <c r="AE55">
        <v>13</v>
      </c>
      <c r="AF55">
        <v>0</v>
      </c>
      <c r="AG55">
        <v>0</v>
      </c>
      <c r="AH55">
        <v>98</v>
      </c>
      <c r="AI55">
        <v>0</v>
      </c>
      <c r="AJ55">
        <v>49</v>
      </c>
      <c r="AK55">
        <v>26</v>
      </c>
      <c r="AL55">
        <v>0</v>
      </c>
      <c r="AM55">
        <v>40</v>
      </c>
      <c r="AN55">
        <v>38</v>
      </c>
      <c r="AO55">
        <v>55</v>
      </c>
      <c r="AP55">
        <v>25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22</v>
      </c>
      <c r="AY55">
        <v>0</v>
      </c>
      <c r="AZ55">
        <v>0</v>
      </c>
      <c r="BA55">
        <v>83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28</v>
      </c>
      <c r="BL55">
        <v>106</v>
      </c>
      <c r="BM55">
        <v>0</v>
      </c>
      <c r="BN55">
        <v>0</v>
      </c>
      <c r="BO55">
        <v>0</v>
      </c>
      <c r="BP55">
        <v>27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10</v>
      </c>
      <c r="BW55">
        <v>0</v>
      </c>
      <c r="BX55">
        <v>31</v>
      </c>
      <c r="BY55">
        <v>0</v>
      </c>
      <c r="BZ55">
        <v>0</v>
      </c>
      <c r="CA55">
        <v>0</v>
      </c>
      <c r="CB55">
        <v>39</v>
      </c>
      <c r="CC55">
        <v>41</v>
      </c>
      <c r="CD55">
        <v>80</v>
      </c>
      <c r="CE55">
        <v>76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92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18</v>
      </c>
      <c r="CU55">
        <v>0</v>
      </c>
      <c r="CV55">
        <v>113</v>
      </c>
      <c r="CW55">
        <v>0</v>
      </c>
      <c r="CX55">
        <v>13</v>
      </c>
    </row>
    <row r="56" spans="1:102" x14ac:dyDescent="0.25">
      <c r="D56" s="8" t="s">
        <v>994</v>
      </c>
      <c r="E56" t="s">
        <v>1622</v>
      </c>
      <c r="F56" s="13"/>
      <c r="H56">
        <f>SUM(O56:CX56)</f>
        <v>1376</v>
      </c>
      <c r="I56">
        <f>COUNTIF(O56:CX56, "&gt;0")</f>
        <v>15</v>
      </c>
      <c r="J56">
        <v>101</v>
      </c>
      <c r="K56">
        <v>137</v>
      </c>
      <c r="L56" s="11">
        <f>H56/1310037</f>
        <v>1.0503520129584126E-3</v>
      </c>
      <c r="M56" s="10">
        <f>I56/88</f>
        <v>0.17045454545454544</v>
      </c>
      <c r="N56" s="10">
        <f>(COUNTIF(CI56:CX56,"&gt;0")/16)</f>
        <v>0</v>
      </c>
      <c r="O56">
        <v>31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55</v>
      </c>
      <c r="Y56">
        <v>0</v>
      </c>
      <c r="Z56">
        <v>0</v>
      </c>
      <c r="AA56">
        <v>0</v>
      </c>
      <c r="AB56">
        <v>23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31</v>
      </c>
      <c r="AK56">
        <v>0</v>
      </c>
      <c r="AL56">
        <v>0</v>
      </c>
      <c r="AM56">
        <v>0</v>
      </c>
      <c r="AN56">
        <v>145</v>
      </c>
      <c r="AO56">
        <v>0</v>
      </c>
      <c r="AP56">
        <v>19</v>
      </c>
      <c r="AQ56">
        <v>0</v>
      </c>
      <c r="AR56">
        <v>91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37</v>
      </c>
      <c r="BD56">
        <v>0</v>
      </c>
      <c r="BE56">
        <v>0</v>
      </c>
      <c r="BF56">
        <v>28</v>
      </c>
      <c r="BG56">
        <v>0</v>
      </c>
      <c r="BH56">
        <v>447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142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121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50</v>
      </c>
      <c r="CD56">
        <v>87</v>
      </c>
      <c r="CE56">
        <v>69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</row>
    <row r="57" spans="1:102" x14ac:dyDescent="0.25">
      <c r="D57" t="s">
        <v>1000</v>
      </c>
      <c r="E57" t="s">
        <v>1520</v>
      </c>
      <c r="H57">
        <f>SUM(O57:CX57)</f>
        <v>1375</v>
      </c>
      <c r="I57">
        <f>COUNTIF(O57:CX57, "&gt;0")</f>
        <v>17</v>
      </c>
      <c r="J57">
        <v>77</v>
      </c>
      <c r="K57">
        <v>35</v>
      </c>
      <c r="L57" s="11">
        <f>H57/1310037</f>
        <v>1.0495886757396929E-3</v>
      </c>
      <c r="M57" s="10">
        <f>I57/88</f>
        <v>0.19318181818181818</v>
      </c>
      <c r="N57" s="10">
        <f>(COUNTIF(CI57:CX57,"&gt;0")/16)</f>
        <v>6.25E-2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18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259</v>
      </c>
      <c r="AK57">
        <v>49</v>
      </c>
      <c r="AL57">
        <v>109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194</v>
      </c>
      <c r="AS57">
        <v>0</v>
      </c>
      <c r="AT57">
        <v>12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69</v>
      </c>
      <c r="BC57">
        <v>34</v>
      </c>
      <c r="BD57">
        <v>15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86</v>
      </c>
      <c r="BL57">
        <v>51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10</v>
      </c>
      <c r="BV57">
        <v>9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114</v>
      </c>
      <c r="CD57">
        <v>168</v>
      </c>
      <c r="CE57">
        <v>128</v>
      </c>
      <c r="CF57">
        <v>0</v>
      </c>
      <c r="CG57">
        <v>0</v>
      </c>
      <c r="CH57">
        <v>0</v>
      </c>
      <c r="CI57">
        <v>50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</row>
    <row r="58" spans="1:102" x14ac:dyDescent="0.25">
      <c r="D58" t="s">
        <v>1363</v>
      </c>
      <c r="E58" t="s">
        <v>1558</v>
      </c>
      <c r="H58">
        <f>SUM(O58:CX58)</f>
        <v>1280</v>
      </c>
      <c r="I58">
        <f>COUNTIF(O58:CX58, "&gt;0")</f>
        <v>8</v>
      </c>
      <c r="J58">
        <v>40</v>
      </c>
      <c r="K58">
        <v>73</v>
      </c>
      <c r="L58" s="11">
        <f>H58/1310037</f>
        <v>9.7707163996131412E-4</v>
      </c>
      <c r="M58" s="10">
        <f>I58/88</f>
        <v>9.0909090909090912E-2</v>
      </c>
      <c r="N58" s="10">
        <f>(COUNTIF(CI58:CX58,"&gt;0")/16)</f>
        <v>6.25E-2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398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170</v>
      </c>
      <c r="AH58">
        <v>0</v>
      </c>
      <c r="AI58">
        <v>54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149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184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281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40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4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</row>
    <row r="59" spans="1:102" x14ac:dyDescent="0.25">
      <c r="D59" t="s">
        <v>1098</v>
      </c>
      <c r="E59" t="s">
        <v>1488</v>
      </c>
      <c r="H59">
        <f>SUM(O59:CX59)</f>
        <v>1277</v>
      </c>
      <c r="I59">
        <f>COUNTIF(O59:CX59, "&gt;0")</f>
        <v>21</v>
      </c>
      <c r="J59">
        <v>9</v>
      </c>
      <c r="K59">
        <v>3</v>
      </c>
      <c r="L59" s="11">
        <f>H59/1310037</f>
        <v>9.7478162830515473E-4</v>
      </c>
      <c r="M59" s="10">
        <f>I59/88</f>
        <v>0.23863636363636365</v>
      </c>
      <c r="N59" s="10">
        <f>(COUNTIF(CI59:CX59,"&gt;0")/16)</f>
        <v>0</v>
      </c>
      <c r="O59">
        <v>0</v>
      </c>
      <c r="P59">
        <v>0</v>
      </c>
      <c r="Q59">
        <v>0</v>
      </c>
      <c r="R59">
        <v>28</v>
      </c>
      <c r="S59">
        <v>0</v>
      </c>
      <c r="T59">
        <v>0</v>
      </c>
      <c r="U59">
        <v>0</v>
      </c>
      <c r="V59">
        <v>0</v>
      </c>
      <c r="W59">
        <v>47</v>
      </c>
      <c r="X59">
        <v>0</v>
      </c>
      <c r="Y59">
        <v>0</v>
      </c>
      <c r="Z59">
        <v>0</v>
      </c>
      <c r="AA59">
        <v>19</v>
      </c>
      <c r="AB59">
        <v>32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42</v>
      </c>
      <c r="AK59">
        <v>21</v>
      </c>
      <c r="AL59">
        <v>25</v>
      </c>
      <c r="AM59">
        <v>37</v>
      </c>
      <c r="AN59">
        <v>38</v>
      </c>
      <c r="AO59">
        <v>24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45</v>
      </c>
      <c r="AV59">
        <v>36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14</v>
      </c>
      <c r="BC59">
        <v>0</v>
      </c>
      <c r="BD59">
        <v>15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18</v>
      </c>
      <c r="BM59">
        <v>0</v>
      </c>
      <c r="BN59">
        <v>602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10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77</v>
      </c>
      <c r="CD59">
        <v>45</v>
      </c>
      <c r="CE59">
        <v>36</v>
      </c>
      <c r="CF59">
        <v>0</v>
      </c>
      <c r="CG59">
        <v>66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</row>
    <row r="60" spans="1:102" x14ac:dyDescent="0.25">
      <c r="D60" t="s">
        <v>1058</v>
      </c>
      <c r="E60" t="s">
        <v>1505</v>
      </c>
      <c r="H60">
        <f>SUM(O60:CX60)</f>
        <v>1245</v>
      </c>
      <c r="I60">
        <f>COUNTIF(O60:CX60, "&gt;0")</f>
        <v>17</v>
      </c>
      <c r="J60">
        <v>14</v>
      </c>
      <c r="K60">
        <v>20</v>
      </c>
      <c r="L60" s="11">
        <f>H60/1310037</f>
        <v>9.5035483730612194E-4</v>
      </c>
      <c r="M60" s="10">
        <f>I60/88</f>
        <v>0.19318181818181818</v>
      </c>
      <c r="N60" s="10">
        <f>(COUNTIF(CI60:CX60,"&gt;0")/16)</f>
        <v>0.125</v>
      </c>
      <c r="O60">
        <v>0</v>
      </c>
      <c r="P60">
        <v>0</v>
      </c>
      <c r="Q60">
        <v>87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55</v>
      </c>
      <c r="Z60">
        <v>13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95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68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15</v>
      </c>
      <c r="AY60">
        <v>0</v>
      </c>
      <c r="AZ60">
        <v>0</v>
      </c>
      <c r="BA60">
        <v>249</v>
      </c>
      <c r="BB60">
        <v>0</v>
      </c>
      <c r="BC60">
        <v>0</v>
      </c>
      <c r="BD60">
        <v>3</v>
      </c>
      <c r="BE60">
        <v>0</v>
      </c>
      <c r="BF60">
        <v>0</v>
      </c>
      <c r="BG60">
        <v>0</v>
      </c>
      <c r="BH60">
        <v>0</v>
      </c>
      <c r="BI60">
        <v>24</v>
      </c>
      <c r="BJ60">
        <v>86</v>
      </c>
      <c r="BK60">
        <v>0</v>
      </c>
      <c r="BL60">
        <v>2</v>
      </c>
      <c r="BM60">
        <v>0</v>
      </c>
      <c r="BN60">
        <v>0</v>
      </c>
      <c r="BO60">
        <v>0</v>
      </c>
      <c r="BP60">
        <v>0</v>
      </c>
      <c r="BQ60">
        <v>71</v>
      </c>
      <c r="BR60">
        <v>347</v>
      </c>
      <c r="BS60">
        <v>44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71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7</v>
      </c>
      <c r="CS60">
        <v>8</v>
      </c>
      <c r="CT60">
        <v>0</v>
      </c>
      <c r="CU60">
        <v>0</v>
      </c>
      <c r="CV60">
        <v>0</v>
      </c>
      <c r="CW60">
        <v>0</v>
      </c>
      <c r="CX60">
        <v>0</v>
      </c>
    </row>
    <row r="61" spans="1:102" x14ac:dyDescent="0.25">
      <c r="D61" t="s">
        <v>1253</v>
      </c>
      <c r="E61" t="s">
        <v>1509</v>
      </c>
      <c r="H61">
        <f>SUM(O61:CX61)</f>
        <v>1212</v>
      </c>
      <c r="I61">
        <f>COUNTIF(O61:CX61, "&gt;0")</f>
        <v>4</v>
      </c>
      <c r="J61">
        <v>28</v>
      </c>
      <c r="K61">
        <v>24</v>
      </c>
      <c r="L61" s="11">
        <f>H61/1310037</f>
        <v>9.2516470908836921E-4</v>
      </c>
      <c r="M61" s="10">
        <f>I61/88</f>
        <v>4.5454545454545456E-2</v>
      </c>
      <c r="N61" s="10">
        <f>(COUNTIF(CI61:CX61,"&gt;0")/16)</f>
        <v>0.1875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264</v>
      </c>
      <c r="CL61">
        <v>0</v>
      </c>
      <c r="CM61">
        <v>0</v>
      </c>
      <c r="CN61">
        <v>0</v>
      </c>
      <c r="CO61">
        <v>147</v>
      </c>
      <c r="CP61">
        <v>0</v>
      </c>
      <c r="CQ61">
        <v>0</v>
      </c>
      <c r="CR61">
        <v>0</v>
      </c>
      <c r="CS61">
        <v>797</v>
      </c>
      <c r="CT61">
        <v>0</v>
      </c>
      <c r="CU61">
        <v>0</v>
      </c>
      <c r="CV61">
        <v>0</v>
      </c>
      <c r="CW61">
        <v>0</v>
      </c>
      <c r="CX61">
        <v>0</v>
      </c>
    </row>
    <row r="62" spans="1:102" x14ac:dyDescent="0.25">
      <c r="A62" s="8"/>
      <c r="D62" t="s">
        <v>1198</v>
      </c>
      <c r="E62" t="s">
        <v>1515</v>
      </c>
      <c r="H62">
        <f>SUM(O62:CX62)</f>
        <v>1197</v>
      </c>
      <c r="I62">
        <f>COUNTIF(O62:CX62, "&gt;0")</f>
        <v>20</v>
      </c>
      <c r="J62">
        <v>56</v>
      </c>
      <c r="K62">
        <v>30</v>
      </c>
      <c r="L62" s="11">
        <f>H62/1310037</f>
        <v>9.1371465080757259E-4</v>
      </c>
      <c r="M62" s="10">
        <f>I62/88</f>
        <v>0.22727272727272727</v>
      </c>
      <c r="N62" s="10">
        <f>(COUNTIF(CI62:CX62,"&gt;0")/16)</f>
        <v>0</v>
      </c>
      <c r="O62">
        <v>0</v>
      </c>
      <c r="P62">
        <v>0</v>
      </c>
      <c r="Q62">
        <v>0</v>
      </c>
      <c r="R62">
        <v>63</v>
      </c>
      <c r="S62">
        <v>0</v>
      </c>
      <c r="T62">
        <v>0</v>
      </c>
      <c r="U62">
        <v>35</v>
      </c>
      <c r="V62">
        <v>0</v>
      </c>
      <c r="W62">
        <v>59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47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51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32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28</v>
      </c>
      <c r="BF62">
        <v>62</v>
      </c>
      <c r="BG62">
        <v>0</v>
      </c>
      <c r="BH62">
        <v>0</v>
      </c>
      <c r="BI62">
        <v>0</v>
      </c>
      <c r="BJ62">
        <v>0</v>
      </c>
      <c r="BK62">
        <v>170</v>
      </c>
      <c r="BL62">
        <v>65</v>
      </c>
      <c r="BM62">
        <v>0</v>
      </c>
      <c r="BN62">
        <v>27</v>
      </c>
      <c r="BO62">
        <v>0</v>
      </c>
      <c r="BP62">
        <v>44</v>
      </c>
      <c r="BQ62">
        <v>0</v>
      </c>
      <c r="BR62">
        <v>0</v>
      </c>
      <c r="BS62">
        <v>105</v>
      </c>
      <c r="BT62">
        <v>0</v>
      </c>
      <c r="BU62">
        <v>24</v>
      </c>
      <c r="BV62">
        <v>0</v>
      </c>
      <c r="BW62">
        <v>0</v>
      </c>
      <c r="BX62">
        <v>40</v>
      </c>
      <c r="BY62">
        <v>0</v>
      </c>
      <c r="BZ62">
        <v>0</v>
      </c>
      <c r="CA62">
        <v>0</v>
      </c>
      <c r="CB62">
        <v>0</v>
      </c>
      <c r="CC62">
        <v>67</v>
      </c>
      <c r="CD62">
        <v>0</v>
      </c>
      <c r="CE62">
        <v>90</v>
      </c>
      <c r="CF62">
        <v>57</v>
      </c>
      <c r="CG62">
        <v>76</v>
      </c>
      <c r="CH62">
        <v>55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</row>
    <row r="63" spans="1:102" x14ac:dyDescent="0.25">
      <c r="D63" t="s">
        <v>1389</v>
      </c>
      <c r="E63" t="s">
        <v>1633</v>
      </c>
      <c r="H63">
        <f>SUM(O63:CX63)</f>
        <v>1181</v>
      </c>
      <c r="I63">
        <f>COUNTIF(O63:CX63, "&gt;0")</f>
        <v>17</v>
      </c>
      <c r="J63">
        <v>176</v>
      </c>
      <c r="K63">
        <v>148</v>
      </c>
      <c r="L63" s="11">
        <f>H63/1310037</f>
        <v>9.0150125530805614E-4</v>
      </c>
      <c r="M63" s="10">
        <f>I63/88</f>
        <v>0.19318181818181818</v>
      </c>
      <c r="N63" s="10">
        <f>(COUNTIF(CI63:CX63,"&gt;0")/16)</f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34</v>
      </c>
      <c r="U63">
        <v>0</v>
      </c>
      <c r="V63">
        <v>0</v>
      </c>
      <c r="W63">
        <v>0</v>
      </c>
      <c r="X63">
        <v>17</v>
      </c>
      <c r="Y63">
        <v>0</v>
      </c>
      <c r="Z63">
        <v>0</v>
      </c>
      <c r="AA63">
        <v>0</v>
      </c>
      <c r="AB63">
        <v>43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172</v>
      </c>
      <c r="AK63">
        <v>0</v>
      </c>
      <c r="AL63">
        <v>79</v>
      </c>
      <c r="AM63">
        <v>23</v>
      </c>
      <c r="AN63">
        <v>25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206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40</v>
      </c>
      <c r="BD63">
        <v>0</v>
      </c>
      <c r="BE63">
        <v>0</v>
      </c>
      <c r="BF63">
        <v>23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40</v>
      </c>
      <c r="BP63">
        <v>0</v>
      </c>
      <c r="BQ63">
        <v>104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28</v>
      </c>
      <c r="BY63">
        <v>0</v>
      </c>
      <c r="BZ63">
        <v>0</v>
      </c>
      <c r="CA63">
        <v>0</v>
      </c>
      <c r="CB63">
        <v>0</v>
      </c>
      <c r="CC63">
        <v>107</v>
      </c>
      <c r="CD63">
        <v>81</v>
      </c>
      <c r="CE63">
        <v>109</v>
      </c>
      <c r="CF63">
        <v>0</v>
      </c>
      <c r="CG63">
        <v>50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</row>
    <row r="64" spans="1:102" x14ac:dyDescent="0.25">
      <c r="D64" t="s">
        <v>1373</v>
      </c>
      <c r="E64" t="s">
        <v>1557</v>
      </c>
      <c r="H64">
        <f>SUM(O64:CX64)</f>
        <v>1168</v>
      </c>
      <c r="I64">
        <f>COUNTIF(O64:CX64, "&gt;0")</f>
        <v>35</v>
      </c>
      <c r="J64">
        <v>201</v>
      </c>
      <c r="K64">
        <v>72</v>
      </c>
      <c r="L64" s="11">
        <f>H64/1310037</f>
        <v>8.9157787146469907E-4</v>
      </c>
      <c r="M64" s="10">
        <f>I64/88</f>
        <v>0.39772727272727271</v>
      </c>
      <c r="N64" s="10">
        <f>(COUNTIF(CI64:CX64,"&gt;0")/16)</f>
        <v>6.25E-2</v>
      </c>
      <c r="O64">
        <v>0</v>
      </c>
      <c r="P64">
        <v>0</v>
      </c>
      <c r="Q64">
        <v>120</v>
      </c>
      <c r="R64">
        <v>10</v>
      </c>
      <c r="S64">
        <v>0</v>
      </c>
      <c r="T64">
        <v>0</v>
      </c>
      <c r="U64">
        <v>0</v>
      </c>
      <c r="V64">
        <v>0</v>
      </c>
      <c r="W64">
        <v>8</v>
      </c>
      <c r="X64">
        <v>15</v>
      </c>
      <c r="Y64">
        <v>0</v>
      </c>
      <c r="Z64">
        <v>0</v>
      </c>
      <c r="AA64">
        <v>0</v>
      </c>
      <c r="AB64">
        <v>9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69</v>
      </c>
      <c r="AI64">
        <v>27</v>
      </c>
      <c r="AJ64">
        <v>77</v>
      </c>
      <c r="AK64">
        <v>26</v>
      </c>
      <c r="AL64">
        <v>58</v>
      </c>
      <c r="AM64">
        <v>3</v>
      </c>
      <c r="AN64">
        <v>7</v>
      </c>
      <c r="AO64">
        <v>7</v>
      </c>
      <c r="AP64">
        <v>0</v>
      </c>
      <c r="AQ64">
        <v>10</v>
      </c>
      <c r="AR64">
        <v>0</v>
      </c>
      <c r="AS64">
        <v>0</v>
      </c>
      <c r="AT64">
        <v>4</v>
      </c>
      <c r="AU64">
        <v>0</v>
      </c>
      <c r="AV64">
        <v>9</v>
      </c>
      <c r="AW64">
        <v>9</v>
      </c>
      <c r="AX64">
        <v>0</v>
      </c>
      <c r="AY64">
        <v>28</v>
      </c>
      <c r="AZ64">
        <v>0</v>
      </c>
      <c r="BA64">
        <v>0</v>
      </c>
      <c r="BB64">
        <v>0</v>
      </c>
      <c r="BC64">
        <v>11</v>
      </c>
      <c r="BD64">
        <v>4</v>
      </c>
      <c r="BE64">
        <v>3</v>
      </c>
      <c r="BF64">
        <v>0</v>
      </c>
      <c r="BG64">
        <v>3</v>
      </c>
      <c r="BH64">
        <v>0</v>
      </c>
      <c r="BI64">
        <v>0</v>
      </c>
      <c r="BJ64">
        <v>168</v>
      </c>
      <c r="BK64">
        <v>0</v>
      </c>
      <c r="BL64">
        <v>0</v>
      </c>
      <c r="BM64">
        <v>0</v>
      </c>
      <c r="BN64">
        <v>0</v>
      </c>
      <c r="BO64">
        <v>11</v>
      </c>
      <c r="BP64">
        <v>0</v>
      </c>
      <c r="BQ64">
        <v>82</v>
      </c>
      <c r="BR64">
        <v>144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9</v>
      </c>
      <c r="BY64">
        <v>0</v>
      </c>
      <c r="BZ64">
        <v>0</v>
      </c>
      <c r="CA64">
        <v>0</v>
      </c>
      <c r="CB64">
        <v>115</v>
      </c>
      <c r="CC64">
        <v>22</v>
      </c>
      <c r="CD64">
        <v>29</v>
      </c>
      <c r="CE64">
        <v>50</v>
      </c>
      <c r="CF64">
        <v>7</v>
      </c>
      <c r="CG64">
        <v>4</v>
      </c>
      <c r="CH64">
        <v>8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2</v>
      </c>
      <c r="CT64">
        <v>0</v>
      </c>
      <c r="CU64">
        <v>0</v>
      </c>
      <c r="CV64">
        <v>0</v>
      </c>
      <c r="CW64">
        <v>0</v>
      </c>
      <c r="CX64">
        <v>0</v>
      </c>
    </row>
    <row r="65" spans="1:102" x14ac:dyDescent="0.25">
      <c r="A65" s="8"/>
      <c r="D65" t="s">
        <v>1348</v>
      </c>
      <c r="E65" t="s">
        <v>1663</v>
      </c>
      <c r="H65">
        <f>SUM(O65:CX65)</f>
        <v>1155</v>
      </c>
      <c r="I65">
        <f>COUNTIF(O65:CX65, "&gt;0")</f>
        <v>38</v>
      </c>
      <c r="J65">
        <v>122</v>
      </c>
      <c r="K65">
        <v>178</v>
      </c>
      <c r="L65" s="11">
        <f>H65/1310037</f>
        <v>8.8165448762134201E-4</v>
      </c>
      <c r="M65" s="10">
        <f>I65/88</f>
        <v>0.43181818181818182</v>
      </c>
      <c r="N65" s="10">
        <f>(COUNTIF(CI65:CX65,"&gt;0")/16)</f>
        <v>6.25E-2</v>
      </c>
      <c r="O65">
        <v>0</v>
      </c>
      <c r="P65">
        <v>6</v>
      </c>
      <c r="Q65">
        <v>0</v>
      </c>
      <c r="R65">
        <v>18</v>
      </c>
      <c r="S65">
        <v>39</v>
      </c>
      <c r="T65">
        <v>0</v>
      </c>
      <c r="U65">
        <v>0</v>
      </c>
      <c r="V65">
        <v>29</v>
      </c>
      <c r="W65">
        <v>43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2</v>
      </c>
      <c r="AE65">
        <v>8</v>
      </c>
      <c r="AF65">
        <v>0</v>
      </c>
      <c r="AG65">
        <v>0</v>
      </c>
      <c r="AH65">
        <v>0</v>
      </c>
      <c r="AI65">
        <v>0</v>
      </c>
      <c r="AJ65">
        <v>158</v>
      </c>
      <c r="AK65">
        <v>45</v>
      </c>
      <c r="AL65">
        <v>98</v>
      </c>
      <c r="AM65">
        <v>22</v>
      </c>
      <c r="AN65">
        <v>24</v>
      </c>
      <c r="AO65">
        <v>17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22</v>
      </c>
      <c r="AX65">
        <v>0</v>
      </c>
      <c r="AY65">
        <v>0</v>
      </c>
      <c r="AZ65">
        <v>0</v>
      </c>
      <c r="BA65">
        <v>0</v>
      </c>
      <c r="BB65">
        <v>9</v>
      </c>
      <c r="BC65">
        <v>41</v>
      </c>
      <c r="BD65">
        <v>5</v>
      </c>
      <c r="BE65">
        <v>12</v>
      </c>
      <c r="BF65">
        <v>40</v>
      </c>
      <c r="BG65">
        <v>13</v>
      </c>
      <c r="BH65">
        <v>0</v>
      </c>
      <c r="BI65">
        <v>0</v>
      </c>
      <c r="BJ65">
        <v>0</v>
      </c>
      <c r="BK65">
        <v>42</v>
      </c>
      <c r="BL65">
        <v>6</v>
      </c>
      <c r="BM65">
        <v>0</v>
      </c>
      <c r="BN65">
        <v>4</v>
      </c>
      <c r="BO65">
        <v>18</v>
      </c>
      <c r="BP65">
        <v>7</v>
      </c>
      <c r="BQ65">
        <v>0</v>
      </c>
      <c r="BR65">
        <v>0</v>
      </c>
      <c r="BS65">
        <v>0</v>
      </c>
      <c r="BT65">
        <v>8</v>
      </c>
      <c r="BU65">
        <v>9</v>
      </c>
      <c r="BV65">
        <v>11</v>
      </c>
      <c r="BW65">
        <v>5</v>
      </c>
      <c r="BX65">
        <v>31</v>
      </c>
      <c r="BY65">
        <v>15</v>
      </c>
      <c r="BZ65">
        <v>0</v>
      </c>
      <c r="CA65">
        <v>0</v>
      </c>
      <c r="CB65">
        <v>0</v>
      </c>
      <c r="CC65">
        <v>67</v>
      </c>
      <c r="CD65">
        <v>123</v>
      </c>
      <c r="CE65">
        <v>116</v>
      </c>
      <c r="CF65">
        <v>15</v>
      </c>
      <c r="CG65">
        <v>11</v>
      </c>
      <c r="CH65">
        <v>12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4</v>
      </c>
      <c r="CT65">
        <v>0</v>
      </c>
      <c r="CU65">
        <v>0</v>
      </c>
      <c r="CV65">
        <v>0</v>
      </c>
      <c r="CW65">
        <v>0</v>
      </c>
      <c r="CX65">
        <v>0</v>
      </c>
    </row>
    <row r="66" spans="1:102" x14ac:dyDescent="0.25">
      <c r="D66" t="s">
        <v>1257</v>
      </c>
      <c r="E66" t="s">
        <v>1576</v>
      </c>
      <c r="H66">
        <f>SUM(O66:CX66)</f>
        <v>1145</v>
      </c>
      <c r="I66">
        <f>COUNTIF(O66:CX66, "&gt;0")</f>
        <v>44</v>
      </c>
      <c r="J66">
        <v>103</v>
      </c>
      <c r="K66">
        <v>91</v>
      </c>
      <c r="L66" s="11">
        <f>H66/1310037</f>
        <v>8.7402111543414423E-4</v>
      </c>
      <c r="M66" s="10">
        <f>I66/88</f>
        <v>0.5</v>
      </c>
      <c r="N66" s="10">
        <f>(COUNTIF(CI66:CX66,"&gt;0")/16)</f>
        <v>6.25E-2</v>
      </c>
      <c r="O66">
        <v>0</v>
      </c>
      <c r="P66">
        <v>0</v>
      </c>
      <c r="Q66">
        <v>0</v>
      </c>
      <c r="R66">
        <v>122</v>
      </c>
      <c r="S66">
        <v>0</v>
      </c>
      <c r="T66">
        <v>6</v>
      </c>
      <c r="U66">
        <v>38</v>
      </c>
      <c r="V66">
        <v>12</v>
      </c>
      <c r="W66">
        <v>6</v>
      </c>
      <c r="X66">
        <v>0</v>
      </c>
      <c r="Y66">
        <v>0</v>
      </c>
      <c r="Z66">
        <v>0</v>
      </c>
      <c r="AA66">
        <v>0</v>
      </c>
      <c r="AB66">
        <v>5</v>
      </c>
      <c r="AC66">
        <v>0</v>
      </c>
      <c r="AD66">
        <v>8</v>
      </c>
      <c r="AE66">
        <v>26</v>
      </c>
      <c r="AF66">
        <v>7</v>
      </c>
      <c r="AG66">
        <v>0</v>
      </c>
      <c r="AH66">
        <v>52</v>
      </c>
      <c r="AI66">
        <v>0</v>
      </c>
      <c r="AJ66">
        <v>33</v>
      </c>
      <c r="AK66">
        <v>22</v>
      </c>
      <c r="AL66">
        <v>38</v>
      </c>
      <c r="AM66">
        <v>21</v>
      </c>
      <c r="AN66">
        <v>25</v>
      </c>
      <c r="AO66">
        <v>14</v>
      </c>
      <c r="AP66">
        <v>0</v>
      </c>
      <c r="AQ66">
        <v>0</v>
      </c>
      <c r="AR66">
        <v>0</v>
      </c>
      <c r="AS66">
        <v>31</v>
      </c>
      <c r="AT66">
        <v>0</v>
      </c>
      <c r="AU66">
        <v>12</v>
      </c>
      <c r="AV66">
        <v>6</v>
      </c>
      <c r="AW66">
        <v>53</v>
      </c>
      <c r="AX66">
        <v>51</v>
      </c>
      <c r="AY66">
        <v>0</v>
      </c>
      <c r="AZ66">
        <v>0</v>
      </c>
      <c r="BA66">
        <v>0</v>
      </c>
      <c r="BB66">
        <v>18</v>
      </c>
      <c r="BC66">
        <v>30</v>
      </c>
      <c r="BD66">
        <v>11</v>
      </c>
      <c r="BE66">
        <v>18</v>
      </c>
      <c r="BF66">
        <v>9</v>
      </c>
      <c r="BG66">
        <v>11</v>
      </c>
      <c r="BH66">
        <v>38</v>
      </c>
      <c r="BI66">
        <v>0</v>
      </c>
      <c r="BJ66">
        <v>0</v>
      </c>
      <c r="BK66">
        <v>0</v>
      </c>
      <c r="BL66">
        <v>19</v>
      </c>
      <c r="BM66">
        <v>0</v>
      </c>
      <c r="BN66">
        <v>15</v>
      </c>
      <c r="BO66">
        <v>34</v>
      </c>
      <c r="BP66">
        <v>28</v>
      </c>
      <c r="BQ66">
        <v>0</v>
      </c>
      <c r="BR66">
        <v>0</v>
      </c>
      <c r="BS66">
        <v>0</v>
      </c>
      <c r="BT66">
        <v>12</v>
      </c>
      <c r="BU66">
        <v>8</v>
      </c>
      <c r="BV66">
        <v>12</v>
      </c>
      <c r="BW66">
        <v>0</v>
      </c>
      <c r="BX66">
        <v>30</v>
      </c>
      <c r="BY66">
        <v>11</v>
      </c>
      <c r="BZ66">
        <v>0</v>
      </c>
      <c r="CA66">
        <v>0</v>
      </c>
      <c r="CB66">
        <v>0</v>
      </c>
      <c r="CC66">
        <v>70</v>
      </c>
      <c r="CD66">
        <v>51</v>
      </c>
      <c r="CE66">
        <v>50</v>
      </c>
      <c r="CF66">
        <v>23</v>
      </c>
      <c r="CG66">
        <v>32</v>
      </c>
      <c r="CH66">
        <v>19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8</v>
      </c>
      <c r="CU66">
        <v>0</v>
      </c>
      <c r="CV66">
        <v>0</v>
      </c>
      <c r="CW66">
        <v>0</v>
      </c>
      <c r="CX66">
        <v>0</v>
      </c>
    </row>
    <row r="67" spans="1:102" x14ac:dyDescent="0.25">
      <c r="D67" t="s">
        <v>1200</v>
      </c>
      <c r="E67" t="s">
        <v>1602</v>
      </c>
      <c r="H67">
        <f>SUM(O67:CX67)</f>
        <v>950</v>
      </c>
      <c r="I67">
        <f>COUNTIF(O67:CX67, "&gt;0")</f>
        <v>6</v>
      </c>
      <c r="J67">
        <v>187</v>
      </c>
      <c r="K67">
        <v>117</v>
      </c>
      <c r="L67" s="11">
        <f>H67/1310037</f>
        <v>7.2517035778378776E-4</v>
      </c>
      <c r="M67" s="10">
        <f>I67/88</f>
        <v>6.8181818181818177E-2</v>
      </c>
      <c r="N67" s="10">
        <f>(COUNTIF(CI67:CX67,"&gt;0")/16)</f>
        <v>0</v>
      </c>
      <c r="O67">
        <v>0</v>
      </c>
      <c r="P67">
        <v>32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205</v>
      </c>
      <c r="AH67">
        <v>0</v>
      </c>
      <c r="AI67">
        <v>55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180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137</v>
      </c>
      <c r="BR67">
        <v>341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</row>
    <row r="68" spans="1:102" x14ac:dyDescent="0.25">
      <c r="A68" s="8"/>
      <c r="D68" s="8" t="s">
        <v>1245</v>
      </c>
      <c r="E68" t="s">
        <v>1673</v>
      </c>
      <c r="F68" s="13"/>
      <c r="H68">
        <f>SUM(O68:CX68)</f>
        <v>894</v>
      </c>
      <c r="I68">
        <f>COUNTIF(O68:CX68, "&gt;0")</f>
        <v>11</v>
      </c>
      <c r="J68">
        <v>197</v>
      </c>
      <c r="K68">
        <v>188</v>
      </c>
      <c r="L68" s="11">
        <f>H68/1310037</f>
        <v>6.8242347353548029E-4</v>
      </c>
      <c r="M68" s="10">
        <f>I68/88</f>
        <v>0.125</v>
      </c>
      <c r="N68" s="10">
        <f>(COUNTIF(CI68:CX68,"&gt;0")/16)</f>
        <v>6.25E-2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17</v>
      </c>
      <c r="Y68">
        <v>0</v>
      </c>
      <c r="Z68">
        <v>9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132</v>
      </c>
      <c r="AI68">
        <v>54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19</v>
      </c>
      <c r="AQ68">
        <v>0</v>
      </c>
      <c r="AR68">
        <v>102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97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178</v>
      </c>
      <c r="CA68">
        <v>253</v>
      </c>
      <c r="CB68">
        <v>31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2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</row>
    <row r="69" spans="1:102" x14ac:dyDescent="0.25">
      <c r="D69" t="s">
        <v>1092</v>
      </c>
      <c r="E69" t="s">
        <v>1661</v>
      </c>
      <c r="H69">
        <f>SUM(O69:CX69)</f>
        <v>872</v>
      </c>
      <c r="I69">
        <f>COUNTIF(O69:CX69, "&gt;0")</f>
        <v>18</v>
      </c>
      <c r="J69">
        <v>111</v>
      </c>
      <c r="K69">
        <v>175</v>
      </c>
      <c r="L69" s="11">
        <f>H69/1310037</f>
        <v>6.6563005472364517E-4</v>
      </c>
      <c r="M69" s="10">
        <f>I69/88</f>
        <v>0.20454545454545456</v>
      </c>
      <c r="N69" s="10">
        <f>(COUNTIF(CI69:CX69,"&gt;0")/16)</f>
        <v>6.25E-2</v>
      </c>
      <c r="O69">
        <v>0</v>
      </c>
      <c r="P69">
        <v>72</v>
      </c>
      <c r="Q69">
        <v>157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29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130</v>
      </c>
      <c r="AI69">
        <v>96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45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11</v>
      </c>
      <c r="AY69">
        <v>0</v>
      </c>
      <c r="AZ69">
        <v>0</v>
      </c>
      <c r="BA69">
        <v>86</v>
      </c>
      <c r="BB69">
        <v>0</v>
      </c>
      <c r="BC69">
        <v>0</v>
      </c>
      <c r="BD69">
        <v>0</v>
      </c>
      <c r="BE69">
        <v>0</v>
      </c>
      <c r="BF69">
        <v>3</v>
      </c>
      <c r="BG69">
        <v>0</v>
      </c>
      <c r="BH69">
        <v>33</v>
      </c>
      <c r="BI69">
        <v>0</v>
      </c>
      <c r="BJ69">
        <v>66</v>
      </c>
      <c r="BK69">
        <v>0</v>
      </c>
      <c r="BL69">
        <v>0</v>
      </c>
      <c r="BM69">
        <v>0</v>
      </c>
      <c r="BN69">
        <v>6</v>
      </c>
      <c r="BO69">
        <v>0</v>
      </c>
      <c r="BP69">
        <v>2</v>
      </c>
      <c r="BQ69">
        <v>0</v>
      </c>
      <c r="BR69">
        <v>0</v>
      </c>
      <c r="BS69">
        <v>57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60</v>
      </c>
      <c r="CB69">
        <v>0</v>
      </c>
      <c r="CC69">
        <v>3</v>
      </c>
      <c r="CD69">
        <v>0</v>
      </c>
      <c r="CE69">
        <v>4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12</v>
      </c>
      <c r="CT69">
        <v>0</v>
      </c>
      <c r="CU69">
        <v>0</v>
      </c>
      <c r="CV69">
        <v>0</v>
      </c>
      <c r="CW69">
        <v>0</v>
      </c>
      <c r="CX69">
        <v>0</v>
      </c>
    </row>
    <row r="70" spans="1:102" x14ac:dyDescent="0.25">
      <c r="D70" t="s">
        <v>1321</v>
      </c>
      <c r="E70" t="s">
        <v>1561</v>
      </c>
      <c r="H70">
        <f>SUM(O70:CX70)</f>
        <v>861</v>
      </c>
      <c r="I70">
        <f>COUNTIF(O70:CX70, "&gt;0")</f>
        <v>15</v>
      </c>
      <c r="J70">
        <v>55</v>
      </c>
      <c r="K70">
        <v>76</v>
      </c>
      <c r="L70" s="11">
        <f>H70/1310037</f>
        <v>6.5723334531772766E-4</v>
      </c>
      <c r="M70" s="10">
        <f>I70/88</f>
        <v>0.17045454545454544</v>
      </c>
      <c r="N70" s="10">
        <f>(COUNTIF(CI70:CX70,"&gt;0")/16)</f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48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82</v>
      </c>
      <c r="AK70">
        <v>0</v>
      </c>
      <c r="AL70">
        <v>44</v>
      </c>
      <c r="AM70">
        <v>0</v>
      </c>
      <c r="AN70">
        <v>33</v>
      </c>
      <c r="AO70">
        <v>0</v>
      </c>
      <c r="AP70">
        <v>0</v>
      </c>
      <c r="AQ70">
        <v>0</v>
      </c>
      <c r="AR70">
        <v>0</v>
      </c>
      <c r="AS70">
        <v>12</v>
      </c>
      <c r="AT70">
        <v>0</v>
      </c>
      <c r="AU70">
        <v>36</v>
      </c>
      <c r="AV70">
        <v>0</v>
      </c>
      <c r="AW70">
        <v>0</v>
      </c>
      <c r="AX70">
        <v>55</v>
      </c>
      <c r="AY70">
        <v>0</v>
      </c>
      <c r="AZ70">
        <v>0</v>
      </c>
      <c r="BA70">
        <v>0</v>
      </c>
      <c r="BB70">
        <v>100</v>
      </c>
      <c r="BC70">
        <v>180</v>
      </c>
      <c r="BD70">
        <v>23</v>
      </c>
      <c r="BE70">
        <v>0</v>
      </c>
      <c r="BF70">
        <v>0</v>
      </c>
      <c r="BG70">
        <v>0</v>
      </c>
      <c r="BH70">
        <v>19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43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23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131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</row>
    <row r="71" spans="1:102" x14ac:dyDescent="0.25">
      <c r="D71" t="s">
        <v>1228</v>
      </c>
      <c r="E71" t="s">
        <v>1687</v>
      </c>
      <c r="H71">
        <f>SUM(O71:CX71)</f>
        <v>830</v>
      </c>
      <c r="I71">
        <f>COUNTIF(O71:CX71, "&gt;0")</f>
        <v>6</v>
      </c>
      <c r="J71">
        <v>174</v>
      </c>
      <c r="K71">
        <v>203</v>
      </c>
      <c r="L71" s="11">
        <f>H71/1310037</f>
        <v>6.3356989153741459E-4</v>
      </c>
      <c r="M71" s="10">
        <f>I71/88</f>
        <v>6.8181818181818177E-2</v>
      </c>
      <c r="N71" s="10">
        <f>(COUNTIF(CI71:CX71,"&gt;0")/16)</f>
        <v>0.125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100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19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127</v>
      </c>
      <c r="BS71">
        <v>578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3</v>
      </c>
      <c r="CT71">
        <v>0</v>
      </c>
      <c r="CU71">
        <v>0</v>
      </c>
      <c r="CV71">
        <v>3</v>
      </c>
      <c r="CW71">
        <v>0</v>
      </c>
      <c r="CX71">
        <v>0</v>
      </c>
    </row>
    <row r="72" spans="1:102" x14ac:dyDescent="0.25">
      <c r="D72" t="s">
        <v>1117</v>
      </c>
      <c r="E72" t="s">
        <v>1518</v>
      </c>
      <c r="H72">
        <f>SUM(O72:CX72)</f>
        <v>785</v>
      </c>
      <c r="I72">
        <f>COUNTIF(O72:CX72, "&gt;0")</f>
        <v>6</v>
      </c>
      <c r="J72">
        <v>53</v>
      </c>
      <c r="K72">
        <v>33</v>
      </c>
      <c r="L72" s="11">
        <f>H72/1310037</f>
        <v>5.9921971669502463E-4</v>
      </c>
      <c r="M72" s="10">
        <f>I72/88</f>
        <v>6.8181818181818177E-2</v>
      </c>
      <c r="N72" s="10">
        <f>(COUNTIF(CI72:CX72,"&gt;0")/16)</f>
        <v>0</v>
      </c>
      <c r="O72">
        <v>20</v>
      </c>
      <c r="P72">
        <v>20</v>
      </c>
      <c r="Q72">
        <v>63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147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150</v>
      </c>
      <c r="AZ72">
        <v>0</v>
      </c>
      <c r="BA72">
        <v>385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</row>
    <row r="73" spans="1:102" x14ac:dyDescent="0.25">
      <c r="D73" t="s">
        <v>1391</v>
      </c>
      <c r="E73" t="s">
        <v>1600</v>
      </c>
      <c r="H73">
        <f>SUM(O73:CX73)</f>
        <v>772</v>
      </c>
      <c r="I73">
        <f>COUNTIF(O73:CX73, "&gt;0")</f>
        <v>2</v>
      </c>
      <c r="J73">
        <v>195</v>
      </c>
      <c r="K73">
        <v>115</v>
      </c>
      <c r="L73" s="11">
        <f>H73/1310037</f>
        <v>5.8929633285166756E-4</v>
      </c>
      <c r="M73" s="10">
        <f>I73/88</f>
        <v>2.2727272727272728E-2</v>
      </c>
      <c r="N73" s="10">
        <f>(COUNTIF(CI73:CX73,"&gt;0")/16)</f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388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384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</row>
    <row r="74" spans="1:102" x14ac:dyDescent="0.25">
      <c r="D74" t="s">
        <v>1170</v>
      </c>
      <c r="E74" t="s">
        <v>1686</v>
      </c>
      <c r="H74">
        <f>SUM(O74:CX74)</f>
        <v>737</v>
      </c>
      <c r="I74">
        <f>COUNTIF(O74:CX74, "&gt;0")</f>
        <v>13</v>
      </c>
      <c r="J74">
        <v>126</v>
      </c>
      <c r="K74">
        <v>201</v>
      </c>
      <c r="L74" s="11">
        <f>H74/1310037</f>
        <v>5.6257953019647538E-4</v>
      </c>
      <c r="M74" s="10">
        <f>I74/88</f>
        <v>0.14772727272727273</v>
      </c>
      <c r="N74" s="10">
        <f>(COUNTIF(CI74:CX74,"&gt;0")/16)</f>
        <v>0.25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56</v>
      </c>
      <c r="AH74">
        <v>0</v>
      </c>
      <c r="AI74">
        <v>30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9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7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179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105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87</v>
      </c>
      <c r="CA74">
        <v>83</v>
      </c>
      <c r="CB74">
        <v>137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4</v>
      </c>
      <c r="CQ74">
        <v>27</v>
      </c>
      <c r="CR74">
        <v>0</v>
      </c>
      <c r="CS74">
        <v>2</v>
      </c>
      <c r="CT74">
        <v>11</v>
      </c>
      <c r="CU74">
        <v>0</v>
      </c>
      <c r="CV74">
        <v>0</v>
      </c>
      <c r="CW74">
        <v>0</v>
      </c>
      <c r="CX74">
        <v>0</v>
      </c>
    </row>
    <row r="75" spans="1:102" x14ac:dyDescent="0.25">
      <c r="D75" t="s">
        <v>1234</v>
      </c>
      <c r="E75" t="s">
        <v>1530</v>
      </c>
      <c r="H75">
        <f>SUM(O75:CX75)</f>
        <v>705</v>
      </c>
      <c r="I75">
        <f>COUNTIF(O75:CX75, "&gt;0")</f>
        <v>4</v>
      </c>
      <c r="J75">
        <v>49</v>
      </c>
      <c r="K75">
        <v>45</v>
      </c>
      <c r="L75" s="11">
        <f>H75/1310037</f>
        <v>5.3815273919744248E-4</v>
      </c>
      <c r="M75" s="10">
        <f>I75/88</f>
        <v>4.5454545454545456E-2</v>
      </c>
      <c r="N75" s="10">
        <f>(COUNTIF(CI75:CX75,"&gt;0")/16)</f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362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117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185</v>
      </c>
      <c r="CA75">
        <v>0</v>
      </c>
      <c r="CB75">
        <v>41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</row>
    <row r="76" spans="1:102" x14ac:dyDescent="0.25">
      <c r="D76" t="s">
        <v>1142</v>
      </c>
      <c r="E76" t="s">
        <v>1517</v>
      </c>
      <c r="H76">
        <f>SUM(O76:CX76)</f>
        <v>700</v>
      </c>
      <c r="I76">
        <f>COUNTIF(O76:CX76, "&gt;0")</f>
        <v>4</v>
      </c>
      <c r="J76">
        <v>155</v>
      </c>
      <c r="K76">
        <v>32</v>
      </c>
      <c r="L76" s="11">
        <f>H76/1310037</f>
        <v>5.3433605310384364E-4</v>
      </c>
      <c r="M76" s="10">
        <f>I76/88</f>
        <v>4.5454545454545456E-2</v>
      </c>
      <c r="N76" s="10">
        <f>(COUNTIF(CI76:CX76,"&gt;0")/16)</f>
        <v>0</v>
      </c>
      <c r="O76">
        <v>0</v>
      </c>
      <c r="P76">
        <v>0</v>
      </c>
      <c r="Q76">
        <v>67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198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64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371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</row>
    <row r="77" spans="1:102" x14ac:dyDescent="0.25">
      <c r="D77" t="s">
        <v>1258</v>
      </c>
      <c r="E77" t="s">
        <v>1592</v>
      </c>
      <c r="H77">
        <f>SUM(O77:CX77)</f>
        <v>695</v>
      </c>
      <c r="I77">
        <f>COUNTIF(O77:CX77, "&gt;0")</f>
        <v>11</v>
      </c>
      <c r="J77">
        <v>52</v>
      </c>
      <c r="K77">
        <v>107</v>
      </c>
      <c r="L77" s="11">
        <f>H77/1310037</f>
        <v>5.305193670102447E-4</v>
      </c>
      <c r="M77" s="10">
        <f>I77/88</f>
        <v>0.125</v>
      </c>
      <c r="N77" s="10">
        <f>(COUNTIF(CI77:CX77,"&gt;0")/16)</f>
        <v>0.125</v>
      </c>
      <c r="O77">
        <v>0</v>
      </c>
      <c r="P77">
        <v>0</v>
      </c>
      <c r="Q77">
        <v>66</v>
      </c>
      <c r="R77">
        <v>0</v>
      </c>
      <c r="S77">
        <v>0</v>
      </c>
      <c r="T77">
        <v>8</v>
      </c>
      <c r="U77">
        <v>0</v>
      </c>
      <c r="V77">
        <v>0</v>
      </c>
      <c r="W77">
        <v>0</v>
      </c>
      <c r="X77">
        <v>0</v>
      </c>
      <c r="Y77">
        <v>79</v>
      </c>
      <c r="Z77">
        <v>29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70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116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73</v>
      </c>
      <c r="BR77">
        <v>153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67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23</v>
      </c>
      <c r="CR77">
        <v>0</v>
      </c>
      <c r="CS77">
        <v>0</v>
      </c>
      <c r="CT77">
        <v>11</v>
      </c>
      <c r="CU77">
        <v>0</v>
      </c>
      <c r="CV77">
        <v>0</v>
      </c>
      <c r="CW77">
        <v>0</v>
      </c>
      <c r="CX77">
        <v>0</v>
      </c>
    </row>
    <row r="78" spans="1:102" x14ac:dyDescent="0.25">
      <c r="D78" t="s">
        <v>1061</v>
      </c>
      <c r="E78" t="s">
        <v>1583</v>
      </c>
      <c r="H78">
        <f>SUM(O78:CX78)</f>
        <v>665</v>
      </c>
      <c r="I78">
        <f>COUNTIF(O78:CX78, "&gt;0")</f>
        <v>23</v>
      </c>
      <c r="J78">
        <v>164</v>
      </c>
      <c r="K78">
        <v>98</v>
      </c>
      <c r="L78" s="11">
        <f>H78/1310037</f>
        <v>5.0761925044865146E-4</v>
      </c>
      <c r="M78" s="10">
        <f>I78/88</f>
        <v>0.26136363636363635</v>
      </c>
      <c r="N78" s="10">
        <f>(COUNTIF(CI78:CX78,"&gt;0")/16)</f>
        <v>0.125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11</v>
      </c>
      <c r="V78">
        <v>77</v>
      </c>
      <c r="W78">
        <v>57</v>
      </c>
      <c r="X78">
        <v>0</v>
      </c>
      <c r="Y78">
        <v>0</v>
      </c>
      <c r="Z78">
        <v>0</v>
      </c>
      <c r="AA78">
        <v>5</v>
      </c>
      <c r="AB78">
        <v>21</v>
      </c>
      <c r="AC78">
        <v>0</v>
      </c>
      <c r="AD78">
        <v>49</v>
      </c>
      <c r="AE78">
        <v>111</v>
      </c>
      <c r="AF78">
        <v>19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25</v>
      </c>
      <c r="AN78">
        <v>22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54</v>
      </c>
      <c r="AX78">
        <v>0</v>
      </c>
      <c r="AY78">
        <v>0</v>
      </c>
      <c r="AZ78">
        <v>0</v>
      </c>
      <c r="BA78">
        <v>0</v>
      </c>
      <c r="BB78">
        <v>7</v>
      </c>
      <c r="BC78">
        <v>0</v>
      </c>
      <c r="BD78">
        <v>0</v>
      </c>
      <c r="BE78">
        <v>5</v>
      </c>
      <c r="BF78">
        <v>0</v>
      </c>
      <c r="BG78">
        <v>2</v>
      </c>
      <c r="BH78">
        <v>0</v>
      </c>
      <c r="BI78">
        <v>0</v>
      </c>
      <c r="BJ78">
        <v>0</v>
      </c>
      <c r="BK78">
        <v>0</v>
      </c>
      <c r="BL78">
        <v>7</v>
      </c>
      <c r="BM78">
        <v>0</v>
      </c>
      <c r="BN78">
        <v>0</v>
      </c>
      <c r="BO78">
        <v>69</v>
      </c>
      <c r="BP78">
        <v>30</v>
      </c>
      <c r="BQ78">
        <v>0</v>
      </c>
      <c r="BR78">
        <v>0</v>
      </c>
      <c r="BS78">
        <v>0</v>
      </c>
      <c r="BT78">
        <v>0</v>
      </c>
      <c r="BU78">
        <v>3</v>
      </c>
      <c r="BV78">
        <v>0</v>
      </c>
      <c r="BW78">
        <v>34</v>
      </c>
      <c r="BX78">
        <v>32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11</v>
      </c>
      <c r="CH78">
        <v>0</v>
      </c>
      <c r="CI78">
        <v>0</v>
      </c>
      <c r="CJ78">
        <v>5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9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</row>
    <row r="79" spans="1:102" x14ac:dyDescent="0.25">
      <c r="D79" t="s">
        <v>1286</v>
      </c>
      <c r="E79" t="s">
        <v>1710</v>
      </c>
      <c r="H79">
        <f>SUM(O79:CX79)</f>
        <v>663</v>
      </c>
      <c r="I79">
        <f>COUNTIF(O79:CX79, "&gt;0")</f>
        <v>2</v>
      </c>
      <c r="J79">
        <v>235</v>
      </c>
      <c r="K79">
        <v>225</v>
      </c>
      <c r="L79" s="11">
        <f>H79/1310037</f>
        <v>5.0609257601121191E-4</v>
      </c>
      <c r="M79" s="10">
        <f>I79/88</f>
        <v>2.2727272727272728E-2</v>
      </c>
      <c r="N79" s="10">
        <f>(COUNTIF(CI79:CX79,"&gt;0")/16)</f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410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253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</row>
    <row r="80" spans="1:102" x14ac:dyDescent="0.25">
      <c r="D80" t="s">
        <v>1124</v>
      </c>
      <c r="E80" t="s">
        <v>1654</v>
      </c>
      <c r="H80">
        <f>SUM(O80:CX80)</f>
        <v>621</v>
      </c>
      <c r="I80">
        <f>COUNTIF(O80:CX80, "&gt;0")</f>
        <v>19</v>
      </c>
      <c r="J80">
        <v>148</v>
      </c>
      <c r="K80">
        <v>169</v>
      </c>
      <c r="L80" s="11">
        <f>H80/1310037</f>
        <v>4.7403241282498128E-4</v>
      </c>
      <c r="M80" s="10">
        <f>I80/88</f>
        <v>0.21590909090909091</v>
      </c>
      <c r="N80" s="10">
        <f>(COUNTIF(CI80:CX80,"&gt;0")/16)</f>
        <v>0</v>
      </c>
      <c r="O80">
        <v>0</v>
      </c>
      <c r="P80">
        <v>0</v>
      </c>
      <c r="Q80">
        <v>0</v>
      </c>
      <c r="R80">
        <v>57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111</v>
      </c>
      <c r="AK80">
        <v>32</v>
      </c>
      <c r="AL80">
        <v>65</v>
      </c>
      <c r="AM80">
        <v>0</v>
      </c>
      <c r="AN80">
        <v>10</v>
      </c>
      <c r="AO80">
        <v>5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13</v>
      </c>
      <c r="AV80">
        <v>0</v>
      </c>
      <c r="AW80">
        <v>10</v>
      </c>
      <c r="AX80">
        <v>6</v>
      </c>
      <c r="AY80">
        <v>0</v>
      </c>
      <c r="AZ80">
        <v>0</v>
      </c>
      <c r="BA80">
        <v>0</v>
      </c>
      <c r="BB80">
        <v>0</v>
      </c>
      <c r="BC80">
        <v>16</v>
      </c>
      <c r="BD80">
        <v>12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25</v>
      </c>
      <c r="BM80">
        <v>0</v>
      </c>
      <c r="BN80">
        <v>5</v>
      </c>
      <c r="BO80">
        <v>9</v>
      </c>
      <c r="BP80">
        <v>0</v>
      </c>
      <c r="BQ80">
        <v>0</v>
      </c>
      <c r="BR80">
        <v>0</v>
      </c>
      <c r="BS80">
        <v>0</v>
      </c>
      <c r="BT80">
        <v>6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78</v>
      </c>
      <c r="CD80">
        <v>75</v>
      </c>
      <c r="CE80">
        <v>72</v>
      </c>
      <c r="CF80">
        <v>14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</row>
    <row r="81" spans="4:102" x14ac:dyDescent="0.25">
      <c r="D81" t="s">
        <v>1077</v>
      </c>
      <c r="E81" t="s">
        <v>1614</v>
      </c>
      <c r="H81">
        <f>SUM(O81:CX81)</f>
        <v>616</v>
      </c>
      <c r="I81">
        <f>COUNTIF(O81:CX81, "&gt;0")</f>
        <v>10</v>
      </c>
      <c r="J81">
        <v>154</v>
      </c>
      <c r="K81">
        <v>129</v>
      </c>
      <c r="L81" s="11">
        <f>H81/1310037</f>
        <v>4.7021572673138238E-4</v>
      </c>
      <c r="M81" s="10">
        <f>I81/88</f>
        <v>0.11363636363636363</v>
      </c>
      <c r="N81" s="10">
        <f>(COUNTIF(CI81:CX81,"&gt;0")/16)</f>
        <v>6.25E-2</v>
      </c>
      <c r="O81">
        <v>28</v>
      </c>
      <c r="P81">
        <v>13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17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13</v>
      </c>
      <c r="AY81">
        <v>0</v>
      </c>
      <c r="AZ81">
        <v>0</v>
      </c>
      <c r="BA81">
        <v>106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91</v>
      </c>
      <c r="BR81">
        <v>128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213</v>
      </c>
      <c r="CC81">
        <v>0</v>
      </c>
      <c r="CD81">
        <v>5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2</v>
      </c>
      <c r="CW81">
        <v>0</v>
      </c>
      <c r="CX81">
        <v>0</v>
      </c>
    </row>
    <row r="82" spans="4:102" x14ac:dyDescent="0.25">
      <c r="D82" t="s">
        <v>1002</v>
      </c>
      <c r="E82" t="s">
        <v>1504</v>
      </c>
      <c r="H82">
        <f>SUM(O82:CX82)</f>
        <v>606</v>
      </c>
      <c r="I82">
        <f>COUNTIF(O82:CX82, "&gt;0")</f>
        <v>2</v>
      </c>
      <c r="J82">
        <v>38</v>
      </c>
      <c r="K82">
        <v>19</v>
      </c>
      <c r="L82" s="11">
        <f>H82/1310037</f>
        <v>4.625823545441846E-4</v>
      </c>
      <c r="M82" s="10">
        <f>I82/88</f>
        <v>2.2727272727272728E-2</v>
      </c>
      <c r="N82" s="10">
        <f>(COUNTIF(CI82:CX82,"&gt;0")/16)</f>
        <v>6.25E-2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448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158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</row>
    <row r="83" spans="4:102" x14ac:dyDescent="0.25">
      <c r="D83" t="s">
        <v>1307</v>
      </c>
      <c r="E83" t="s">
        <v>1645</v>
      </c>
      <c r="H83">
        <f>SUM(O83:CX83)</f>
        <v>558</v>
      </c>
      <c r="I83">
        <f>COUNTIF(O83:CX83, "&gt;0")</f>
        <v>13</v>
      </c>
      <c r="J83">
        <v>59</v>
      </c>
      <c r="K83">
        <v>159</v>
      </c>
      <c r="L83" s="11">
        <f>H83/1310037</f>
        <v>4.2594216804563536E-4</v>
      </c>
      <c r="M83" s="10">
        <f>I83/88</f>
        <v>0.14772727272727273</v>
      </c>
      <c r="N83" s="10">
        <f>(COUNTIF(CI83:CX83,"&gt;0")/16)</f>
        <v>0.125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26</v>
      </c>
      <c r="AM83">
        <v>59</v>
      </c>
      <c r="AN83">
        <v>34</v>
      </c>
      <c r="AO83">
        <v>0</v>
      </c>
      <c r="AP83">
        <v>0</v>
      </c>
      <c r="AQ83">
        <v>0</v>
      </c>
      <c r="AR83">
        <v>0</v>
      </c>
      <c r="AS83">
        <v>25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32</v>
      </c>
      <c r="BC83">
        <v>24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146</v>
      </c>
      <c r="BM83">
        <v>24</v>
      </c>
      <c r="BN83">
        <v>0</v>
      </c>
      <c r="BO83">
        <v>0</v>
      </c>
      <c r="BP83">
        <v>0</v>
      </c>
      <c r="BQ83">
        <v>58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24</v>
      </c>
      <c r="CE83">
        <v>0</v>
      </c>
      <c r="CF83">
        <v>42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52</v>
      </c>
      <c r="CU83">
        <v>0</v>
      </c>
      <c r="CV83">
        <v>0</v>
      </c>
      <c r="CW83">
        <v>0</v>
      </c>
      <c r="CX83">
        <v>12</v>
      </c>
    </row>
    <row r="84" spans="4:102" x14ac:dyDescent="0.25">
      <c r="D84" t="s">
        <v>1195</v>
      </c>
      <c r="E84" t="s">
        <v>1694</v>
      </c>
      <c r="H84">
        <f>SUM(O84:CX84)</f>
        <v>538</v>
      </c>
      <c r="I84">
        <f>COUNTIF(O84:CX84, "&gt;0")</f>
        <v>3</v>
      </c>
      <c r="J84">
        <v>213</v>
      </c>
      <c r="K84">
        <v>209</v>
      </c>
      <c r="L84" s="11">
        <f>H84/1310037</f>
        <v>4.106754236712398E-4</v>
      </c>
      <c r="M84" s="10">
        <f>I84/88</f>
        <v>3.4090909090909088E-2</v>
      </c>
      <c r="N84" s="10">
        <f>(COUNTIF(CI84:CX84,"&gt;0")/16)</f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5</v>
      </c>
      <c r="AL84">
        <v>531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2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</row>
    <row r="85" spans="4:102" x14ac:dyDescent="0.25">
      <c r="D85" t="s">
        <v>1397</v>
      </c>
      <c r="E85" t="s">
        <v>1564</v>
      </c>
      <c r="H85">
        <f>SUM(O85:CX85)</f>
        <v>497</v>
      </c>
      <c r="I85">
        <f>COUNTIF(O85:CX85, "&gt;0")</f>
        <v>25</v>
      </c>
      <c r="J85">
        <v>32</v>
      </c>
      <c r="K85">
        <v>79</v>
      </c>
      <c r="L85" s="11">
        <f>H85/1310037</f>
        <v>3.79378597703729E-4</v>
      </c>
      <c r="M85" s="10">
        <f>I85/88</f>
        <v>0.28409090909090912</v>
      </c>
      <c r="N85" s="10">
        <f>(COUNTIF(CI85:CX85,"&gt;0")/16)</f>
        <v>0</v>
      </c>
      <c r="O85">
        <v>0</v>
      </c>
      <c r="P85">
        <v>9</v>
      </c>
      <c r="Q85">
        <v>0</v>
      </c>
      <c r="R85">
        <v>0</v>
      </c>
      <c r="S85">
        <v>40</v>
      </c>
      <c r="T85">
        <v>0</v>
      </c>
      <c r="U85">
        <v>5</v>
      </c>
      <c r="V85">
        <v>8</v>
      </c>
      <c r="W85">
        <v>12</v>
      </c>
      <c r="X85">
        <v>0</v>
      </c>
      <c r="Y85">
        <v>0</v>
      </c>
      <c r="Z85">
        <v>0</v>
      </c>
      <c r="AA85">
        <v>0</v>
      </c>
      <c r="AB85">
        <v>0</v>
      </c>
      <c r="AC85">
        <v>13</v>
      </c>
      <c r="AD85">
        <v>0</v>
      </c>
      <c r="AE85">
        <v>10</v>
      </c>
      <c r="AF85">
        <v>7</v>
      </c>
      <c r="AG85">
        <v>0</v>
      </c>
      <c r="AH85">
        <v>0</v>
      </c>
      <c r="AI85">
        <v>0</v>
      </c>
      <c r="AJ85">
        <v>80</v>
      </c>
      <c r="AK85">
        <v>18</v>
      </c>
      <c r="AL85">
        <v>33</v>
      </c>
      <c r="AM85">
        <v>14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2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9</v>
      </c>
      <c r="BC85">
        <v>19</v>
      </c>
      <c r="BD85">
        <v>0</v>
      </c>
      <c r="BE85">
        <v>6</v>
      </c>
      <c r="BF85">
        <v>9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6</v>
      </c>
      <c r="BQ85">
        <v>0</v>
      </c>
      <c r="BR85">
        <v>0</v>
      </c>
      <c r="BS85">
        <v>0</v>
      </c>
      <c r="BT85">
        <v>0</v>
      </c>
      <c r="BU85">
        <v>8</v>
      </c>
      <c r="BV85">
        <v>0</v>
      </c>
      <c r="BW85">
        <v>0</v>
      </c>
      <c r="BX85">
        <v>19</v>
      </c>
      <c r="BY85">
        <v>3</v>
      </c>
      <c r="BZ85">
        <v>0</v>
      </c>
      <c r="CA85">
        <v>0</v>
      </c>
      <c r="CB85">
        <v>0</v>
      </c>
      <c r="CC85">
        <v>49</v>
      </c>
      <c r="CD85">
        <v>47</v>
      </c>
      <c r="CE85">
        <v>64</v>
      </c>
      <c r="CF85">
        <v>0</v>
      </c>
      <c r="CG85">
        <v>0</v>
      </c>
      <c r="CH85">
        <v>7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</row>
    <row r="86" spans="4:102" x14ac:dyDescent="0.25">
      <c r="D86" t="s">
        <v>1010</v>
      </c>
      <c r="E86" t="s">
        <v>1524</v>
      </c>
      <c r="H86">
        <f>SUM(O86:CX86)</f>
        <v>493</v>
      </c>
      <c r="I86">
        <f>COUNTIF(O86:CX86, "&gt;0")</f>
        <v>16</v>
      </c>
      <c r="J86">
        <v>42</v>
      </c>
      <c r="K86">
        <v>39</v>
      </c>
      <c r="L86" s="11">
        <f>H86/1310037</f>
        <v>3.7632524882884989E-4</v>
      </c>
      <c r="M86" s="10">
        <f>I86/88</f>
        <v>0.18181818181818182</v>
      </c>
      <c r="N86" s="10">
        <f>(COUNTIF(CI86:CX86,"&gt;0")/16)</f>
        <v>6.25E-2</v>
      </c>
      <c r="O86">
        <v>18</v>
      </c>
      <c r="P86">
        <v>0</v>
      </c>
      <c r="Q86">
        <v>0</v>
      </c>
      <c r="R86">
        <v>5</v>
      </c>
      <c r="S86">
        <v>0</v>
      </c>
      <c r="T86">
        <v>0</v>
      </c>
      <c r="U86">
        <v>0</v>
      </c>
      <c r="V86">
        <v>0</v>
      </c>
      <c r="W86">
        <v>0</v>
      </c>
      <c r="X86">
        <v>11</v>
      </c>
      <c r="Y86">
        <v>0</v>
      </c>
      <c r="Z86">
        <v>16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105</v>
      </c>
      <c r="AI86">
        <v>0</v>
      </c>
      <c r="AJ86">
        <v>6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6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9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57</v>
      </c>
      <c r="BS86">
        <v>91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107</v>
      </c>
      <c r="CA86">
        <v>0</v>
      </c>
      <c r="CB86">
        <v>0</v>
      </c>
      <c r="CC86">
        <v>21</v>
      </c>
      <c r="CD86">
        <v>10</v>
      </c>
      <c r="CE86">
        <v>19</v>
      </c>
      <c r="CF86">
        <v>8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4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</row>
    <row r="87" spans="4:102" x14ac:dyDescent="0.25">
      <c r="D87" t="s">
        <v>1256</v>
      </c>
      <c r="E87" t="s">
        <v>1501</v>
      </c>
      <c r="H87">
        <f>SUM(O87:CX87)</f>
        <v>486</v>
      </c>
      <c r="I87">
        <f>COUNTIF(O87:CX87, "&gt;0")</f>
        <v>6</v>
      </c>
      <c r="J87">
        <v>65</v>
      </c>
      <c r="K87">
        <v>16</v>
      </c>
      <c r="L87" s="11">
        <f>H87/1310037</f>
        <v>3.7098188829781144E-4</v>
      </c>
      <c r="M87" s="10">
        <f>I87/88</f>
        <v>6.8181818181818177E-2</v>
      </c>
      <c r="N87" s="10">
        <f>(COUNTIF(CI87:CX87,"&gt;0")/16)</f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13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57</v>
      </c>
      <c r="AH87">
        <v>0</v>
      </c>
      <c r="AI87">
        <v>11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150</v>
      </c>
      <c r="BR87">
        <v>131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124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</row>
    <row r="88" spans="4:102" x14ac:dyDescent="0.25">
      <c r="D88" t="s">
        <v>1016</v>
      </c>
      <c r="E88" t="s">
        <v>1528</v>
      </c>
      <c r="H88">
        <f>SUM(O88:CX88)</f>
        <v>465</v>
      </c>
      <c r="I88">
        <f>COUNTIF(O88:CX88, "&gt;0")</f>
        <v>6</v>
      </c>
      <c r="J88">
        <v>21</v>
      </c>
      <c r="K88">
        <v>43</v>
      </c>
      <c r="L88" s="11">
        <f>H88/1310037</f>
        <v>3.5495180670469615E-4</v>
      </c>
      <c r="M88" s="10">
        <f>I88/88</f>
        <v>6.8181818181818177E-2</v>
      </c>
      <c r="N88" s="10">
        <f>(COUNTIF(CI88:CX88,"&gt;0")/16)</f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128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35</v>
      </c>
      <c r="AZ88">
        <v>0</v>
      </c>
      <c r="BA88">
        <v>85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97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67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53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</row>
    <row r="89" spans="4:102" x14ac:dyDescent="0.25">
      <c r="D89" t="s">
        <v>1133</v>
      </c>
      <c r="E89" t="s">
        <v>1619</v>
      </c>
      <c r="H89">
        <f>SUM(O89:CX89)</f>
        <v>456</v>
      </c>
      <c r="I89">
        <f>COUNTIF(O89:CX89, "&gt;0")</f>
        <v>2</v>
      </c>
      <c r="J89">
        <v>69</v>
      </c>
      <c r="K89">
        <v>134</v>
      </c>
      <c r="L89" s="11">
        <f>H89/1310037</f>
        <v>3.4808177173621815E-4</v>
      </c>
      <c r="M89" s="10">
        <f>I89/88</f>
        <v>2.2727272727272728E-2</v>
      </c>
      <c r="N89" s="10">
        <f>(COUNTIF(CI89:CX89,"&gt;0")/16)</f>
        <v>6.25E-2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121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335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</row>
    <row r="90" spans="4:102" x14ac:dyDescent="0.25">
      <c r="D90" t="s">
        <v>1032</v>
      </c>
      <c r="E90" t="s">
        <v>1681</v>
      </c>
      <c r="H90">
        <f>SUM(O90:CX90)</f>
        <v>435</v>
      </c>
      <c r="I90">
        <f>COUNTIF(O90:CX90, "&gt;0")</f>
        <v>4</v>
      </c>
      <c r="J90">
        <v>90</v>
      </c>
      <c r="K90">
        <v>196</v>
      </c>
      <c r="L90" s="11">
        <f>H90/1310037</f>
        <v>3.320516901431028E-4</v>
      </c>
      <c r="M90" s="10">
        <f>I90/88</f>
        <v>4.5454545454545456E-2</v>
      </c>
      <c r="N90" s="10">
        <f>(COUNTIF(CI90:CX90,"&gt;0")/16)</f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31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201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89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114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</row>
    <row r="91" spans="4:102" x14ac:dyDescent="0.25">
      <c r="D91" t="s">
        <v>1202</v>
      </c>
      <c r="E91" t="s">
        <v>1516</v>
      </c>
      <c r="H91">
        <f>SUM(O91:CX91)</f>
        <v>425</v>
      </c>
      <c r="I91">
        <f>COUNTIF(O91:CX91, "&gt;0")</f>
        <v>2</v>
      </c>
      <c r="J91">
        <v>72</v>
      </c>
      <c r="K91">
        <v>31</v>
      </c>
      <c r="L91" s="11">
        <f>H91/1310037</f>
        <v>3.2441831795590508E-4</v>
      </c>
      <c r="M91" s="10">
        <f>I91/88</f>
        <v>2.2727272727272728E-2</v>
      </c>
      <c r="N91" s="10">
        <f>(COUNTIF(CI91:CX91,"&gt;0")/16)</f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184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241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</row>
    <row r="92" spans="4:102" x14ac:dyDescent="0.25">
      <c r="D92" t="s">
        <v>1113</v>
      </c>
      <c r="E92" t="s">
        <v>1613</v>
      </c>
      <c r="H92">
        <f>SUM(O92:CX92)</f>
        <v>423</v>
      </c>
      <c r="I92">
        <f>COUNTIF(O92:CX92, "&gt;0")</f>
        <v>4</v>
      </c>
      <c r="J92">
        <v>193</v>
      </c>
      <c r="K92">
        <v>128</v>
      </c>
      <c r="L92" s="11">
        <f>H92/1310037</f>
        <v>3.2289164351846552E-4</v>
      </c>
      <c r="M92" s="10">
        <f>I92/88</f>
        <v>4.5454545454545456E-2</v>
      </c>
      <c r="N92" s="10">
        <f>(COUNTIF(CI92:CX92,"&gt;0")/16)</f>
        <v>0</v>
      </c>
      <c r="O92">
        <v>0</v>
      </c>
      <c r="P92">
        <v>11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164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57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191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</row>
    <row r="93" spans="4:102" x14ac:dyDescent="0.25">
      <c r="D93" t="s">
        <v>1172</v>
      </c>
      <c r="E93" t="s">
        <v>1601</v>
      </c>
      <c r="H93">
        <f>SUM(O93:CX93)</f>
        <v>418</v>
      </c>
      <c r="I93">
        <f>COUNTIF(O93:CX93, "&gt;0")</f>
        <v>5</v>
      </c>
      <c r="J93">
        <v>142</v>
      </c>
      <c r="K93">
        <v>116</v>
      </c>
      <c r="L93" s="11">
        <f>H93/1310037</f>
        <v>3.1907495742486663E-4</v>
      </c>
      <c r="M93" s="10">
        <f>I93/88</f>
        <v>5.6818181818181816E-2</v>
      </c>
      <c r="N93" s="10">
        <f>(COUNTIF(CI93:CX93,"&gt;0")/16)</f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36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62</v>
      </c>
      <c r="BI93">
        <v>0</v>
      </c>
      <c r="BJ93">
        <v>162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27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131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</row>
    <row r="94" spans="4:102" x14ac:dyDescent="0.25">
      <c r="D94" t="s">
        <v>1208</v>
      </c>
      <c r="E94" t="s">
        <v>1522</v>
      </c>
      <c r="H94">
        <f>SUM(O94:CX94)</f>
        <v>417</v>
      </c>
      <c r="I94">
        <f>COUNTIF(O94:CX94, "&gt;0")</f>
        <v>5</v>
      </c>
      <c r="J94">
        <v>31</v>
      </c>
      <c r="K94">
        <v>37</v>
      </c>
      <c r="L94" s="11">
        <f>H94/1310037</f>
        <v>3.1831162020614685E-4</v>
      </c>
      <c r="M94" s="10">
        <f>I94/88</f>
        <v>5.6818181818181816E-2</v>
      </c>
      <c r="N94" s="10">
        <f>(COUNTIF(CI94:CX94,"&gt;0")/16)</f>
        <v>0</v>
      </c>
      <c r="O94">
        <v>0</v>
      </c>
      <c r="P94">
        <v>0</v>
      </c>
      <c r="Q94">
        <v>39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74</v>
      </c>
      <c r="AH94">
        <v>0</v>
      </c>
      <c r="AI94">
        <v>70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39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195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</row>
    <row r="95" spans="4:102" x14ac:dyDescent="0.25">
      <c r="D95" t="s">
        <v>1247</v>
      </c>
      <c r="E95" t="s">
        <v>1536</v>
      </c>
      <c r="H95">
        <f>SUM(O95:CX95)</f>
        <v>416</v>
      </c>
      <c r="I95">
        <f>COUNTIF(O95:CX95, "&gt;0")</f>
        <v>5</v>
      </c>
      <c r="J95">
        <v>39</v>
      </c>
      <c r="K95">
        <v>51</v>
      </c>
      <c r="L95" s="11">
        <f>H95/1310037</f>
        <v>3.1754828298742707E-4</v>
      </c>
      <c r="M95" s="10">
        <f>I95/88</f>
        <v>5.6818181818181816E-2</v>
      </c>
      <c r="N95" s="10">
        <f>(COUNTIF(CI95:CX95,"&gt;0")/16)</f>
        <v>6.25E-2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53</v>
      </c>
      <c r="AK95">
        <v>0</v>
      </c>
      <c r="AL95">
        <v>58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69</v>
      </c>
      <c r="CC95">
        <v>0</v>
      </c>
      <c r="CD95">
        <v>0</v>
      </c>
      <c r="CE95">
        <v>88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148</v>
      </c>
      <c r="CW95">
        <v>0</v>
      </c>
      <c r="CX95">
        <v>0</v>
      </c>
    </row>
    <row r="96" spans="4:102" x14ac:dyDescent="0.25">
      <c r="D96" t="s">
        <v>1204</v>
      </c>
      <c r="E96" t="s">
        <v>1560</v>
      </c>
      <c r="H96">
        <f>SUM(O96:CX96)</f>
        <v>414</v>
      </c>
      <c r="I96">
        <f>COUNTIF(O96:CX96, "&gt;0")</f>
        <v>5</v>
      </c>
      <c r="J96">
        <v>200</v>
      </c>
      <c r="K96">
        <v>75</v>
      </c>
      <c r="L96" s="11">
        <f>H96/1310037</f>
        <v>3.1602160854998752E-4</v>
      </c>
      <c r="M96" s="10">
        <f>I96/88</f>
        <v>5.6818181818181816E-2</v>
      </c>
      <c r="N96" s="10">
        <f>(COUNTIF(CI96:CX96,"&gt;0")/16)</f>
        <v>0</v>
      </c>
      <c r="O96">
        <v>0</v>
      </c>
      <c r="P96">
        <v>11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153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95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152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3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</row>
    <row r="97" spans="4:102" x14ac:dyDescent="0.25">
      <c r="D97" t="s">
        <v>1342</v>
      </c>
      <c r="E97" t="s">
        <v>1578</v>
      </c>
      <c r="H97">
        <f>SUM(O97:CX97)</f>
        <v>412</v>
      </c>
      <c r="I97">
        <f>COUNTIF(O97:CX97, "&gt;0")</f>
        <v>5</v>
      </c>
      <c r="J97">
        <v>37</v>
      </c>
      <c r="K97">
        <v>93</v>
      </c>
      <c r="L97" s="11">
        <f>H97/1310037</f>
        <v>3.1449493411254796E-4</v>
      </c>
      <c r="M97" s="10">
        <f>I97/88</f>
        <v>5.6818181818181816E-2</v>
      </c>
      <c r="N97" s="10">
        <f>(COUNTIF(CI97:CX97,"&gt;0")/16)</f>
        <v>6.25E-2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38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124</v>
      </c>
      <c r="AN97">
        <v>0</v>
      </c>
      <c r="AO97">
        <v>0</v>
      </c>
      <c r="AP97">
        <v>148</v>
      </c>
      <c r="AQ97">
        <v>0</v>
      </c>
      <c r="AR97">
        <v>0</v>
      </c>
      <c r="AS97">
        <v>0</v>
      </c>
      <c r="AT97">
        <v>74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28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</row>
    <row r="98" spans="4:102" x14ac:dyDescent="0.25">
      <c r="D98" t="s">
        <v>1359</v>
      </c>
      <c r="E98" t="s">
        <v>1617</v>
      </c>
      <c r="H98">
        <f>SUM(O98:CX98)</f>
        <v>411</v>
      </c>
      <c r="I98">
        <f>COUNTIF(O98:CX98, "&gt;0")</f>
        <v>3</v>
      </c>
      <c r="J98">
        <v>217</v>
      </c>
      <c r="K98">
        <v>132</v>
      </c>
      <c r="L98" s="11">
        <f>H98/1310037</f>
        <v>3.1373159689382818E-4</v>
      </c>
      <c r="M98" s="10">
        <f>I98/88</f>
        <v>3.4090909090909088E-2</v>
      </c>
      <c r="N98" s="10">
        <f>(COUNTIF(CI98:CX98,"&gt;0")/16)</f>
        <v>6.25E-2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123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88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200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</row>
    <row r="99" spans="4:102" x14ac:dyDescent="0.25">
      <c r="D99" t="s">
        <v>1176</v>
      </c>
      <c r="E99" t="s">
        <v>1621</v>
      </c>
      <c r="H99">
        <f>SUM(O99:CX99)</f>
        <v>410</v>
      </c>
      <c r="I99">
        <f>COUNTIF(O99:CX99, "&gt;0")</f>
        <v>21</v>
      </c>
      <c r="J99">
        <v>231</v>
      </c>
      <c r="K99">
        <v>136</v>
      </c>
      <c r="L99" s="11">
        <f>H99/1310037</f>
        <v>3.129682596751084E-4</v>
      </c>
      <c r="M99" s="10">
        <f>I99/88</f>
        <v>0.23863636363636365</v>
      </c>
      <c r="N99" s="10">
        <f>(COUNTIF(CI99:CX99,"&gt;0")/16)</f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3</v>
      </c>
      <c r="V99">
        <v>5</v>
      </c>
      <c r="W99">
        <v>5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6</v>
      </c>
      <c r="AF99">
        <v>0</v>
      </c>
      <c r="AG99">
        <v>0</v>
      </c>
      <c r="AH99">
        <v>0</v>
      </c>
      <c r="AI99">
        <v>0</v>
      </c>
      <c r="AJ99">
        <v>61</v>
      </c>
      <c r="AK99">
        <v>14</v>
      </c>
      <c r="AL99">
        <v>25</v>
      </c>
      <c r="AM99">
        <v>12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13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12</v>
      </c>
      <c r="BD99">
        <v>0</v>
      </c>
      <c r="BE99">
        <v>0</v>
      </c>
      <c r="BF99">
        <v>8</v>
      </c>
      <c r="BG99">
        <v>0</v>
      </c>
      <c r="BH99">
        <v>0</v>
      </c>
      <c r="BI99">
        <v>0</v>
      </c>
      <c r="BJ99">
        <v>0</v>
      </c>
      <c r="BK99">
        <v>33</v>
      </c>
      <c r="BL99">
        <v>0</v>
      </c>
      <c r="BM99">
        <v>0</v>
      </c>
      <c r="BN99">
        <v>0</v>
      </c>
      <c r="BO99">
        <v>8</v>
      </c>
      <c r="BP99">
        <v>2</v>
      </c>
      <c r="BQ99">
        <v>0</v>
      </c>
      <c r="BR99">
        <v>0</v>
      </c>
      <c r="BS99">
        <v>0</v>
      </c>
      <c r="BT99">
        <v>5</v>
      </c>
      <c r="BU99">
        <v>0</v>
      </c>
      <c r="BV99">
        <v>0</v>
      </c>
      <c r="BW99">
        <v>0</v>
      </c>
      <c r="BX99">
        <v>11</v>
      </c>
      <c r="BY99">
        <v>0</v>
      </c>
      <c r="BZ99">
        <v>0</v>
      </c>
      <c r="CA99">
        <v>0</v>
      </c>
      <c r="CB99">
        <v>70</v>
      </c>
      <c r="CC99">
        <v>21</v>
      </c>
      <c r="CD99">
        <v>64</v>
      </c>
      <c r="CE99">
        <v>25</v>
      </c>
      <c r="CF99">
        <v>0</v>
      </c>
      <c r="CG99">
        <v>7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</row>
    <row r="100" spans="4:102" x14ac:dyDescent="0.25">
      <c r="D100" t="s">
        <v>1082</v>
      </c>
      <c r="E100" t="s">
        <v>1512</v>
      </c>
      <c r="H100">
        <f>SUM(O100:CX100)</f>
        <v>400</v>
      </c>
      <c r="I100">
        <f>COUNTIF(O100:CX100, "&gt;0")</f>
        <v>5</v>
      </c>
      <c r="J100">
        <v>46</v>
      </c>
      <c r="K100">
        <v>27</v>
      </c>
      <c r="L100" s="11">
        <f>H100/1310037</f>
        <v>3.0533488748791062E-4</v>
      </c>
      <c r="M100" s="10">
        <f>I100/88</f>
        <v>5.6818181818181816E-2</v>
      </c>
      <c r="N100" s="10">
        <f>(COUNTIF(CI100:CX100,"&gt;0")/16)</f>
        <v>6.25E-2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5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40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47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299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9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</row>
    <row r="101" spans="4:102" x14ac:dyDescent="0.25">
      <c r="D101" t="s">
        <v>1298</v>
      </c>
      <c r="E101" t="s">
        <v>1690</v>
      </c>
      <c r="H101">
        <f>SUM(O101:CX101)</f>
        <v>395</v>
      </c>
      <c r="I101">
        <f>COUNTIF(O101:CX101, "&gt;0")</f>
        <v>7</v>
      </c>
      <c r="J101">
        <v>218</v>
      </c>
      <c r="K101">
        <v>205</v>
      </c>
      <c r="L101" s="11">
        <f>H101/1310037</f>
        <v>3.0151820139431179E-4</v>
      </c>
      <c r="M101" s="10">
        <f>I101/88</f>
        <v>7.9545454545454544E-2</v>
      </c>
      <c r="N101" s="10">
        <f>(COUNTIF(CI101:CX101,"&gt;0")/16)</f>
        <v>0</v>
      </c>
      <c r="O101">
        <v>5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6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115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28</v>
      </c>
      <c r="BR101">
        <v>156</v>
      </c>
      <c r="BS101">
        <v>28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57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</row>
    <row r="102" spans="4:102" x14ac:dyDescent="0.25">
      <c r="D102" t="s">
        <v>1340</v>
      </c>
      <c r="E102" t="s">
        <v>1559</v>
      </c>
      <c r="H102">
        <f>SUM(O102:CX102)</f>
        <v>393</v>
      </c>
      <c r="I102">
        <f>COUNTIF(O102:CX102, "&gt;0")</f>
        <v>3</v>
      </c>
      <c r="J102">
        <v>70</v>
      </c>
      <c r="K102">
        <v>74</v>
      </c>
      <c r="L102" s="11">
        <f>H102/1310037</f>
        <v>2.9999152695687223E-4</v>
      </c>
      <c r="M102" s="10">
        <f>I102/88</f>
        <v>3.4090909090909088E-2</v>
      </c>
      <c r="N102" s="10">
        <f>(COUNTIF(CI102:CX102,"&gt;0")/16)</f>
        <v>6.25E-2</v>
      </c>
      <c r="O102">
        <v>0</v>
      </c>
      <c r="P102">
        <v>0</v>
      </c>
      <c r="Q102">
        <v>0</v>
      </c>
      <c r="R102">
        <v>0</v>
      </c>
      <c r="S102">
        <v>52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52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289</v>
      </c>
      <c r="CU102">
        <v>0</v>
      </c>
      <c r="CV102">
        <v>0</v>
      </c>
      <c r="CW102">
        <v>0</v>
      </c>
      <c r="CX102">
        <v>0</v>
      </c>
    </row>
    <row r="103" spans="4:102" x14ac:dyDescent="0.25">
      <c r="D103" t="s">
        <v>1028</v>
      </c>
      <c r="E103" t="s">
        <v>1593</v>
      </c>
      <c r="H103">
        <f>SUM(O103:CX103)</f>
        <v>377</v>
      </c>
      <c r="I103">
        <f>COUNTIF(O103:CX103, "&gt;0")</f>
        <v>7</v>
      </c>
      <c r="J103">
        <v>79</v>
      </c>
      <c r="K103">
        <v>108</v>
      </c>
      <c r="L103" s="11">
        <f>H103/1310037</f>
        <v>2.8777813145735578E-4</v>
      </c>
      <c r="M103" s="10">
        <f>I103/88</f>
        <v>7.9545454545454544E-2</v>
      </c>
      <c r="N103" s="10">
        <f>(COUNTIF(CI103:CX103,"&gt;0")/16)</f>
        <v>6.25E-2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66</v>
      </c>
      <c r="Y103">
        <v>0</v>
      </c>
      <c r="Z103">
        <v>0</v>
      </c>
      <c r="AA103">
        <v>0</v>
      </c>
      <c r="AB103">
        <v>0</v>
      </c>
      <c r="AC103">
        <v>24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26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69</v>
      </c>
      <c r="BC103">
        <v>76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66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50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</row>
    <row r="104" spans="4:102" x14ac:dyDescent="0.25">
      <c r="D104" t="s">
        <v>1039</v>
      </c>
      <c r="E104" t="s">
        <v>1616</v>
      </c>
      <c r="H104">
        <f>SUM(O104:CX104)</f>
        <v>360</v>
      </c>
      <c r="I104">
        <f>COUNTIF(O104:CX104, "&gt;0")</f>
        <v>8</v>
      </c>
      <c r="J104">
        <v>184</v>
      </c>
      <c r="K104">
        <v>131</v>
      </c>
      <c r="L104" s="11">
        <f>H104/1310037</f>
        <v>2.748013987391196E-4</v>
      </c>
      <c r="M104" s="10">
        <f>I104/88</f>
        <v>9.0909090909090912E-2</v>
      </c>
      <c r="N104" s="10">
        <f>(COUNTIF(CI104:CX104,"&gt;0")/16)</f>
        <v>0</v>
      </c>
      <c r="O104">
        <v>0</v>
      </c>
      <c r="P104">
        <v>0</v>
      </c>
      <c r="Q104">
        <v>61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22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10</v>
      </c>
      <c r="AQ104">
        <v>0</v>
      </c>
      <c r="AR104">
        <v>96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66</v>
      </c>
      <c r="AZ104">
        <v>0</v>
      </c>
      <c r="BA104">
        <v>0</v>
      </c>
      <c r="BB104">
        <v>0</v>
      </c>
      <c r="BC104">
        <v>7</v>
      </c>
      <c r="BD104">
        <v>0</v>
      </c>
      <c r="BE104">
        <v>0</v>
      </c>
      <c r="BF104">
        <v>8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90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</row>
    <row r="105" spans="4:102" x14ac:dyDescent="0.25">
      <c r="D105" t="s">
        <v>1186</v>
      </c>
      <c r="E105" t="s">
        <v>1714</v>
      </c>
      <c r="H105">
        <f>SUM(O105:CX105)</f>
        <v>359</v>
      </c>
      <c r="I105">
        <f>COUNTIF(O105:CX105, "&gt;0")</f>
        <v>7</v>
      </c>
      <c r="J105">
        <v>205</v>
      </c>
      <c r="K105">
        <v>230</v>
      </c>
      <c r="L105" s="11">
        <f>H105/1310037</f>
        <v>2.7403806152039983E-4</v>
      </c>
      <c r="M105" s="10">
        <f>I105/88</f>
        <v>7.9545454545454544E-2</v>
      </c>
      <c r="N105" s="10">
        <f>(COUNTIF(CI105:CX105,"&gt;0")/16)</f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9</v>
      </c>
      <c r="Y105">
        <v>0</v>
      </c>
      <c r="Z105">
        <v>11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103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9</v>
      </c>
      <c r="AQ105">
        <v>6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144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77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</row>
    <row r="106" spans="4:102" x14ac:dyDescent="0.25">
      <c r="D106" t="s">
        <v>1305</v>
      </c>
      <c r="E106" t="s">
        <v>1623</v>
      </c>
      <c r="H106">
        <f>SUM(O106:CX106)</f>
        <v>347</v>
      </c>
      <c r="I106">
        <f>COUNTIF(O106:CX106, "&gt;0")</f>
        <v>5</v>
      </c>
      <c r="J106">
        <v>76</v>
      </c>
      <c r="K106">
        <v>138</v>
      </c>
      <c r="L106" s="11">
        <f>H106/1310037</f>
        <v>2.6487801489576249E-4</v>
      </c>
      <c r="M106" s="10">
        <f>I106/88</f>
        <v>5.6818181818181816E-2</v>
      </c>
      <c r="N106" s="10">
        <f>(COUNTIF(CI106:CX106,"&gt;0")/16)</f>
        <v>0</v>
      </c>
      <c r="O106">
        <v>0</v>
      </c>
      <c r="P106">
        <v>8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3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218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112</v>
      </c>
      <c r="CA106">
        <v>0</v>
      </c>
      <c r="CB106">
        <v>0</v>
      </c>
      <c r="CC106">
        <v>0</v>
      </c>
      <c r="CD106">
        <v>0</v>
      </c>
      <c r="CE106">
        <v>6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</row>
    <row r="107" spans="4:102" x14ac:dyDescent="0.25">
      <c r="D107" t="s">
        <v>1081</v>
      </c>
      <c r="E107" t="s">
        <v>1584</v>
      </c>
      <c r="H107">
        <f>SUM(O107:CX107)</f>
        <v>337</v>
      </c>
      <c r="I107">
        <f>COUNTIF(O107:CX107, "&gt;0")</f>
        <v>2</v>
      </c>
      <c r="J107">
        <v>89</v>
      </c>
      <c r="K107">
        <v>99</v>
      </c>
      <c r="L107" s="11">
        <f>H107/1310037</f>
        <v>2.5724464270856471E-4</v>
      </c>
      <c r="M107" s="10">
        <f>I107/88</f>
        <v>2.2727272727272728E-2</v>
      </c>
      <c r="N107" s="10">
        <f>(COUNTIF(CI107:CX107,"&gt;0")/16)</f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123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214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</row>
    <row r="108" spans="4:102" x14ac:dyDescent="0.25">
      <c r="D108" t="s">
        <v>1344</v>
      </c>
      <c r="E108" t="s">
        <v>1675</v>
      </c>
      <c r="H108">
        <f>SUM(O108:CX108)</f>
        <v>335</v>
      </c>
      <c r="I108">
        <f>COUNTIF(O108:CX108, "&gt;0")</f>
        <v>2</v>
      </c>
      <c r="J108">
        <v>209</v>
      </c>
      <c r="K108">
        <v>190</v>
      </c>
      <c r="L108" s="11">
        <f>H108/1310037</f>
        <v>2.5571796827112515E-4</v>
      </c>
      <c r="M108" s="10">
        <f>I108/88</f>
        <v>2.2727272727272728E-2</v>
      </c>
      <c r="N108" s="10">
        <f>(COUNTIF(CI108:CX108,"&gt;0")/16)</f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10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325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</row>
    <row r="109" spans="4:102" x14ac:dyDescent="0.25">
      <c r="D109" t="s">
        <v>1067</v>
      </c>
      <c r="E109" t="s">
        <v>1541</v>
      </c>
      <c r="H109">
        <f>SUM(O109:CX109)</f>
        <v>332</v>
      </c>
      <c r="I109">
        <f>COUNTIF(O109:CX109, "&gt;0")</f>
        <v>2</v>
      </c>
      <c r="J109">
        <v>15</v>
      </c>
      <c r="K109">
        <v>56</v>
      </c>
      <c r="L109" s="11">
        <f>H109/1310037</f>
        <v>2.5342795661496581E-4</v>
      </c>
      <c r="M109" s="10">
        <f>I109/88</f>
        <v>2.2727272727272728E-2</v>
      </c>
      <c r="N109" s="10">
        <f>(COUNTIF(CI109:CX109,"&gt;0")/16)</f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59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273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</row>
    <row r="110" spans="4:102" x14ac:dyDescent="0.25">
      <c r="D110" t="s">
        <v>1106</v>
      </c>
      <c r="E110" t="s">
        <v>1548</v>
      </c>
      <c r="H110">
        <f>SUM(O110:CX110)</f>
        <v>323</v>
      </c>
      <c r="I110">
        <f>COUNTIF(O110:CX110, "&gt;0")</f>
        <v>26</v>
      </c>
      <c r="J110">
        <v>48</v>
      </c>
      <c r="K110">
        <v>63</v>
      </c>
      <c r="L110" s="11">
        <f>H110/1310037</f>
        <v>2.4655792164648787E-4</v>
      </c>
      <c r="M110" s="10">
        <f>I110/88</f>
        <v>0.29545454545454547</v>
      </c>
      <c r="N110" s="10">
        <f>(COUNTIF(CI110:CX110,"&gt;0")/16)</f>
        <v>0</v>
      </c>
      <c r="O110">
        <v>0</v>
      </c>
      <c r="P110">
        <v>0</v>
      </c>
      <c r="Q110">
        <v>0</v>
      </c>
      <c r="R110">
        <v>7</v>
      </c>
      <c r="S110">
        <v>0</v>
      </c>
      <c r="T110">
        <v>0</v>
      </c>
      <c r="U110">
        <v>0</v>
      </c>
      <c r="V110">
        <v>6</v>
      </c>
      <c r="W110">
        <v>12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34</v>
      </c>
      <c r="AK110">
        <v>8</v>
      </c>
      <c r="AL110">
        <v>12</v>
      </c>
      <c r="AM110">
        <v>6</v>
      </c>
      <c r="AN110">
        <v>0</v>
      </c>
      <c r="AO110">
        <v>3</v>
      </c>
      <c r="AP110">
        <v>0</v>
      </c>
      <c r="AQ110">
        <v>0</v>
      </c>
      <c r="AR110">
        <v>0</v>
      </c>
      <c r="AS110">
        <v>0</v>
      </c>
      <c r="AT110">
        <v>30</v>
      </c>
      <c r="AU110">
        <v>9</v>
      </c>
      <c r="AV110">
        <v>0</v>
      </c>
      <c r="AW110">
        <v>2</v>
      </c>
      <c r="AX110">
        <v>0</v>
      </c>
      <c r="AY110">
        <v>0</v>
      </c>
      <c r="AZ110">
        <v>0</v>
      </c>
      <c r="BA110">
        <v>0</v>
      </c>
      <c r="BB110">
        <v>9</v>
      </c>
      <c r="BC110">
        <v>12</v>
      </c>
      <c r="BD110">
        <v>0</v>
      </c>
      <c r="BE110">
        <v>11</v>
      </c>
      <c r="BF110">
        <v>0</v>
      </c>
      <c r="BG110">
        <v>7</v>
      </c>
      <c r="BH110">
        <v>0</v>
      </c>
      <c r="BI110">
        <v>0</v>
      </c>
      <c r="BJ110">
        <v>0</v>
      </c>
      <c r="BK110">
        <v>0</v>
      </c>
      <c r="BL110">
        <v>2</v>
      </c>
      <c r="BM110">
        <v>0</v>
      </c>
      <c r="BN110">
        <v>4</v>
      </c>
      <c r="BO110">
        <v>6</v>
      </c>
      <c r="BP110">
        <v>10</v>
      </c>
      <c r="BQ110">
        <v>0</v>
      </c>
      <c r="BR110">
        <v>0</v>
      </c>
      <c r="BS110">
        <v>60</v>
      </c>
      <c r="BT110">
        <v>0</v>
      </c>
      <c r="BU110">
        <v>0</v>
      </c>
      <c r="BV110">
        <v>0</v>
      </c>
      <c r="BW110">
        <v>0</v>
      </c>
      <c r="BX110">
        <v>7</v>
      </c>
      <c r="BY110">
        <v>3</v>
      </c>
      <c r="BZ110">
        <v>0</v>
      </c>
      <c r="CA110">
        <v>0</v>
      </c>
      <c r="CB110">
        <v>0</v>
      </c>
      <c r="CC110">
        <v>18</v>
      </c>
      <c r="CD110">
        <v>26</v>
      </c>
      <c r="CE110">
        <v>9</v>
      </c>
      <c r="CF110">
        <v>0</v>
      </c>
      <c r="CG110">
        <v>10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</row>
    <row r="111" spans="4:102" x14ac:dyDescent="0.25">
      <c r="D111" t="s">
        <v>1026</v>
      </c>
      <c r="E111" t="s">
        <v>1566</v>
      </c>
      <c r="H111">
        <f>SUM(O111:CX111)</f>
        <v>320</v>
      </c>
      <c r="I111">
        <f>COUNTIF(O111:CX111, "&gt;0")</f>
        <v>14</v>
      </c>
      <c r="J111">
        <v>97</v>
      </c>
      <c r="K111">
        <v>81</v>
      </c>
      <c r="L111" s="11">
        <f>H111/1310037</f>
        <v>2.4426790999032853E-4</v>
      </c>
      <c r="M111" s="10">
        <f>I111/88</f>
        <v>0.15909090909090909</v>
      </c>
      <c r="N111" s="10">
        <f>(COUNTIF(CI111:CX111,"&gt;0")/16)</f>
        <v>0</v>
      </c>
      <c r="O111">
        <v>4</v>
      </c>
      <c r="P111">
        <v>0</v>
      </c>
      <c r="Q111">
        <v>0</v>
      </c>
      <c r="R111">
        <v>13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37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52</v>
      </c>
      <c r="AK111">
        <v>0</v>
      </c>
      <c r="AL111">
        <v>26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10</v>
      </c>
      <c r="AY111">
        <v>0</v>
      </c>
      <c r="AZ111">
        <v>0</v>
      </c>
      <c r="BA111">
        <v>0</v>
      </c>
      <c r="BB111">
        <v>0</v>
      </c>
      <c r="BC111">
        <v>19</v>
      </c>
      <c r="BD111">
        <v>0</v>
      </c>
      <c r="BE111">
        <v>0</v>
      </c>
      <c r="BF111">
        <v>0</v>
      </c>
      <c r="BG111">
        <v>6</v>
      </c>
      <c r="BH111">
        <v>0</v>
      </c>
      <c r="BI111">
        <v>0</v>
      </c>
      <c r="BJ111">
        <v>0</v>
      </c>
      <c r="BK111">
        <v>24</v>
      </c>
      <c r="BL111">
        <v>7</v>
      </c>
      <c r="BM111">
        <v>0</v>
      </c>
      <c r="BN111">
        <v>0</v>
      </c>
      <c r="BO111">
        <v>0</v>
      </c>
      <c r="BP111">
        <v>0</v>
      </c>
      <c r="BQ111">
        <v>51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15</v>
      </c>
      <c r="CD111">
        <v>21</v>
      </c>
      <c r="CE111">
        <v>35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</row>
    <row r="112" spans="4:102" x14ac:dyDescent="0.25">
      <c r="D112" t="s">
        <v>1361</v>
      </c>
      <c r="E112" t="s">
        <v>1571</v>
      </c>
      <c r="H112">
        <f>SUM(O112:CX112)</f>
        <v>313</v>
      </c>
      <c r="I112">
        <f>COUNTIF(O112:CX112, "&gt;0")</f>
        <v>8</v>
      </c>
      <c r="J112">
        <v>131</v>
      </c>
      <c r="K112">
        <v>86</v>
      </c>
      <c r="L112" s="11">
        <f>H112/1310037</f>
        <v>2.3892454945929008E-4</v>
      </c>
      <c r="M112" s="10">
        <f>I112/88</f>
        <v>9.0909090909090912E-2</v>
      </c>
      <c r="N112" s="10">
        <f>(COUNTIF(CI112:CX112,"&gt;0")/16)</f>
        <v>0</v>
      </c>
      <c r="O112">
        <v>6</v>
      </c>
      <c r="P112">
        <v>20</v>
      </c>
      <c r="Q112">
        <v>76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41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10</v>
      </c>
      <c r="AQ112">
        <v>11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98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51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</row>
    <row r="113" spans="1:102" x14ac:dyDescent="0.25">
      <c r="D113" t="s">
        <v>976</v>
      </c>
      <c r="E113" t="s">
        <v>1521</v>
      </c>
      <c r="H113">
        <f>SUM(O113:CX113)</f>
        <v>312</v>
      </c>
      <c r="I113">
        <f>COUNTIF(O113:CX113, "&gt;0")</f>
        <v>2</v>
      </c>
      <c r="J113">
        <v>73</v>
      </c>
      <c r="K113">
        <v>36</v>
      </c>
      <c r="L113" s="11">
        <f>H113/1310037</f>
        <v>2.3816121224057031E-4</v>
      </c>
      <c r="M113" s="10">
        <f>I113/88</f>
        <v>2.2727272727272728E-2</v>
      </c>
      <c r="N113" s="10">
        <f>(COUNTIF(CI113:CX113,"&gt;0")/16)</f>
        <v>6.25E-2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153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159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</row>
    <row r="114" spans="1:102" x14ac:dyDescent="0.25">
      <c r="D114" t="s">
        <v>1265</v>
      </c>
      <c r="E114" t="s">
        <v>1572</v>
      </c>
      <c r="H114">
        <f>SUM(O114:CX114)</f>
        <v>305</v>
      </c>
      <c r="I114">
        <f>COUNTIF(O114:CX114, "&gt;0")</f>
        <v>3</v>
      </c>
      <c r="J114">
        <v>113</v>
      </c>
      <c r="K114">
        <v>87</v>
      </c>
      <c r="L114" s="11">
        <f>H114/1310037</f>
        <v>2.3281785170953186E-4</v>
      </c>
      <c r="M114" s="10">
        <f>I114/88</f>
        <v>3.4090909090909088E-2</v>
      </c>
      <c r="N114" s="10">
        <f>(COUNTIF(CI114:CX114,"&gt;0")/16)</f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127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176</v>
      </c>
      <c r="CA114">
        <v>0</v>
      </c>
      <c r="CB114">
        <v>0</v>
      </c>
      <c r="CC114">
        <v>0</v>
      </c>
      <c r="CD114">
        <v>0</v>
      </c>
      <c r="CE114">
        <v>2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</row>
    <row r="115" spans="1:102" x14ac:dyDescent="0.25">
      <c r="D115" t="s">
        <v>1120</v>
      </c>
      <c r="E115" t="s">
        <v>1563</v>
      </c>
      <c r="H115">
        <f>SUM(O115:CX115)</f>
        <v>298</v>
      </c>
      <c r="I115">
        <f>COUNTIF(O115:CX115, "&gt;0")</f>
        <v>7</v>
      </c>
      <c r="J115">
        <v>166</v>
      </c>
      <c r="K115">
        <v>78</v>
      </c>
      <c r="L115" s="11">
        <f>H115/1310037</f>
        <v>2.2747449117849344E-4</v>
      </c>
      <c r="M115" s="10">
        <f>I115/88</f>
        <v>7.9545454545454544E-2</v>
      </c>
      <c r="N115" s="10">
        <f>(COUNTIF(CI115:CX115,"&gt;0")/16)</f>
        <v>6.25E-2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33</v>
      </c>
      <c r="AK115">
        <v>0</v>
      </c>
      <c r="AL115">
        <v>0</v>
      </c>
      <c r="AM115">
        <v>27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31</v>
      </c>
      <c r="BR115">
        <v>0</v>
      </c>
      <c r="BS115">
        <v>53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82</v>
      </c>
      <c r="CD115">
        <v>52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20</v>
      </c>
      <c r="CT115">
        <v>0</v>
      </c>
      <c r="CU115">
        <v>0</v>
      </c>
      <c r="CV115">
        <v>0</v>
      </c>
      <c r="CW115">
        <v>0</v>
      </c>
      <c r="CX115">
        <v>0</v>
      </c>
    </row>
    <row r="116" spans="1:102" x14ac:dyDescent="0.25">
      <c r="D116" t="s">
        <v>1395</v>
      </c>
      <c r="E116" t="s">
        <v>1575</v>
      </c>
      <c r="H116">
        <f>SUM(O116:CX116)</f>
        <v>295</v>
      </c>
      <c r="I116">
        <f>COUNTIF(O116:CX116, "&gt;0")</f>
        <v>4</v>
      </c>
      <c r="J116">
        <v>109</v>
      </c>
      <c r="K116">
        <v>90</v>
      </c>
      <c r="L116" s="11">
        <f>H116/1310037</f>
        <v>2.251844795223341E-4</v>
      </c>
      <c r="M116" s="10">
        <f>I116/88</f>
        <v>4.5454545454545456E-2</v>
      </c>
      <c r="N116" s="10">
        <f>(COUNTIF(CI116:CX116,"&gt;0")/16)</f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88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20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80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107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</row>
    <row r="117" spans="1:102" x14ac:dyDescent="0.25">
      <c r="D117" t="s">
        <v>1056</v>
      </c>
      <c r="E117" t="s">
        <v>1630</v>
      </c>
      <c r="H117">
        <f>SUM(O117:CX117)</f>
        <v>295</v>
      </c>
      <c r="I117">
        <f>COUNTIF(O117:CX117, "&gt;0")</f>
        <v>3</v>
      </c>
      <c r="J117">
        <v>125</v>
      </c>
      <c r="K117">
        <v>145</v>
      </c>
      <c r="L117" s="11">
        <f>H117/1310037</f>
        <v>2.251844795223341E-4</v>
      </c>
      <c r="M117" s="10">
        <f>I117/88</f>
        <v>3.4090909090909088E-2</v>
      </c>
      <c r="N117" s="10">
        <f>(COUNTIF(CI117:CX117,"&gt;0")/16)</f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165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58</v>
      </c>
      <c r="CF117">
        <v>0</v>
      </c>
      <c r="CG117">
        <v>0</v>
      </c>
      <c r="CH117">
        <v>72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</row>
    <row r="118" spans="1:102" x14ac:dyDescent="0.25">
      <c r="A118" s="8"/>
      <c r="D118" t="s">
        <v>1075</v>
      </c>
      <c r="E118" t="s">
        <v>1704</v>
      </c>
      <c r="H118">
        <f>SUM(O118:CX118)</f>
        <v>290</v>
      </c>
      <c r="I118">
        <f>COUNTIF(O118:CX118, "&gt;0")</f>
        <v>3</v>
      </c>
      <c r="J118">
        <v>226</v>
      </c>
      <c r="K118">
        <v>221</v>
      </c>
      <c r="L118" s="11">
        <f>H118/1310037</f>
        <v>2.2136779342873521E-4</v>
      </c>
      <c r="M118" s="10">
        <f>I118/88</f>
        <v>3.4090909090909088E-2</v>
      </c>
      <c r="N118" s="10">
        <f>(COUNTIF(CI118:CX118,"&gt;0")/16)</f>
        <v>0</v>
      </c>
      <c r="O118">
        <v>254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26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10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</row>
    <row r="119" spans="1:102" x14ac:dyDescent="0.25">
      <c r="A119" s="8"/>
      <c r="D119" t="s">
        <v>1327</v>
      </c>
      <c r="E119" t="s">
        <v>1555</v>
      </c>
      <c r="H119">
        <f>SUM(O119:CX119)</f>
        <v>287</v>
      </c>
      <c r="I119">
        <f>COUNTIF(O119:CX119, "&gt;0")</f>
        <v>2</v>
      </c>
      <c r="J119">
        <v>64</v>
      </c>
      <c r="K119">
        <v>70</v>
      </c>
      <c r="L119" s="11">
        <f>H119/1310037</f>
        <v>2.1907778177257588E-4</v>
      </c>
      <c r="M119" s="10">
        <f>I119/88</f>
        <v>2.2727272727272728E-2</v>
      </c>
      <c r="N119" s="10">
        <f>(COUNTIF(CI119:CX119,"&gt;0")/16)</f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153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134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</row>
    <row r="120" spans="1:102" x14ac:dyDescent="0.25">
      <c r="D120" t="s">
        <v>1155</v>
      </c>
      <c r="E120" t="s">
        <v>1609</v>
      </c>
      <c r="H120">
        <f>SUM(O120:CX120)</f>
        <v>285</v>
      </c>
      <c r="I120">
        <f>COUNTIF(O120:CX120, "&gt;0")</f>
        <v>4</v>
      </c>
      <c r="J120">
        <v>232</v>
      </c>
      <c r="K120">
        <v>124</v>
      </c>
      <c r="L120" s="11">
        <f>H120/1310037</f>
        <v>2.1755110733513635E-4</v>
      </c>
      <c r="M120" s="10">
        <f>I120/88</f>
        <v>4.5454545454545456E-2</v>
      </c>
      <c r="N120" s="10">
        <f>(COUNTIF(CI120:CX120,"&gt;0")/16)</f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274</v>
      </c>
      <c r="AA120">
        <v>2</v>
      </c>
      <c r="AB120">
        <v>0</v>
      </c>
      <c r="AC120">
        <v>6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3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</row>
    <row r="121" spans="1:102" x14ac:dyDescent="0.25">
      <c r="D121" t="s">
        <v>996</v>
      </c>
      <c r="E121" t="s">
        <v>1640</v>
      </c>
      <c r="H121">
        <f>SUM(O121:CX121)</f>
        <v>284</v>
      </c>
      <c r="I121">
        <f>COUNTIF(O121:CX121, "&gt;0")</f>
        <v>2</v>
      </c>
      <c r="J121">
        <v>68</v>
      </c>
      <c r="K121">
        <v>155</v>
      </c>
      <c r="L121" s="11">
        <f>H121/1310037</f>
        <v>2.1678777011641657E-4</v>
      </c>
      <c r="M121" s="10">
        <f>I121/88</f>
        <v>2.2727272727272728E-2</v>
      </c>
      <c r="N121" s="10">
        <f>(COUNTIF(CI121:CX121,"&gt;0")/16)</f>
        <v>0.125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181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103</v>
      </c>
      <c r="CV121">
        <v>0</v>
      </c>
      <c r="CW121">
        <v>0</v>
      </c>
      <c r="CX121">
        <v>0</v>
      </c>
    </row>
    <row r="122" spans="1:102" x14ac:dyDescent="0.25">
      <c r="D122" t="s">
        <v>1291</v>
      </c>
      <c r="E122" t="s">
        <v>1651</v>
      </c>
      <c r="H122">
        <f>SUM(O122:CX122)</f>
        <v>281</v>
      </c>
      <c r="I122">
        <f>COUNTIF(O122:CX122, "&gt;0")</f>
        <v>12</v>
      </c>
      <c r="J122">
        <v>211</v>
      </c>
      <c r="K122">
        <v>166</v>
      </c>
      <c r="L122" s="11">
        <f>H122/1310037</f>
        <v>2.1449775846025724E-4</v>
      </c>
      <c r="M122" s="10">
        <f>I122/88</f>
        <v>0.13636363636363635</v>
      </c>
      <c r="N122" s="10">
        <f>(COUNTIF(CI122:CX122,"&gt;0")/16)</f>
        <v>0</v>
      </c>
      <c r="O122">
        <v>0</v>
      </c>
      <c r="P122">
        <v>0</v>
      </c>
      <c r="Q122">
        <v>0</v>
      </c>
      <c r="R122">
        <v>7</v>
      </c>
      <c r="S122">
        <v>0</v>
      </c>
      <c r="T122">
        <v>3</v>
      </c>
      <c r="U122">
        <v>0</v>
      </c>
      <c r="V122">
        <v>0</v>
      </c>
      <c r="W122">
        <v>6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96</v>
      </c>
      <c r="AK122">
        <v>31</v>
      </c>
      <c r="AL122">
        <v>46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32</v>
      </c>
      <c r="BN122">
        <v>7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6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15</v>
      </c>
      <c r="CE122">
        <v>25</v>
      </c>
      <c r="CF122">
        <v>0</v>
      </c>
      <c r="CG122">
        <v>7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</row>
    <row r="123" spans="1:102" x14ac:dyDescent="0.25">
      <c r="D123" t="s">
        <v>1065</v>
      </c>
      <c r="E123" t="s">
        <v>1707</v>
      </c>
      <c r="H123">
        <f>SUM(O123:CX123)</f>
        <v>273</v>
      </c>
      <c r="I123">
        <f>COUNTIF(O123:CX123, "&gt;0")</f>
        <v>4</v>
      </c>
      <c r="J123">
        <v>128</v>
      </c>
      <c r="K123">
        <v>222</v>
      </c>
      <c r="L123" s="11">
        <f>H123/1310037</f>
        <v>2.0839106071049901E-4</v>
      </c>
      <c r="M123" s="10">
        <f>I123/88</f>
        <v>4.5454545454545456E-2</v>
      </c>
      <c r="N123" s="10">
        <f>(COUNTIF(CI123:CX123,"&gt;0")/16)</f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35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50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79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109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</row>
    <row r="124" spans="1:102" x14ac:dyDescent="0.25">
      <c r="D124" t="s">
        <v>1190</v>
      </c>
      <c r="E124" t="s">
        <v>1527</v>
      </c>
      <c r="H124">
        <f>SUM(O124:CX124)</f>
        <v>273</v>
      </c>
      <c r="I124">
        <f>COUNTIF(O124:CX124, "&gt;0")</f>
        <v>2</v>
      </c>
      <c r="J124">
        <v>234</v>
      </c>
      <c r="K124">
        <v>42</v>
      </c>
      <c r="L124" s="11">
        <f>H124/1310037</f>
        <v>2.0839106071049901E-4</v>
      </c>
      <c r="M124" s="10">
        <f>I124/88</f>
        <v>2.2727272727272728E-2</v>
      </c>
      <c r="N124" s="10">
        <f>(COUNTIF(CI124:CX124,"&gt;0")/16)</f>
        <v>0</v>
      </c>
      <c r="O124">
        <v>6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267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</row>
    <row r="125" spans="1:102" x14ac:dyDescent="0.25">
      <c r="D125" s="8" t="s">
        <v>1130</v>
      </c>
      <c r="E125" t="s">
        <v>1526</v>
      </c>
      <c r="F125" s="13"/>
      <c r="H125">
        <f>SUM(O125:CX125)</f>
        <v>268</v>
      </c>
      <c r="I125">
        <f>COUNTIF(O125:CX125, "&gt;0")</f>
        <v>4</v>
      </c>
      <c r="J125">
        <v>27</v>
      </c>
      <c r="K125">
        <v>41</v>
      </c>
      <c r="L125" s="11">
        <f>H125/1310037</f>
        <v>2.0457437461690015E-4</v>
      </c>
      <c r="M125" s="10">
        <f>I125/88</f>
        <v>4.5454545454545456E-2</v>
      </c>
      <c r="N125" s="10">
        <f>(COUNTIF(CI125:CX125,"&gt;0")/16)</f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75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6</v>
      </c>
      <c r="AY125">
        <v>31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156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</row>
    <row r="126" spans="1:102" x14ac:dyDescent="0.25">
      <c r="D126" t="s">
        <v>1048</v>
      </c>
      <c r="E126" t="s">
        <v>1620</v>
      </c>
      <c r="H126">
        <f>SUM(O126:CX126)</f>
        <v>266</v>
      </c>
      <c r="I126">
        <f>COUNTIF(O126:CX126, "&gt;0")</f>
        <v>22</v>
      </c>
      <c r="J126">
        <v>105</v>
      </c>
      <c r="K126">
        <v>135</v>
      </c>
      <c r="L126" s="11">
        <f>H126/1310037</f>
        <v>2.0304770017946059E-4</v>
      </c>
      <c r="M126" s="10">
        <f>I126/88</f>
        <v>0.25</v>
      </c>
      <c r="N126" s="10">
        <f>(COUNTIF(CI126:CX126,"&gt;0")/16)</f>
        <v>6.25E-2</v>
      </c>
      <c r="O126">
        <v>0</v>
      </c>
      <c r="P126">
        <v>0</v>
      </c>
      <c r="Q126">
        <v>0</v>
      </c>
      <c r="R126">
        <v>0</v>
      </c>
      <c r="S126">
        <v>34</v>
      </c>
      <c r="T126">
        <v>0</v>
      </c>
      <c r="U126">
        <v>7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17</v>
      </c>
      <c r="AC126">
        <v>0</v>
      </c>
      <c r="AD126">
        <v>0</v>
      </c>
      <c r="AE126">
        <v>3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6</v>
      </c>
      <c r="AM126">
        <v>8</v>
      </c>
      <c r="AN126">
        <v>0</v>
      </c>
      <c r="AO126">
        <v>3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6</v>
      </c>
      <c r="AX126">
        <v>12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7</v>
      </c>
      <c r="BE126">
        <v>17</v>
      </c>
      <c r="BF126">
        <v>4</v>
      </c>
      <c r="BG126">
        <v>3</v>
      </c>
      <c r="BH126">
        <v>0</v>
      </c>
      <c r="BI126">
        <v>0</v>
      </c>
      <c r="BJ126">
        <v>0</v>
      </c>
      <c r="BK126">
        <v>0</v>
      </c>
      <c r="BL126">
        <v>3</v>
      </c>
      <c r="BM126">
        <v>0</v>
      </c>
      <c r="BN126">
        <v>18</v>
      </c>
      <c r="BO126">
        <v>43</v>
      </c>
      <c r="BP126">
        <v>21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6</v>
      </c>
      <c r="CD126">
        <v>0</v>
      </c>
      <c r="CE126">
        <v>0</v>
      </c>
      <c r="CF126">
        <v>7</v>
      </c>
      <c r="CG126">
        <v>15</v>
      </c>
      <c r="CH126">
        <v>13</v>
      </c>
      <c r="CI126">
        <v>13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</row>
    <row r="127" spans="1:102" x14ac:dyDescent="0.25">
      <c r="D127" t="s">
        <v>1379</v>
      </c>
      <c r="E127" t="s">
        <v>1577</v>
      </c>
      <c r="H127">
        <f>SUM(O127:CX127)</f>
        <v>254</v>
      </c>
      <c r="I127">
        <f>COUNTIF(O127:CX127, "&gt;0")</f>
        <v>13</v>
      </c>
      <c r="J127">
        <v>167</v>
      </c>
      <c r="K127">
        <v>92</v>
      </c>
      <c r="L127" s="11">
        <f>H127/1310037</f>
        <v>1.9388765355482325E-4</v>
      </c>
      <c r="M127" s="10">
        <f>I127/88</f>
        <v>0.14772727272727273</v>
      </c>
      <c r="N127" s="10">
        <f>(COUNTIF(CI127:CX127,"&gt;0")/16)</f>
        <v>0</v>
      </c>
      <c r="O127">
        <v>0</v>
      </c>
      <c r="P127">
        <v>0</v>
      </c>
      <c r="Q127">
        <v>0</v>
      </c>
      <c r="R127">
        <v>0</v>
      </c>
      <c r="S127">
        <v>15</v>
      </c>
      <c r="T127">
        <v>2</v>
      </c>
      <c r="U127">
        <v>5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13</v>
      </c>
      <c r="AK127">
        <v>0</v>
      </c>
      <c r="AL127">
        <v>12</v>
      </c>
      <c r="AM127">
        <v>6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151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5</v>
      </c>
      <c r="BD127">
        <v>0</v>
      </c>
      <c r="BE127">
        <v>4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5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9</v>
      </c>
      <c r="CD127">
        <v>14</v>
      </c>
      <c r="CE127">
        <v>13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</row>
    <row r="128" spans="1:102" x14ac:dyDescent="0.25">
      <c r="D128" t="s">
        <v>1147</v>
      </c>
      <c r="E128" t="s">
        <v>1503</v>
      </c>
      <c r="H128">
        <f>SUM(O128:CX128)</f>
        <v>253</v>
      </c>
      <c r="I128">
        <f>COUNTIF(O128:CX128, "&gt;0")</f>
        <v>2</v>
      </c>
      <c r="J128">
        <v>12</v>
      </c>
      <c r="K128">
        <v>18</v>
      </c>
      <c r="L128" s="11">
        <f>H128/1310037</f>
        <v>1.9312431633610347E-4</v>
      </c>
      <c r="M128" s="10">
        <f>I128/88</f>
        <v>2.2727272727272728E-2</v>
      </c>
      <c r="N128" s="10">
        <f>(COUNTIF(CI128:CX128,"&gt;0")/16)</f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72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181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</row>
    <row r="129" spans="4:102" x14ac:dyDescent="0.25">
      <c r="D129" t="s">
        <v>1260</v>
      </c>
      <c r="E129" t="s">
        <v>1643</v>
      </c>
      <c r="H129">
        <f>SUM(O129:CX129)</f>
        <v>251</v>
      </c>
      <c r="I129">
        <f>COUNTIF(O129:CX129, "&gt;0")</f>
        <v>3</v>
      </c>
      <c r="J129">
        <v>221</v>
      </c>
      <c r="K129">
        <v>158</v>
      </c>
      <c r="L129" s="11">
        <f>H129/1310037</f>
        <v>1.9159764189866392E-4</v>
      </c>
      <c r="M129" s="10">
        <f>I129/88</f>
        <v>3.4090909090909088E-2</v>
      </c>
      <c r="N129" s="10">
        <f>(COUNTIF(CI129:CX129,"&gt;0")/16)</f>
        <v>0.125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68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158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25</v>
      </c>
      <c r="CW129">
        <v>0</v>
      </c>
      <c r="CX129">
        <v>0</v>
      </c>
    </row>
    <row r="130" spans="4:102" x14ac:dyDescent="0.25">
      <c r="D130" t="s">
        <v>982</v>
      </c>
      <c r="E130" t="s">
        <v>1506</v>
      </c>
      <c r="H130">
        <f>SUM(O130:CX130)</f>
        <v>247</v>
      </c>
      <c r="I130">
        <f>COUNTIF(O130:CX130, "&gt;0")</f>
        <v>3</v>
      </c>
      <c r="J130">
        <v>25</v>
      </c>
      <c r="K130">
        <v>21</v>
      </c>
      <c r="L130" s="11">
        <f>H130/1310037</f>
        <v>1.8854429302378483E-4</v>
      </c>
      <c r="M130" s="10">
        <f>I130/88</f>
        <v>3.4090909090909088E-2</v>
      </c>
      <c r="N130" s="10">
        <f>(COUNTIF(CI130:CX130,"&gt;0")/16)</f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71</v>
      </c>
      <c r="AZ130">
        <v>0</v>
      </c>
      <c r="BA130">
        <v>136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40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</row>
    <row r="131" spans="4:102" x14ac:dyDescent="0.25">
      <c r="D131" t="s">
        <v>1357</v>
      </c>
      <c r="E131" t="s">
        <v>1580</v>
      </c>
      <c r="H131">
        <f>SUM(O131:CX131)</f>
        <v>241</v>
      </c>
      <c r="I131">
        <f>COUNTIF(O131:CX131, "&gt;0")</f>
        <v>3</v>
      </c>
      <c r="J131">
        <v>104</v>
      </c>
      <c r="K131">
        <v>95</v>
      </c>
      <c r="L131" s="11">
        <f>H131/1310037</f>
        <v>1.8396426971146616E-4</v>
      </c>
      <c r="M131" s="10">
        <f>I131/88</f>
        <v>3.4090909090909088E-2</v>
      </c>
      <c r="N131" s="10">
        <f>(COUNTIF(CI131:CX131,"&gt;0")/16)</f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65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68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108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</row>
    <row r="132" spans="4:102" x14ac:dyDescent="0.25">
      <c r="D132" t="s">
        <v>1223</v>
      </c>
      <c r="E132" t="s">
        <v>1499</v>
      </c>
      <c r="H132">
        <f>SUM(O132:CX132)</f>
        <v>237</v>
      </c>
      <c r="I132">
        <f>COUNTIF(O132:CX132, "&gt;0")</f>
        <v>2</v>
      </c>
      <c r="J132">
        <v>23</v>
      </c>
      <c r="K132">
        <v>14</v>
      </c>
      <c r="L132" s="11">
        <f>H132/1310037</f>
        <v>1.8091092083658705E-4</v>
      </c>
      <c r="M132" s="10">
        <f>I132/88</f>
        <v>2.2727272727272728E-2</v>
      </c>
      <c r="N132" s="10">
        <f>(COUNTIF(CI132:CX132,"&gt;0")/16)</f>
        <v>0</v>
      </c>
      <c r="O132">
        <v>0</v>
      </c>
      <c r="P132">
        <v>0</v>
      </c>
      <c r="Q132">
        <v>44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193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</row>
    <row r="133" spans="4:102" x14ac:dyDescent="0.25">
      <c r="D133" t="s">
        <v>984</v>
      </c>
      <c r="E133" t="s">
        <v>1534</v>
      </c>
      <c r="H133">
        <f>SUM(O133:CX133)</f>
        <v>234</v>
      </c>
      <c r="I133">
        <f>COUNTIF(O133:CX133, "&gt;0")</f>
        <v>3</v>
      </c>
      <c r="J133">
        <v>43</v>
      </c>
      <c r="K133">
        <v>49</v>
      </c>
      <c r="L133" s="11">
        <f>H133/1310037</f>
        <v>1.7862090918042772E-4</v>
      </c>
      <c r="M133" s="10">
        <f>I133/88</f>
        <v>3.4090909090909088E-2</v>
      </c>
      <c r="N133" s="10">
        <f>(COUNTIF(CI133:CX133,"&gt;0")/16)</f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8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139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87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</row>
    <row r="134" spans="4:102" x14ac:dyDescent="0.25">
      <c r="D134" t="s">
        <v>1100</v>
      </c>
      <c r="E134" t="s">
        <v>1570</v>
      </c>
      <c r="H134">
        <f>SUM(O134:CX134)</f>
        <v>232</v>
      </c>
      <c r="I134">
        <f>COUNTIF(O134:CX134, "&gt;0")</f>
        <v>12</v>
      </c>
      <c r="J134">
        <v>227</v>
      </c>
      <c r="K134">
        <v>85</v>
      </c>
      <c r="L134" s="11">
        <f>H134/1310037</f>
        <v>1.7709423474298819E-4</v>
      </c>
      <c r="M134" s="10">
        <f>I134/88</f>
        <v>0.13636363636363635</v>
      </c>
      <c r="N134" s="10">
        <f>(COUNTIF(CI134:CX134,"&gt;0")/16)</f>
        <v>0</v>
      </c>
      <c r="O134">
        <v>6</v>
      </c>
      <c r="P134">
        <v>0</v>
      </c>
      <c r="Q134">
        <v>0</v>
      </c>
      <c r="R134">
        <v>28</v>
      </c>
      <c r="S134">
        <v>44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13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23</v>
      </c>
      <c r="AR134">
        <v>0</v>
      </c>
      <c r="AS134">
        <v>8</v>
      </c>
      <c r="AT134">
        <v>14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15</v>
      </c>
      <c r="BC134">
        <v>25</v>
      </c>
      <c r="BD134">
        <v>21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17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18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</row>
    <row r="135" spans="4:102" x14ac:dyDescent="0.25">
      <c r="D135" t="s">
        <v>1377</v>
      </c>
      <c r="E135" t="s">
        <v>1603</v>
      </c>
      <c r="H135">
        <f>SUM(O135:CX135)</f>
        <v>223</v>
      </c>
      <c r="I135">
        <f>COUNTIF(O135:CX135, "&gt;0")</f>
        <v>2</v>
      </c>
      <c r="J135">
        <v>62</v>
      </c>
      <c r="K135">
        <v>118</v>
      </c>
      <c r="L135" s="11">
        <f>H135/1310037</f>
        <v>1.7022419977451018E-4</v>
      </c>
      <c r="M135" s="10">
        <f>I135/88</f>
        <v>2.2727272727272728E-2</v>
      </c>
      <c r="N135" s="10">
        <f>(COUNTIF(CI135:CX135,"&gt;0")/16)</f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78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145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</row>
    <row r="136" spans="4:102" x14ac:dyDescent="0.25">
      <c r="D136" t="s">
        <v>1353</v>
      </c>
      <c r="E136" t="s">
        <v>1629</v>
      </c>
      <c r="H136">
        <f>SUM(O136:CX136)</f>
        <v>217</v>
      </c>
      <c r="I136">
        <f>COUNTIF(O136:CX136, "&gt;0")</f>
        <v>2</v>
      </c>
      <c r="J136">
        <v>36</v>
      </c>
      <c r="K136">
        <v>144</v>
      </c>
      <c r="L136" s="11">
        <f>H136/1310037</f>
        <v>1.6564417646219151E-4</v>
      </c>
      <c r="M136" s="10">
        <f>I136/88</f>
        <v>2.2727272727272728E-2</v>
      </c>
      <c r="N136" s="10">
        <f>(COUNTIF(CI136:CX136,"&gt;0")/16)</f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54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163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</row>
    <row r="137" spans="4:102" x14ac:dyDescent="0.25">
      <c r="D137" t="s">
        <v>1174</v>
      </c>
      <c r="E137" t="s">
        <v>1598</v>
      </c>
      <c r="H137">
        <f>SUM(O137:CX137)</f>
        <v>214</v>
      </c>
      <c r="I137">
        <f>COUNTIF(O137:CX137, "&gt;0")</f>
        <v>5</v>
      </c>
      <c r="J137">
        <v>165</v>
      </c>
      <c r="K137">
        <v>113</v>
      </c>
      <c r="L137" s="11">
        <f>H137/1310037</f>
        <v>1.6335416480603221E-4</v>
      </c>
      <c r="M137" s="10">
        <f>I137/88</f>
        <v>5.6818181818181816E-2</v>
      </c>
      <c r="N137" s="10">
        <f>(COUNTIF(CI137:CX137,"&gt;0")/16)</f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16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32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38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90</v>
      </c>
      <c r="BS137">
        <v>38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</row>
    <row r="138" spans="4:102" x14ac:dyDescent="0.25">
      <c r="D138" t="s">
        <v>1215</v>
      </c>
      <c r="E138" t="s">
        <v>1696</v>
      </c>
      <c r="H138">
        <f>SUM(O138:CX138)</f>
        <v>212</v>
      </c>
      <c r="I138">
        <f>COUNTIF(O138:CX138, "&gt;0")</f>
        <v>11</v>
      </c>
      <c r="J138">
        <v>152</v>
      </c>
      <c r="K138">
        <v>210</v>
      </c>
      <c r="L138" s="11">
        <f>H138/1310037</f>
        <v>1.6182749036859265E-4</v>
      </c>
      <c r="M138" s="10">
        <f>I138/88</f>
        <v>0.125</v>
      </c>
      <c r="N138" s="10">
        <f>(COUNTIF(CI138:CX138,"&gt;0")/16)</f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3</v>
      </c>
      <c r="X138">
        <v>0</v>
      </c>
      <c r="Y138">
        <v>0</v>
      </c>
      <c r="Z138">
        <v>0</v>
      </c>
      <c r="AA138">
        <v>19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66</v>
      </c>
      <c r="AK138">
        <v>0</v>
      </c>
      <c r="AL138">
        <v>34</v>
      </c>
      <c r="AM138">
        <v>0</v>
      </c>
      <c r="AN138">
        <v>5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3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10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15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38</v>
      </c>
      <c r="CE138">
        <v>14</v>
      </c>
      <c r="CF138">
        <v>5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</row>
    <row r="139" spans="4:102" x14ac:dyDescent="0.25">
      <c r="D139" t="s">
        <v>1008</v>
      </c>
      <c r="E139" t="s">
        <v>1587</v>
      </c>
      <c r="H139">
        <f>SUM(O139:CX139)</f>
        <v>210</v>
      </c>
      <c r="I139">
        <f>COUNTIF(O139:CX139, "&gt;0")</f>
        <v>5</v>
      </c>
      <c r="J139">
        <v>114</v>
      </c>
      <c r="K139">
        <v>102</v>
      </c>
      <c r="L139" s="11">
        <f>H139/1310037</f>
        <v>1.6030081593115309E-4</v>
      </c>
      <c r="M139" s="10">
        <f>I139/88</f>
        <v>5.6818181818181816E-2</v>
      </c>
      <c r="N139" s="10">
        <f>(COUNTIF(CI139:CX139,"&gt;0")/16)</f>
        <v>6.25E-2</v>
      </c>
      <c r="O139">
        <v>0</v>
      </c>
      <c r="P139">
        <v>0</v>
      </c>
      <c r="Q139">
        <v>0</v>
      </c>
      <c r="R139">
        <v>0</v>
      </c>
      <c r="S139">
        <v>64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24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93</v>
      </c>
      <c r="BT139">
        <v>0</v>
      </c>
      <c r="BU139">
        <v>0</v>
      </c>
      <c r="BV139">
        <v>27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2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</row>
    <row r="140" spans="4:102" x14ac:dyDescent="0.25">
      <c r="D140" t="s">
        <v>1018</v>
      </c>
      <c r="E140" t="s">
        <v>1588</v>
      </c>
      <c r="H140">
        <f>SUM(O140:CX140)</f>
        <v>197</v>
      </c>
      <c r="I140">
        <f>COUNTIF(O140:CX140, "&gt;0")</f>
        <v>2</v>
      </c>
      <c r="J140">
        <v>204</v>
      </c>
      <c r="K140">
        <v>103</v>
      </c>
      <c r="L140" s="11">
        <f>H140/1310037</f>
        <v>1.50377432087796E-4</v>
      </c>
      <c r="M140" s="10">
        <f>I140/88</f>
        <v>2.2727272727272728E-2</v>
      </c>
      <c r="N140" s="10">
        <f>(COUNTIF(CI140:CX140,"&gt;0")/16)</f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123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74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</row>
    <row r="141" spans="4:102" x14ac:dyDescent="0.25">
      <c r="D141" t="s">
        <v>1272</v>
      </c>
      <c r="E141" t="s">
        <v>1537</v>
      </c>
      <c r="H141">
        <f>SUM(O141:CX141)</f>
        <v>193</v>
      </c>
      <c r="I141">
        <f>COUNTIF(O141:CX141, "&gt;0")</f>
        <v>5</v>
      </c>
      <c r="J141">
        <v>45</v>
      </c>
      <c r="K141">
        <v>52</v>
      </c>
      <c r="L141" s="11">
        <f>H141/1310037</f>
        <v>1.4732408321291689E-4</v>
      </c>
      <c r="M141" s="10">
        <f>I141/88</f>
        <v>5.6818181818181816E-2</v>
      </c>
      <c r="N141" s="10">
        <f>(COUNTIF(CI141:CX141,"&gt;0")/16)</f>
        <v>0</v>
      </c>
      <c r="O141">
        <v>0</v>
      </c>
      <c r="P141">
        <v>0</v>
      </c>
      <c r="Q141">
        <v>8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5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45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63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72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</row>
    <row r="142" spans="4:102" x14ac:dyDescent="0.25">
      <c r="D142" t="s">
        <v>1338</v>
      </c>
      <c r="E142" t="s">
        <v>1532</v>
      </c>
      <c r="H142">
        <f>SUM(O142:CX142)</f>
        <v>187</v>
      </c>
      <c r="I142">
        <f>COUNTIF(O142:CX142, "&gt;0")</f>
        <v>8</v>
      </c>
      <c r="J142">
        <v>81</v>
      </c>
      <c r="K142">
        <v>47</v>
      </c>
      <c r="L142" s="11">
        <f>H142/1310037</f>
        <v>1.4274405990059822E-4</v>
      </c>
      <c r="M142" s="10">
        <f>I142/88</f>
        <v>9.0909090909090912E-2</v>
      </c>
      <c r="N142" s="10">
        <f>(COUNTIF(CI142:CX142,"&gt;0")/16)</f>
        <v>0</v>
      </c>
      <c r="O142">
        <v>0</v>
      </c>
      <c r="P142">
        <v>0</v>
      </c>
      <c r="Q142">
        <v>0</v>
      </c>
      <c r="R142">
        <v>7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11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12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83</v>
      </c>
      <c r="AX142">
        <v>0</v>
      </c>
      <c r="AY142">
        <v>0</v>
      </c>
      <c r="AZ142">
        <v>0</v>
      </c>
      <c r="BA142">
        <v>0</v>
      </c>
      <c r="BB142">
        <v>15</v>
      </c>
      <c r="BC142">
        <v>34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5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20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</row>
    <row r="143" spans="4:102" x14ac:dyDescent="0.25">
      <c r="D143" t="s">
        <v>1206</v>
      </c>
      <c r="E143" t="s">
        <v>1626</v>
      </c>
      <c r="H143">
        <f>SUM(O143:CX143)</f>
        <v>186</v>
      </c>
      <c r="I143">
        <f>COUNTIF(O143:CX143, "&gt;0")</f>
        <v>13</v>
      </c>
      <c r="J143">
        <v>51</v>
      </c>
      <c r="K143">
        <v>141</v>
      </c>
      <c r="L143" s="11">
        <f>H143/1310037</f>
        <v>1.4198072268187844E-4</v>
      </c>
      <c r="M143" s="10">
        <f>I143/88</f>
        <v>0.14772727272727273</v>
      </c>
      <c r="N143" s="10">
        <f>(COUNTIF(CI143:CX143,"&gt;0")/16)</f>
        <v>6.25E-2</v>
      </c>
      <c r="O143">
        <v>0</v>
      </c>
      <c r="P143">
        <v>0</v>
      </c>
      <c r="Q143">
        <v>20</v>
      </c>
      <c r="R143">
        <v>10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4</v>
      </c>
      <c r="AU143">
        <v>17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21</v>
      </c>
      <c r="BC143">
        <v>28</v>
      </c>
      <c r="BD143">
        <v>18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18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17</v>
      </c>
      <c r="CD143">
        <v>11</v>
      </c>
      <c r="CE143">
        <v>6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5</v>
      </c>
      <c r="CX143">
        <v>0</v>
      </c>
    </row>
    <row r="144" spans="4:102" x14ac:dyDescent="0.25">
      <c r="D144" t="s">
        <v>1014</v>
      </c>
      <c r="E144" t="s">
        <v>1627</v>
      </c>
      <c r="H144">
        <f>SUM(O144:CX144)</f>
        <v>182</v>
      </c>
      <c r="I144">
        <f>COUNTIF(O144:CX144, "&gt;0")</f>
        <v>14</v>
      </c>
      <c r="J144">
        <v>190</v>
      </c>
      <c r="K144">
        <v>142</v>
      </c>
      <c r="L144" s="11">
        <f>H144/1310037</f>
        <v>1.3892737380699933E-4</v>
      </c>
      <c r="M144" s="10">
        <f>I144/88</f>
        <v>0.15909090909090909</v>
      </c>
      <c r="N144" s="10">
        <f>(COUNTIF(CI144:CX144,"&gt;0")/16)</f>
        <v>0</v>
      </c>
      <c r="O144">
        <v>0</v>
      </c>
      <c r="P144">
        <v>0</v>
      </c>
      <c r="Q144">
        <v>0</v>
      </c>
      <c r="R144">
        <v>30</v>
      </c>
      <c r="S144">
        <v>14</v>
      </c>
      <c r="T144">
        <v>11</v>
      </c>
      <c r="U144">
        <v>3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10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10</v>
      </c>
      <c r="AK144">
        <v>0</v>
      </c>
      <c r="AL144">
        <v>0</v>
      </c>
      <c r="AM144">
        <v>5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13</v>
      </c>
      <c r="AU144">
        <v>24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9</v>
      </c>
      <c r="BC144">
        <v>12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15</v>
      </c>
      <c r="CE144">
        <v>10</v>
      </c>
      <c r="CF144">
        <v>0</v>
      </c>
      <c r="CG144">
        <v>16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</row>
    <row r="145" spans="1:102" x14ac:dyDescent="0.25">
      <c r="D145" t="s">
        <v>1303</v>
      </c>
      <c r="E145" t="s">
        <v>1642</v>
      </c>
      <c r="H145">
        <f>SUM(O145:CX145)</f>
        <v>181</v>
      </c>
      <c r="I145">
        <f>COUNTIF(O145:CX145, "&gt;0")</f>
        <v>2</v>
      </c>
      <c r="J145">
        <v>175</v>
      </c>
      <c r="K145">
        <v>156</v>
      </c>
      <c r="L145" s="11">
        <f>H145/1310037</f>
        <v>1.3816403658827958E-4</v>
      </c>
      <c r="M145" s="10">
        <f>I145/88</f>
        <v>2.2727272727272728E-2</v>
      </c>
      <c r="N145" s="10">
        <f>(COUNTIF(CI145:CX145,"&gt;0")/16)</f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59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122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</row>
    <row r="146" spans="1:102" x14ac:dyDescent="0.25">
      <c r="A146" s="8"/>
      <c r="D146" t="s">
        <v>1375</v>
      </c>
      <c r="E146" t="s">
        <v>1676</v>
      </c>
      <c r="H146">
        <f>SUM(O146:CX146)</f>
        <v>181</v>
      </c>
      <c r="I146">
        <f>COUNTIF(O146:CX146, "&gt;0")</f>
        <v>2</v>
      </c>
      <c r="J146">
        <v>82</v>
      </c>
      <c r="K146">
        <v>191</v>
      </c>
      <c r="L146" s="11">
        <f>H146/1310037</f>
        <v>1.3816403658827958E-4</v>
      </c>
      <c r="M146" s="10">
        <f>I146/88</f>
        <v>2.2727272727272728E-2</v>
      </c>
      <c r="N146" s="10">
        <f>(COUNTIF(CI146:CX146,"&gt;0")/16)</f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115</v>
      </c>
      <c r="CB146">
        <v>66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</row>
    <row r="147" spans="1:102" x14ac:dyDescent="0.25">
      <c r="D147" t="s">
        <v>1161</v>
      </c>
      <c r="E147" t="s">
        <v>1692</v>
      </c>
      <c r="H147">
        <f>SUM(O147:CX147)</f>
        <v>180</v>
      </c>
      <c r="I147">
        <f>COUNTIF(O147:CX147, "&gt;0")</f>
        <v>21</v>
      </c>
      <c r="J147">
        <v>173</v>
      </c>
      <c r="K147">
        <v>208</v>
      </c>
      <c r="L147" s="11">
        <f>H147/1310037</f>
        <v>1.374006993695598E-4</v>
      </c>
      <c r="M147" s="10">
        <f>I147/88</f>
        <v>0.23863636363636365</v>
      </c>
      <c r="N147" s="10">
        <f>(COUNTIF(CI147:CX147,"&gt;0")/16)</f>
        <v>6.25E-2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7</v>
      </c>
      <c r="AB147">
        <v>0</v>
      </c>
      <c r="AC147">
        <v>0</v>
      </c>
      <c r="AD147">
        <v>0</v>
      </c>
      <c r="AE147">
        <v>18</v>
      </c>
      <c r="AF147">
        <v>0</v>
      </c>
      <c r="AG147">
        <v>0</v>
      </c>
      <c r="AH147">
        <v>0</v>
      </c>
      <c r="AI147">
        <v>0</v>
      </c>
      <c r="AJ147">
        <v>10</v>
      </c>
      <c r="AK147">
        <v>7</v>
      </c>
      <c r="AL147">
        <v>0</v>
      </c>
      <c r="AM147">
        <v>3</v>
      </c>
      <c r="AN147">
        <v>3</v>
      </c>
      <c r="AO147">
        <v>7</v>
      </c>
      <c r="AP147">
        <v>4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23</v>
      </c>
      <c r="AX147">
        <v>3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15</v>
      </c>
      <c r="BG147">
        <v>0</v>
      </c>
      <c r="BH147">
        <v>0</v>
      </c>
      <c r="BI147">
        <v>0</v>
      </c>
      <c r="BJ147">
        <v>0</v>
      </c>
      <c r="BK147">
        <v>8</v>
      </c>
      <c r="BL147">
        <v>0</v>
      </c>
      <c r="BM147">
        <v>0</v>
      </c>
      <c r="BN147">
        <v>0</v>
      </c>
      <c r="BO147">
        <v>0</v>
      </c>
      <c r="BP147">
        <v>3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3</v>
      </c>
      <c r="BY147">
        <v>3</v>
      </c>
      <c r="BZ147">
        <v>0</v>
      </c>
      <c r="CA147">
        <v>0</v>
      </c>
      <c r="CB147">
        <v>26</v>
      </c>
      <c r="CC147">
        <v>4</v>
      </c>
      <c r="CD147">
        <v>5</v>
      </c>
      <c r="CE147">
        <v>13</v>
      </c>
      <c r="CF147">
        <v>11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4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</row>
    <row r="148" spans="1:102" x14ac:dyDescent="0.25">
      <c r="D148" t="s">
        <v>1367</v>
      </c>
      <c r="E148" t="s">
        <v>1700</v>
      </c>
      <c r="H148">
        <f>SUM(O148:CX148)</f>
        <v>176</v>
      </c>
      <c r="I148">
        <f>COUNTIF(O148:CX148, "&gt;0")</f>
        <v>4</v>
      </c>
      <c r="J148">
        <v>170</v>
      </c>
      <c r="K148">
        <v>214</v>
      </c>
      <c r="L148" s="11">
        <f>H148/1310037</f>
        <v>1.3434735049468069E-4</v>
      </c>
      <c r="M148" s="10">
        <f>I148/88</f>
        <v>4.5454545454545456E-2</v>
      </c>
      <c r="N148" s="10">
        <f>(COUNTIF(CI148:CX148,"&gt;0")/16)</f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19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17</v>
      </c>
      <c r="AN148">
        <v>0</v>
      </c>
      <c r="AO148">
        <v>116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24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</row>
    <row r="149" spans="1:102" x14ac:dyDescent="0.25">
      <c r="D149" t="s">
        <v>1355</v>
      </c>
      <c r="E149" t="s">
        <v>1533</v>
      </c>
      <c r="H149">
        <f>SUM(O149:CX149)</f>
        <v>173</v>
      </c>
      <c r="I149">
        <f>COUNTIF(O149:CX149, "&gt;0")</f>
        <v>5</v>
      </c>
      <c r="J149">
        <v>35</v>
      </c>
      <c r="K149">
        <v>48</v>
      </c>
      <c r="L149" s="11">
        <f>H149/1310037</f>
        <v>1.3205733883852135E-4</v>
      </c>
      <c r="M149" s="10">
        <f>I149/88</f>
        <v>5.6818181818181816E-2</v>
      </c>
      <c r="N149" s="10">
        <f>(COUNTIF(CI149:CX149,"&gt;0")/16)</f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51</v>
      </c>
      <c r="AB149">
        <v>39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37</v>
      </c>
      <c r="AK149">
        <v>0</v>
      </c>
      <c r="AL149">
        <v>19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27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</row>
    <row r="150" spans="1:102" x14ac:dyDescent="0.25">
      <c r="D150" t="s">
        <v>1210</v>
      </c>
      <c r="E150" t="s">
        <v>1680</v>
      </c>
      <c r="H150">
        <f>SUM(O150:CX150)</f>
        <v>170</v>
      </c>
      <c r="I150">
        <f>COUNTIF(O150:CX150, "&gt;0")</f>
        <v>2</v>
      </c>
      <c r="J150">
        <v>220</v>
      </c>
      <c r="K150">
        <v>195</v>
      </c>
      <c r="L150" s="11">
        <f>H150/1310037</f>
        <v>1.2976732718236202E-4</v>
      </c>
      <c r="M150" s="10">
        <f>I150/88</f>
        <v>2.2727272727272728E-2</v>
      </c>
      <c r="N150" s="10">
        <f>(COUNTIF(CI150:CX150,"&gt;0")/16)</f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134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36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</row>
    <row r="151" spans="1:102" x14ac:dyDescent="0.25">
      <c r="D151" t="s">
        <v>1139</v>
      </c>
      <c r="E151" t="s">
        <v>1573</v>
      </c>
      <c r="H151">
        <f>SUM(O151:CX151)</f>
        <v>152</v>
      </c>
      <c r="I151">
        <f>COUNTIF(O151:CX151, "&gt;0")</f>
        <v>3</v>
      </c>
      <c r="J151">
        <v>117</v>
      </c>
      <c r="K151">
        <v>88</v>
      </c>
      <c r="L151" s="11">
        <f>H151/1310037</f>
        <v>1.1602725724540604E-4</v>
      </c>
      <c r="M151" s="10">
        <f>I151/88</f>
        <v>3.4090909090909088E-2</v>
      </c>
      <c r="N151" s="10">
        <f>(COUNTIF(CI151:CX151,"&gt;0")/16)</f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16</v>
      </c>
      <c r="AN151">
        <v>0</v>
      </c>
      <c r="AO151">
        <v>132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4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</row>
    <row r="152" spans="1:102" x14ac:dyDescent="0.25">
      <c r="D152" t="s">
        <v>1094</v>
      </c>
      <c r="E152" t="s">
        <v>1586</v>
      </c>
      <c r="H152">
        <f>SUM(O152:CX152)</f>
        <v>151</v>
      </c>
      <c r="I152">
        <f>COUNTIF(O152:CX152, "&gt;0")</f>
        <v>8</v>
      </c>
      <c r="J152">
        <v>93</v>
      </c>
      <c r="K152">
        <v>101</v>
      </c>
      <c r="L152" s="11">
        <f>H152/1310037</f>
        <v>1.1526392002668628E-4</v>
      </c>
      <c r="M152" s="10">
        <f>I152/88</f>
        <v>9.0909090909090912E-2</v>
      </c>
      <c r="N152" s="10">
        <f>(COUNTIF(CI152:CX152,"&gt;0")/16)</f>
        <v>0</v>
      </c>
      <c r="O152">
        <v>0</v>
      </c>
      <c r="P152">
        <v>0</v>
      </c>
      <c r="Q152">
        <v>0</v>
      </c>
      <c r="R152">
        <v>15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8</v>
      </c>
      <c r="Z152">
        <v>0</v>
      </c>
      <c r="AA152">
        <v>4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52</v>
      </c>
      <c r="AK152">
        <v>0</v>
      </c>
      <c r="AL152">
        <v>22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22</v>
      </c>
      <c r="CE152">
        <v>0</v>
      </c>
      <c r="CF152">
        <v>19</v>
      </c>
      <c r="CG152">
        <v>9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</row>
    <row r="153" spans="1:102" x14ac:dyDescent="0.25">
      <c r="D153" t="s">
        <v>1335</v>
      </c>
      <c r="E153" t="s">
        <v>1552</v>
      </c>
      <c r="H153">
        <f>SUM(O153:CX153)</f>
        <v>146</v>
      </c>
      <c r="I153">
        <f>COUNTIF(O153:CX153, "&gt;0")</f>
        <v>2</v>
      </c>
      <c r="J153">
        <v>54</v>
      </c>
      <c r="K153">
        <v>67</v>
      </c>
      <c r="L153" s="11">
        <f>H153/1310037</f>
        <v>1.1144723393308738E-4</v>
      </c>
      <c r="M153" s="10">
        <f>I153/88</f>
        <v>2.2727272727272728E-2</v>
      </c>
      <c r="N153" s="10">
        <f>(COUNTIF(CI153:CX153,"&gt;0")/16)</f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62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84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</row>
    <row r="154" spans="1:102" x14ac:dyDescent="0.25">
      <c r="D154" t="s">
        <v>1251</v>
      </c>
      <c r="E154" t="s">
        <v>1553</v>
      </c>
      <c r="H154">
        <f>SUM(O154:CX154)</f>
        <v>145</v>
      </c>
      <c r="I154">
        <f>COUNTIF(O154:CX154, "&gt;0")</f>
        <v>5</v>
      </c>
      <c r="J154">
        <v>140</v>
      </c>
      <c r="K154">
        <v>68</v>
      </c>
      <c r="L154" s="11">
        <f>H154/1310037</f>
        <v>1.1068389671436761E-4</v>
      </c>
      <c r="M154" s="10">
        <f>I154/88</f>
        <v>5.6818181818181816E-2</v>
      </c>
      <c r="N154" s="10">
        <f>(COUNTIF(CI154:CX154,"&gt;0")/16)</f>
        <v>0.125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13</v>
      </c>
      <c r="AQ154">
        <v>0</v>
      </c>
      <c r="AR154">
        <v>61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45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22</v>
      </c>
      <c r="CT154">
        <v>0</v>
      </c>
      <c r="CU154">
        <v>0</v>
      </c>
      <c r="CV154">
        <v>4</v>
      </c>
      <c r="CW154">
        <v>0</v>
      </c>
      <c r="CX154">
        <v>0</v>
      </c>
    </row>
    <row r="155" spans="1:102" x14ac:dyDescent="0.25">
      <c r="D155" t="s">
        <v>992</v>
      </c>
      <c r="E155" t="s">
        <v>1669</v>
      </c>
      <c r="H155">
        <f>SUM(O155:CX155)</f>
        <v>145</v>
      </c>
      <c r="I155">
        <f>COUNTIF(O155:CX155, "&gt;0")</f>
        <v>2</v>
      </c>
      <c r="J155">
        <v>185</v>
      </c>
      <c r="K155">
        <v>185</v>
      </c>
      <c r="L155" s="11">
        <f>H155/1310037</f>
        <v>1.1068389671436761E-4</v>
      </c>
      <c r="M155" s="10">
        <f>I155/88</f>
        <v>2.2727272727272728E-2</v>
      </c>
      <c r="N155" s="10">
        <f>(COUNTIF(CI155:CX155,"&gt;0")/16)</f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121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24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</row>
    <row r="156" spans="1:102" x14ac:dyDescent="0.25">
      <c r="D156" s="8" t="s">
        <v>1110</v>
      </c>
      <c r="E156" t="s">
        <v>1672</v>
      </c>
      <c r="F156" s="13"/>
      <c r="H156">
        <f>SUM(O156:CX156)</f>
        <v>143</v>
      </c>
      <c r="I156">
        <f>COUNTIF(O156:CX156, "&gt;0")</f>
        <v>5</v>
      </c>
      <c r="J156">
        <v>132</v>
      </c>
      <c r="K156">
        <v>186</v>
      </c>
      <c r="L156" s="11">
        <f>H156/1310037</f>
        <v>1.0915722227692805E-4</v>
      </c>
      <c r="M156" s="10">
        <f>I156/88</f>
        <v>5.6818181818181816E-2</v>
      </c>
      <c r="N156" s="10">
        <f>(COUNTIF(CI156:CX156,"&gt;0")/16)</f>
        <v>0</v>
      </c>
      <c r="O156">
        <v>0</v>
      </c>
      <c r="P156">
        <v>0</v>
      </c>
      <c r="Q156">
        <v>114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7</v>
      </c>
      <c r="AL156">
        <v>12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2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8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</row>
    <row r="157" spans="1:102" x14ac:dyDescent="0.25">
      <c r="D157" t="s">
        <v>1313</v>
      </c>
      <c r="E157" t="s">
        <v>1682</v>
      </c>
      <c r="H157">
        <f>SUM(O157:CX157)</f>
        <v>141</v>
      </c>
      <c r="I157">
        <f>COUNTIF(O157:CX157, "&gt;0")</f>
        <v>2</v>
      </c>
      <c r="J157">
        <v>112</v>
      </c>
      <c r="K157">
        <v>197</v>
      </c>
      <c r="L157" s="11">
        <f>H157/1310037</f>
        <v>1.0763054783948851E-4</v>
      </c>
      <c r="M157" s="10">
        <f>I157/88</f>
        <v>2.2727272727272728E-2</v>
      </c>
      <c r="N157" s="10">
        <f>(COUNTIF(CI157:CX157,"&gt;0")/16)</f>
        <v>0</v>
      </c>
      <c r="O157">
        <v>0</v>
      </c>
      <c r="P157">
        <v>4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137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</row>
    <row r="158" spans="1:102" x14ac:dyDescent="0.25">
      <c r="D158" t="s">
        <v>1060</v>
      </c>
      <c r="E158" t="s">
        <v>1684</v>
      </c>
      <c r="H158">
        <f>SUM(O158:CX158)</f>
        <v>138</v>
      </c>
      <c r="I158">
        <f>COUNTIF(O158:CX158, "&gt;0")</f>
        <v>11</v>
      </c>
      <c r="J158">
        <v>127</v>
      </c>
      <c r="K158">
        <v>199</v>
      </c>
      <c r="L158" s="11">
        <f>H158/1310037</f>
        <v>1.0534053618332917E-4</v>
      </c>
      <c r="M158" s="10">
        <f>I158/88</f>
        <v>0.125</v>
      </c>
      <c r="N158" s="10">
        <f>(COUNTIF(CI158:CX158,"&gt;0")/16)</f>
        <v>0</v>
      </c>
      <c r="O158">
        <v>0</v>
      </c>
      <c r="P158">
        <v>0</v>
      </c>
      <c r="Q158">
        <v>0</v>
      </c>
      <c r="R158">
        <v>10</v>
      </c>
      <c r="S158">
        <v>24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5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2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61</v>
      </c>
      <c r="BA158">
        <v>0</v>
      </c>
      <c r="BB158">
        <v>0</v>
      </c>
      <c r="BC158">
        <v>4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5</v>
      </c>
      <c r="BM158">
        <v>0</v>
      </c>
      <c r="BN158">
        <v>0</v>
      </c>
      <c r="BO158">
        <v>0</v>
      </c>
      <c r="BP158">
        <v>6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7</v>
      </c>
      <c r="BY158">
        <v>0</v>
      </c>
      <c r="BZ158">
        <v>0</v>
      </c>
      <c r="CA158">
        <v>0</v>
      </c>
      <c r="CB158">
        <v>0</v>
      </c>
      <c r="CC158">
        <v>7</v>
      </c>
      <c r="CD158">
        <v>0</v>
      </c>
      <c r="CE158">
        <v>0</v>
      </c>
      <c r="CF158">
        <v>0</v>
      </c>
      <c r="CG158">
        <v>7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</row>
    <row r="159" spans="1:102" x14ac:dyDescent="0.25">
      <c r="D159" t="s">
        <v>1004</v>
      </c>
      <c r="E159" t="s">
        <v>1611</v>
      </c>
      <c r="H159">
        <f>SUM(O159:CX159)</f>
        <v>136</v>
      </c>
      <c r="I159">
        <f>COUNTIF(O159:CX159, "&gt;0")</f>
        <v>3</v>
      </c>
      <c r="J159">
        <v>145</v>
      </c>
      <c r="K159">
        <v>126</v>
      </c>
      <c r="L159" s="11">
        <f>H159/1310037</f>
        <v>1.0381386174588962E-4</v>
      </c>
      <c r="M159" s="10">
        <f>I159/88</f>
        <v>3.4090909090909088E-2</v>
      </c>
      <c r="N159" s="10">
        <f>(COUNTIF(CI159:CX159,"&gt;0")/16)</f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74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54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8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</row>
    <row r="160" spans="1:102" x14ac:dyDescent="0.25">
      <c r="D160" t="s">
        <v>1393</v>
      </c>
      <c r="E160" t="s">
        <v>1668</v>
      </c>
      <c r="H160">
        <f>SUM(O160:CX160)</f>
        <v>136</v>
      </c>
      <c r="I160">
        <f>COUNTIF(O160:CX160, "&gt;0")</f>
        <v>2</v>
      </c>
      <c r="J160">
        <v>88</v>
      </c>
      <c r="K160">
        <v>183</v>
      </c>
      <c r="L160" s="11">
        <f>H160/1310037</f>
        <v>1.0381386174588962E-4</v>
      </c>
      <c r="M160" s="10">
        <f>I160/88</f>
        <v>2.2727272727272728E-2</v>
      </c>
      <c r="N160" s="10">
        <f>(COUNTIF(CI160:CX160,"&gt;0")/16)</f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130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6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</row>
    <row r="161" spans="1:102" x14ac:dyDescent="0.25">
      <c r="D161" t="s">
        <v>1329</v>
      </c>
      <c r="E161" t="s">
        <v>1697</v>
      </c>
      <c r="H161">
        <f>SUM(O161:CX161)</f>
        <v>134</v>
      </c>
      <c r="I161">
        <f>COUNTIF(O161:CX161, "&gt;0")</f>
        <v>2</v>
      </c>
      <c r="J161">
        <v>163</v>
      </c>
      <c r="K161">
        <v>212</v>
      </c>
      <c r="L161" s="11">
        <f>H161/1310037</f>
        <v>1.0228718730845007E-4</v>
      </c>
      <c r="M161" s="10">
        <f>I161/88</f>
        <v>2.2727272727272728E-2</v>
      </c>
      <c r="N161" s="10">
        <f>(COUNTIF(CI161:CX161,"&gt;0")/16)</f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41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93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</row>
    <row r="162" spans="1:102" x14ac:dyDescent="0.25">
      <c r="D162" t="s">
        <v>1217</v>
      </c>
      <c r="E162" t="s">
        <v>1699</v>
      </c>
      <c r="H162">
        <f>SUM(O162:CX162)</f>
        <v>132</v>
      </c>
      <c r="I162">
        <f>COUNTIF(O162:CX162, "&gt;0")</f>
        <v>13</v>
      </c>
      <c r="J162">
        <v>223</v>
      </c>
      <c r="K162">
        <v>215</v>
      </c>
      <c r="L162" s="11">
        <f>H162/1310037</f>
        <v>1.0076051287101052E-4</v>
      </c>
      <c r="M162" s="10">
        <f>I162/88</f>
        <v>0.14772727272727273</v>
      </c>
      <c r="N162" s="10">
        <f>(COUNTIF(CI162:CX162,"&gt;0")/16)</f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12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10</v>
      </c>
      <c r="AL162">
        <v>14</v>
      </c>
      <c r="AM162">
        <v>0</v>
      </c>
      <c r="AN162">
        <v>8</v>
      </c>
      <c r="AO162">
        <v>0</v>
      </c>
      <c r="AP162">
        <v>0</v>
      </c>
      <c r="AQ162">
        <v>10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12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5</v>
      </c>
      <c r="BD162">
        <v>0</v>
      </c>
      <c r="BE162">
        <v>9</v>
      </c>
      <c r="BF162">
        <v>8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6</v>
      </c>
      <c r="BQ162">
        <v>0</v>
      </c>
      <c r="BR162">
        <v>0</v>
      </c>
      <c r="BS162">
        <v>0</v>
      </c>
      <c r="BT162">
        <v>0</v>
      </c>
      <c r="BU162">
        <v>7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10</v>
      </c>
      <c r="CD162">
        <v>0</v>
      </c>
      <c r="CE162">
        <v>21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</row>
    <row r="163" spans="1:102" x14ac:dyDescent="0.25">
      <c r="D163" t="s">
        <v>1325</v>
      </c>
      <c r="E163" t="s">
        <v>1702</v>
      </c>
      <c r="H163">
        <f>SUM(O163:CX163)</f>
        <v>132</v>
      </c>
      <c r="I163">
        <f>COUNTIF(O163:CX163, "&gt;0")</f>
        <v>7</v>
      </c>
      <c r="J163">
        <v>147</v>
      </c>
      <c r="K163">
        <v>217</v>
      </c>
      <c r="L163" s="11">
        <f>H163/1310037</f>
        <v>1.0076051287101052E-4</v>
      </c>
      <c r="M163" s="10">
        <f>I163/88</f>
        <v>7.9545454545454544E-2</v>
      </c>
      <c r="N163" s="10">
        <f>(COUNTIF(CI163:CX163,"&gt;0")/16)</f>
        <v>6.25E-2</v>
      </c>
      <c r="O163">
        <v>0</v>
      </c>
      <c r="P163">
        <v>0</v>
      </c>
      <c r="Q163">
        <v>0</v>
      </c>
      <c r="R163">
        <v>13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15</v>
      </c>
      <c r="AA163">
        <v>0</v>
      </c>
      <c r="AB163">
        <v>13</v>
      </c>
      <c r="AC163">
        <v>0</v>
      </c>
      <c r="AD163">
        <v>2</v>
      </c>
      <c r="AE163">
        <v>0</v>
      </c>
      <c r="AF163">
        <v>4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55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30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</row>
    <row r="164" spans="1:102" x14ac:dyDescent="0.25">
      <c r="D164" t="s">
        <v>1296</v>
      </c>
      <c r="E164" t="s">
        <v>1703</v>
      </c>
      <c r="H164">
        <f>SUM(O164:CX164)</f>
        <v>132</v>
      </c>
      <c r="I164">
        <f>COUNTIF(O164:CX164, "&gt;0")</f>
        <v>2</v>
      </c>
      <c r="J164">
        <v>171</v>
      </c>
      <c r="K164">
        <v>218</v>
      </c>
      <c r="L164" s="11">
        <f>H164/1310037</f>
        <v>1.0076051287101052E-4</v>
      </c>
      <c r="M164" s="10">
        <f>I164/88</f>
        <v>2.2727272727272728E-2</v>
      </c>
      <c r="N164" s="10">
        <f>(COUNTIF(CI164:CX164,"&gt;0")/16)</f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66</v>
      </c>
      <c r="CA164">
        <v>66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</row>
    <row r="165" spans="1:102" x14ac:dyDescent="0.25">
      <c r="D165" t="s">
        <v>1219</v>
      </c>
      <c r="E165" t="s">
        <v>1567</v>
      </c>
      <c r="H165">
        <f>SUM(O165:CX165)</f>
        <v>125</v>
      </c>
      <c r="I165">
        <f>COUNTIF(O165:CX165, "&gt;0")</f>
        <v>10</v>
      </c>
      <c r="J165">
        <v>100</v>
      </c>
      <c r="K165">
        <v>82</v>
      </c>
      <c r="L165" s="11">
        <f>H165/1310037</f>
        <v>9.5417152339972083E-5</v>
      </c>
      <c r="M165" s="10">
        <f>I165/88</f>
        <v>0.11363636363636363</v>
      </c>
      <c r="N165" s="10">
        <f>(COUNTIF(CI165:CX165,"&gt;0")/16)</f>
        <v>0</v>
      </c>
      <c r="O165">
        <v>0</v>
      </c>
      <c r="P165">
        <v>0</v>
      </c>
      <c r="Q165">
        <v>0</v>
      </c>
      <c r="R165">
        <v>5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12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29</v>
      </c>
      <c r="AK165">
        <v>13</v>
      </c>
      <c r="AL165">
        <v>13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4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7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9</v>
      </c>
      <c r="CD165">
        <v>24</v>
      </c>
      <c r="CE165">
        <v>9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</row>
    <row r="166" spans="1:102" x14ac:dyDescent="0.25">
      <c r="D166" t="s">
        <v>1350</v>
      </c>
      <c r="E166" t="s">
        <v>1612</v>
      </c>
      <c r="H166">
        <f>SUM(O166:CX166)</f>
        <v>124</v>
      </c>
      <c r="I166">
        <f>COUNTIF(O166:CX166, "&gt;0")</f>
        <v>4</v>
      </c>
      <c r="J166">
        <v>160</v>
      </c>
      <c r="K166">
        <v>127</v>
      </c>
      <c r="L166" s="11">
        <f>H166/1310037</f>
        <v>9.4653815121252305E-5</v>
      </c>
      <c r="M166" s="10">
        <f>I166/88</f>
        <v>4.5454545454545456E-2</v>
      </c>
      <c r="N166" s="10">
        <f>(COUNTIF(CI166:CX166,"&gt;0")/16)</f>
        <v>6.25E-2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15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47</v>
      </c>
      <c r="BR166">
        <v>0</v>
      </c>
      <c r="BS166">
        <v>57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5</v>
      </c>
      <c r="CT166">
        <v>0</v>
      </c>
      <c r="CU166">
        <v>0</v>
      </c>
      <c r="CV166">
        <v>0</v>
      </c>
      <c r="CW166">
        <v>0</v>
      </c>
      <c r="CX166">
        <v>0</v>
      </c>
    </row>
    <row r="167" spans="1:102" x14ac:dyDescent="0.25">
      <c r="D167" t="s">
        <v>1112</v>
      </c>
      <c r="E167" t="s">
        <v>1631</v>
      </c>
      <c r="H167">
        <f>SUM(O167:CX167)</f>
        <v>119</v>
      </c>
      <c r="I167">
        <f>COUNTIF(O167:CX167, "&gt;0")</f>
        <v>2</v>
      </c>
      <c r="J167">
        <v>106</v>
      </c>
      <c r="K167">
        <v>146</v>
      </c>
      <c r="L167" s="11">
        <f>H167/1310037</f>
        <v>9.0837129027653414E-5</v>
      </c>
      <c r="M167" s="10">
        <f>I167/88</f>
        <v>2.2727272727272728E-2</v>
      </c>
      <c r="N167" s="10">
        <f>(COUNTIF(CI167:CX167,"&gt;0")/16)</f>
        <v>6.25E-2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46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73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</row>
    <row r="168" spans="1:102" x14ac:dyDescent="0.25">
      <c r="D168" t="s">
        <v>1041</v>
      </c>
      <c r="E168" t="s">
        <v>1634</v>
      </c>
      <c r="H168">
        <f>SUM(O168:CX168)</f>
        <v>118</v>
      </c>
      <c r="I168">
        <f>COUNTIF(O168:CX168, "&gt;0")</f>
        <v>3</v>
      </c>
      <c r="J168">
        <v>80</v>
      </c>
      <c r="K168">
        <v>149</v>
      </c>
      <c r="L168" s="11">
        <f>H168/1310037</f>
        <v>9.0073791808933636E-5</v>
      </c>
      <c r="M168" s="10">
        <f>I168/88</f>
        <v>3.4090909090909088E-2</v>
      </c>
      <c r="N168" s="10">
        <f>(COUNTIF(CI168:CX168,"&gt;0")/16)</f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16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49</v>
      </c>
      <c r="BV168">
        <v>0</v>
      </c>
      <c r="BW168">
        <v>0</v>
      </c>
      <c r="BX168">
        <v>53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</row>
    <row r="169" spans="1:102" x14ac:dyDescent="0.25">
      <c r="D169" t="s">
        <v>1096</v>
      </c>
      <c r="E169" t="s">
        <v>1638</v>
      </c>
      <c r="H169">
        <f>SUM(O169:CX169)</f>
        <v>116</v>
      </c>
      <c r="I169">
        <f>COUNTIF(O169:CX169, "&gt;0")</f>
        <v>2</v>
      </c>
      <c r="J169">
        <v>108</v>
      </c>
      <c r="K169">
        <v>153</v>
      </c>
      <c r="L169" s="11">
        <f>H169/1310037</f>
        <v>8.8547117371494093E-5</v>
      </c>
      <c r="M169" s="10">
        <f>I169/88</f>
        <v>2.2727272727272728E-2</v>
      </c>
      <c r="N169" s="10">
        <f>(COUNTIF(CI169:CX169,"&gt;0")/16)</f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58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58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</row>
    <row r="170" spans="1:102" x14ac:dyDescent="0.25">
      <c r="D170" t="s">
        <v>1012</v>
      </c>
      <c r="E170" t="s">
        <v>1641</v>
      </c>
      <c r="H170">
        <f>SUM(O170:CX170)</f>
        <v>114</v>
      </c>
      <c r="I170">
        <f>COUNTIF(O170:CX170, "&gt;0")</f>
        <v>3</v>
      </c>
      <c r="J170">
        <v>199</v>
      </c>
      <c r="K170">
        <v>157</v>
      </c>
      <c r="L170" s="11">
        <f>H170/1310037</f>
        <v>8.7020442934054537E-5</v>
      </c>
      <c r="M170" s="10">
        <f>I170/88</f>
        <v>3.4090909090909088E-2</v>
      </c>
      <c r="N170" s="10">
        <f>(COUNTIF(CI170:CX170,"&gt;0")/16)</f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27</v>
      </c>
      <c r="BD170">
        <v>0</v>
      </c>
      <c r="BE170">
        <v>0</v>
      </c>
      <c r="BF170">
        <v>42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45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</row>
    <row r="171" spans="1:102" x14ac:dyDescent="0.25">
      <c r="D171" s="8" t="s">
        <v>1128</v>
      </c>
      <c r="E171" t="s">
        <v>1648</v>
      </c>
      <c r="F171" s="13"/>
      <c r="H171">
        <f>SUM(O171:CX171)</f>
        <v>114</v>
      </c>
      <c r="I171">
        <f>COUNTIF(O171:CX171, "&gt;0")</f>
        <v>2</v>
      </c>
      <c r="J171">
        <v>120</v>
      </c>
      <c r="K171">
        <v>163</v>
      </c>
      <c r="L171" s="11">
        <f>H171/1310037</f>
        <v>8.7020442934054537E-5</v>
      </c>
      <c r="M171" s="10">
        <f>I171/88</f>
        <v>2.2727272727272728E-2</v>
      </c>
      <c r="N171" s="10">
        <f>(COUNTIF(CI171:CX171,"&gt;0")/16)</f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100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14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</row>
    <row r="172" spans="1:102" x14ac:dyDescent="0.25">
      <c r="A172" s="8"/>
      <c r="D172" t="s">
        <v>1178</v>
      </c>
      <c r="E172" t="s">
        <v>1650</v>
      </c>
      <c r="H172">
        <f>SUM(O172:CX172)</f>
        <v>113</v>
      </c>
      <c r="I172">
        <f>COUNTIF(O172:CX172, "&gt;0")</f>
        <v>3</v>
      </c>
      <c r="J172">
        <v>158</v>
      </c>
      <c r="K172">
        <v>165</v>
      </c>
      <c r="L172" s="11">
        <f>H172/1310037</f>
        <v>8.6257105715334758E-5</v>
      </c>
      <c r="M172" s="10">
        <f>I172/88</f>
        <v>3.4090909090909088E-2</v>
      </c>
      <c r="N172" s="10">
        <f>(COUNTIF(CI172:CX172,"&gt;0")/16)</f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29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33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51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</row>
    <row r="173" spans="1:102" x14ac:dyDescent="0.25">
      <c r="D173" t="s">
        <v>1294</v>
      </c>
      <c r="E173" t="s">
        <v>1653</v>
      </c>
      <c r="H173">
        <f>SUM(O173:CX173)</f>
        <v>108</v>
      </c>
      <c r="I173">
        <f>COUNTIF(O173:CX173, "&gt;0")</f>
        <v>3</v>
      </c>
      <c r="J173">
        <v>146</v>
      </c>
      <c r="K173">
        <v>167</v>
      </c>
      <c r="L173" s="11">
        <f>H173/1310037</f>
        <v>8.2440419621735881E-5</v>
      </c>
      <c r="M173" s="10">
        <f>I173/88</f>
        <v>3.4090909090909088E-2</v>
      </c>
      <c r="N173" s="10">
        <f>(COUNTIF(CI173:CX173,"&gt;0")/16)</f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19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33</v>
      </c>
      <c r="AM173">
        <v>0</v>
      </c>
      <c r="AN173">
        <v>0</v>
      </c>
      <c r="AO173">
        <v>56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</row>
    <row r="174" spans="1:102" x14ac:dyDescent="0.25">
      <c r="D174" t="s">
        <v>1179</v>
      </c>
      <c r="E174" t="s">
        <v>1655</v>
      </c>
      <c r="H174">
        <f>SUM(O174:CX174)</f>
        <v>105</v>
      </c>
      <c r="I174">
        <f>COUNTIF(O174:CX174, "&gt;0")</f>
        <v>2</v>
      </c>
      <c r="J174">
        <v>150</v>
      </c>
      <c r="K174">
        <v>170</v>
      </c>
      <c r="L174" s="11">
        <f>H174/1310037</f>
        <v>8.0150407965576547E-5</v>
      </c>
      <c r="M174" s="10">
        <f>I174/88</f>
        <v>2.2727272727272728E-2</v>
      </c>
      <c r="N174" s="10">
        <f>(COUNTIF(CI174:CX174,"&gt;0")/16)</f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51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54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</row>
    <row r="175" spans="1:102" x14ac:dyDescent="0.25">
      <c r="D175" t="s">
        <v>1365</v>
      </c>
      <c r="E175" t="s">
        <v>1657</v>
      </c>
      <c r="H175">
        <f>SUM(O175:CX175)</f>
        <v>103</v>
      </c>
      <c r="I175">
        <f>COUNTIF(O175:CX175, "&gt;0")</f>
        <v>5</v>
      </c>
      <c r="J175">
        <v>115</v>
      </c>
      <c r="K175">
        <v>172</v>
      </c>
      <c r="L175" s="11">
        <f>H175/1310037</f>
        <v>7.862373352813699E-5</v>
      </c>
      <c r="M175" s="10">
        <f>I175/88</f>
        <v>5.6818181818181816E-2</v>
      </c>
      <c r="N175" s="10">
        <f>(COUNTIF(CI175:CX175,"&gt;0")/16)</f>
        <v>6.25E-2</v>
      </c>
      <c r="O175">
        <v>0</v>
      </c>
      <c r="P175">
        <v>0</v>
      </c>
      <c r="Q175">
        <v>0</v>
      </c>
      <c r="R175">
        <v>0</v>
      </c>
      <c r="S175">
        <v>70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7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3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13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10</v>
      </c>
      <c r="CW175">
        <v>0</v>
      </c>
      <c r="CX175">
        <v>0</v>
      </c>
    </row>
    <row r="176" spans="1:102" x14ac:dyDescent="0.25">
      <c r="D176" t="s">
        <v>1333</v>
      </c>
      <c r="E176" t="s">
        <v>1660</v>
      </c>
      <c r="H176">
        <f>SUM(O176:CX176)</f>
        <v>100</v>
      </c>
      <c r="I176">
        <f>COUNTIF(O176:CX176, "&gt;0")</f>
        <v>2</v>
      </c>
      <c r="J176">
        <v>139</v>
      </c>
      <c r="K176">
        <v>176</v>
      </c>
      <c r="L176" s="11">
        <f>H176/1310037</f>
        <v>7.6333721871977656E-5</v>
      </c>
      <c r="M176" s="10">
        <f>I176/88</f>
        <v>2.2727272727272728E-2</v>
      </c>
      <c r="N176" s="10">
        <f>(COUNTIF(CI176:CX176,"&gt;0")/16)</f>
        <v>6.25E-2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96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4</v>
      </c>
      <c r="CT176">
        <v>0</v>
      </c>
      <c r="CU176">
        <v>0</v>
      </c>
      <c r="CV176">
        <v>0</v>
      </c>
      <c r="CW176">
        <v>0</v>
      </c>
      <c r="CX176">
        <v>0</v>
      </c>
    </row>
    <row r="177" spans="4:102" x14ac:dyDescent="0.25">
      <c r="D177" t="s">
        <v>1022</v>
      </c>
      <c r="E177" t="s">
        <v>1664</v>
      </c>
      <c r="H177">
        <f>SUM(O177:CX177)</f>
        <v>98</v>
      </c>
      <c r="I177">
        <f>COUNTIF(O177:CX177, "&gt;0")</f>
        <v>2</v>
      </c>
      <c r="J177">
        <v>110</v>
      </c>
      <c r="K177">
        <v>180</v>
      </c>
      <c r="L177" s="11">
        <f>H177/1310037</f>
        <v>7.4807047434538113E-5</v>
      </c>
      <c r="M177" s="10">
        <f>I177/88</f>
        <v>2.2727272727272728E-2</v>
      </c>
      <c r="N177" s="10">
        <f>(COUNTIF(CI177:CX177,"&gt;0")/16)</f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26</v>
      </c>
      <c r="BR177">
        <v>72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</row>
    <row r="178" spans="4:102" x14ac:dyDescent="0.25">
      <c r="D178" t="s">
        <v>1225</v>
      </c>
      <c r="E178" t="s">
        <v>1666</v>
      </c>
      <c r="H178">
        <f>SUM(O178:CX178)</f>
        <v>97</v>
      </c>
      <c r="I178">
        <f>COUNTIF(O178:CX178, "&gt;0")</f>
        <v>5</v>
      </c>
      <c r="J178">
        <v>207</v>
      </c>
      <c r="K178">
        <v>181</v>
      </c>
      <c r="L178" s="11">
        <f>H178/1310037</f>
        <v>7.4043710215818335E-5</v>
      </c>
      <c r="M178" s="10">
        <f>I178/88</f>
        <v>5.6818181818181816E-2</v>
      </c>
      <c r="N178" s="10">
        <f>(COUNTIF(CI178:CX178,"&gt;0")/16)</f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9</v>
      </c>
      <c r="AK178">
        <v>0</v>
      </c>
      <c r="AL178">
        <v>9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29</v>
      </c>
      <c r="CD178">
        <v>24</v>
      </c>
      <c r="CE178">
        <v>26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</row>
    <row r="179" spans="4:102" x14ac:dyDescent="0.25">
      <c r="D179" t="s">
        <v>1184</v>
      </c>
      <c r="E179" t="s">
        <v>1670</v>
      </c>
      <c r="H179">
        <f>SUM(O179:CX179)</f>
        <v>97</v>
      </c>
      <c r="I179">
        <f>COUNTIF(O179:CX179, "&gt;0")</f>
        <v>4</v>
      </c>
      <c r="J179">
        <v>168</v>
      </c>
      <c r="K179">
        <v>184</v>
      </c>
      <c r="L179" s="11">
        <f>H179/1310037</f>
        <v>7.4043710215818335E-5</v>
      </c>
      <c r="M179" s="10">
        <f>I179/88</f>
        <v>4.5454545454545456E-2</v>
      </c>
      <c r="N179" s="10">
        <f>(COUNTIF(CI179:CX179,"&gt;0")/16)</f>
        <v>0</v>
      </c>
      <c r="O179">
        <v>4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5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68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</row>
    <row r="180" spans="4:102" x14ac:dyDescent="0.25">
      <c r="D180" t="s">
        <v>1020</v>
      </c>
      <c r="E180" t="s">
        <v>1671</v>
      </c>
      <c r="H180">
        <f>SUM(O180:CX180)</f>
        <v>97</v>
      </c>
      <c r="I180">
        <f>COUNTIF(O180:CX180, "&gt;0")</f>
        <v>2</v>
      </c>
      <c r="J180">
        <v>135</v>
      </c>
      <c r="K180">
        <v>187</v>
      </c>
      <c r="L180" s="11">
        <f>H180/1310037</f>
        <v>7.4043710215818335E-5</v>
      </c>
      <c r="M180" s="10">
        <f>I180/88</f>
        <v>2.2727272727272728E-2</v>
      </c>
      <c r="N180" s="10">
        <f>(COUNTIF(CI180:CX180,"&gt;0")/16)</f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46</v>
      </c>
      <c r="BR180">
        <v>0</v>
      </c>
      <c r="BS180">
        <v>51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</row>
    <row r="181" spans="4:102" x14ac:dyDescent="0.25">
      <c r="D181" t="s">
        <v>1166</v>
      </c>
      <c r="E181" t="s">
        <v>1677</v>
      </c>
      <c r="H181">
        <f>SUM(O181:CX181)</f>
        <v>94</v>
      </c>
      <c r="I181">
        <f>COUNTIF(O181:CX181, "&gt;0")</f>
        <v>4</v>
      </c>
      <c r="J181">
        <v>183</v>
      </c>
      <c r="K181">
        <v>192</v>
      </c>
      <c r="L181" s="11">
        <f>H181/1310037</f>
        <v>7.1753698559659E-5</v>
      </c>
      <c r="M181" s="10">
        <f>I181/88</f>
        <v>4.5454545454545456E-2</v>
      </c>
      <c r="N181" s="10">
        <f>(COUNTIF(CI181:CX181,"&gt;0")/16)</f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84</v>
      </c>
      <c r="AD181">
        <v>0</v>
      </c>
      <c r="AE181">
        <v>0</v>
      </c>
      <c r="AF181">
        <v>3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2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5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</row>
    <row r="182" spans="4:102" x14ac:dyDescent="0.25">
      <c r="D182" t="s">
        <v>1238</v>
      </c>
      <c r="E182" t="s">
        <v>1679</v>
      </c>
      <c r="H182">
        <f>SUM(O182:CX182)</f>
        <v>93</v>
      </c>
      <c r="I182">
        <f>COUNTIF(O182:CX182, "&gt;0")</f>
        <v>5</v>
      </c>
      <c r="J182">
        <v>156</v>
      </c>
      <c r="K182">
        <v>194</v>
      </c>
      <c r="L182" s="11">
        <f>H182/1310037</f>
        <v>7.0990361340939222E-5</v>
      </c>
      <c r="M182" s="10">
        <f>I182/88</f>
        <v>5.6818181818181816E-2</v>
      </c>
      <c r="N182" s="10">
        <f>(COUNTIF(CI182:CX182,"&gt;0")/16)</f>
        <v>0</v>
      </c>
      <c r="O182">
        <v>0</v>
      </c>
      <c r="P182">
        <v>0</v>
      </c>
      <c r="Q182">
        <v>0</v>
      </c>
      <c r="R182">
        <v>0</v>
      </c>
      <c r="S182">
        <v>14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22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14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39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4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</row>
    <row r="183" spans="4:102" x14ac:dyDescent="0.25">
      <c r="D183" t="s">
        <v>1071</v>
      </c>
      <c r="E183" t="s">
        <v>1720</v>
      </c>
      <c r="H183">
        <f>SUM(O183:CX183)</f>
        <v>87</v>
      </c>
      <c r="I183">
        <f>COUNTIF(O183:CX183, "&gt;0")</f>
        <v>2</v>
      </c>
      <c r="J183">
        <v>229</v>
      </c>
      <c r="K183">
        <v>235</v>
      </c>
      <c r="L183" s="11">
        <f>H183/1310037</f>
        <v>6.6410338028620566E-5</v>
      </c>
      <c r="M183" s="10">
        <f>I183/88</f>
        <v>2.2727272727272728E-2</v>
      </c>
      <c r="N183" s="10">
        <f>(COUNTIF(CI183:CX183,"&gt;0")/16)</f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54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33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</row>
    <row r="184" spans="4:102" x14ac:dyDescent="0.25">
      <c r="D184" t="s">
        <v>1153</v>
      </c>
      <c r="E184" t="s">
        <v>1546</v>
      </c>
      <c r="H184">
        <f>SUM(O184:CX184)</f>
        <v>86</v>
      </c>
      <c r="I184">
        <f>COUNTIF(O184:CX184, "&gt;0")</f>
        <v>2</v>
      </c>
      <c r="J184">
        <v>66</v>
      </c>
      <c r="K184">
        <v>61</v>
      </c>
      <c r="L184" s="11">
        <f>H184/1310037</f>
        <v>6.5647000809900788E-5</v>
      </c>
      <c r="M184" s="10">
        <f>I184/88</f>
        <v>2.2727272727272728E-2</v>
      </c>
      <c r="N184" s="10">
        <f>(COUNTIF(CI184:CX184,"&gt;0")/16)</f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47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39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</row>
    <row r="185" spans="4:102" x14ac:dyDescent="0.25">
      <c r="D185" t="s">
        <v>1311</v>
      </c>
      <c r="E185" t="s">
        <v>1511</v>
      </c>
      <c r="H185">
        <f>SUM(O185:CX185)</f>
        <v>85</v>
      </c>
      <c r="I185">
        <f>COUNTIF(O185:CX185, "&gt;0")</f>
        <v>7</v>
      </c>
      <c r="J185">
        <v>98</v>
      </c>
      <c r="K185">
        <v>26</v>
      </c>
      <c r="L185" s="11">
        <f>H185/1310037</f>
        <v>6.488366359118101E-5</v>
      </c>
      <c r="M185" s="10">
        <f>I185/88</f>
        <v>7.9545454545454544E-2</v>
      </c>
      <c r="N185" s="10">
        <f>(COUNTIF(CI185:CX185,"&gt;0")/16)</f>
        <v>0</v>
      </c>
      <c r="O185">
        <v>0</v>
      </c>
      <c r="P185">
        <v>0</v>
      </c>
      <c r="Q185">
        <v>0</v>
      </c>
      <c r="R185">
        <v>6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7</v>
      </c>
      <c r="AK185">
        <v>0</v>
      </c>
      <c r="AL185">
        <v>13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4</v>
      </c>
      <c r="BG185">
        <v>0</v>
      </c>
      <c r="BH185">
        <v>0</v>
      </c>
      <c r="BI185">
        <v>0</v>
      </c>
      <c r="BJ185">
        <v>0</v>
      </c>
      <c r="BK185">
        <v>28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12</v>
      </c>
      <c r="CD185">
        <v>15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</row>
    <row r="186" spans="4:102" x14ac:dyDescent="0.25">
      <c r="D186" t="s">
        <v>974</v>
      </c>
      <c r="E186" t="s">
        <v>1618</v>
      </c>
      <c r="H186">
        <f>SUM(O186:CX186)</f>
        <v>84</v>
      </c>
      <c r="I186">
        <f>COUNTIF(O186:CX186, "&gt;0")</f>
        <v>3</v>
      </c>
      <c r="J186">
        <v>107</v>
      </c>
      <c r="K186">
        <v>133</v>
      </c>
      <c r="L186" s="11">
        <f>H186/1310037</f>
        <v>6.4120326372461232E-5</v>
      </c>
      <c r="M186" s="10">
        <f>I186/88</f>
        <v>3.4090909090909088E-2</v>
      </c>
      <c r="N186" s="10">
        <f>(COUNTIF(CI186:CX186,"&gt;0")/16)</f>
        <v>6.25E-2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5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10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69</v>
      </c>
    </row>
    <row r="187" spans="4:102" x14ac:dyDescent="0.25">
      <c r="D187" t="s">
        <v>1369</v>
      </c>
      <c r="E187" t="s">
        <v>1585</v>
      </c>
      <c r="H187">
        <f>SUM(O187:CX187)</f>
        <v>84</v>
      </c>
      <c r="I187">
        <f>COUNTIF(O187:CX187, "&gt;0")</f>
        <v>2</v>
      </c>
      <c r="J187">
        <v>78</v>
      </c>
      <c r="K187">
        <v>100</v>
      </c>
      <c r="L187" s="11">
        <f>H187/1310037</f>
        <v>6.4120326372461232E-5</v>
      </c>
      <c r="M187" s="10">
        <f>I187/88</f>
        <v>2.2727272727272728E-2</v>
      </c>
      <c r="N187" s="10">
        <f>(COUNTIF(CI187:CX187,"&gt;0")/16)</f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82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2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</row>
    <row r="188" spans="4:102" x14ac:dyDescent="0.25">
      <c r="D188" t="s">
        <v>1127</v>
      </c>
      <c r="E188" t="s">
        <v>1667</v>
      </c>
      <c r="H188">
        <f>SUM(O188:CX188)</f>
        <v>78</v>
      </c>
      <c r="I188">
        <f>COUNTIF(O188:CX188, "&gt;0")</f>
        <v>4</v>
      </c>
      <c r="J188">
        <v>224</v>
      </c>
      <c r="K188">
        <v>182</v>
      </c>
      <c r="L188" s="11">
        <f>H188/1310037</f>
        <v>5.9540303060142576E-5</v>
      </c>
      <c r="M188" s="10">
        <f>I188/88</f>
        <v>4.5454545454545456E-2</v>
      </c>
      <c r="N188" s="10">
        <f>(COUNTIF(CI188:CX188,"&gt;0")/16)</f>
        <v>6.25E-2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5</v>
      </c>
      <c r="AP188">
        <v>0</v>
      </c>
      <c r="AQ188">
        <v>0</v>
      </c>
      <c r="AR188">
        <v>46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5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22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</row>
    <row r="189" spans="4:102" x14ac:dyDescent="0.25">
      <c r="D189" t="s">
        <v>1399</v>
      </c>
      <c r="E189" t="s">
        <v>1549</v>
      </c>
      <c r="H189">
        <f>SUM(O189:CX189)</f>
        <v>78</v>
      </c>
      <c r="I189">
        <f>COUNTIF(O189:CX189, "&gt;0")</f>
        <v>4</v>
      </c>
      <c r="J189">
        <v>96</v>
      </c>
      <c r="K189">
        <v>64</v>
      </c>
      <c r="L189" s="11">
        <f>H189/1310037</f>
        <v>5.9540303060142576E-5</v>
      </c>
      <c r="M189" s="10">
        <f>I189/88</f>
        <v>4.5454545454545456E-2</v>
      </c>
      <c r="N189" s="10">
        <f>(COUNTIF(CI189:CX189,"&gt;0")/16)</f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36</v>
      </c>
      <c r="AK189">
        <v>15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11</v>
      </c>
      <c r="CE189">
        <v>16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</row>
    <row r="190" spans="4:102" x14ac:dyDescent="0.25">
      <c r="D190" t="s">
        <v>1090</v>
      </c>
      <c r="E190" t="s">
        <v>1565</v>
      </c>
      <c r="H190">
        <f>SUM(O190:CX190)</f>
        <v>73</v>
      </c>
      <c r="I190">
        <f>COUNTIF(O190:CX190, "&gt;0")</f>
        <v>2</v>
      </c>
      <c r="J190">
        <v>47</v>
      </c>
      <c r="K190">
        <v>80</v>
      </c>
      <c r="L190" s="11">
        <f>H190/1310037</f>
        <v>5.5723616966543692E-5</v>
      </c>
      <c r="M190" s="10">
        <f>I190/88</f>
        <v>2.2727272727272728E-2</v>
      </c>
      <c r="N190" s="10">
        <f>(COUNTIF(CI190:CX190,"&gt;0")/16)</f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70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3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</row>
    <row r="191" spans="4:102" x14ac:dyDescent="0.25">
      <c r="D191" t="s">
        <v>1084</v>
      </c>
      <c r="E191" t="s">
        <v>1635</v>
      </c>
      <c r="H191">
        <f>SUM(O191:CX191)</f>
        <v>72</v>
      </c>
      <c r="I191">
        <f>COUNTIF(O191:CX191, "&gt;0")</f>
        <v>7</v>
      </c>
      <c r="J191">
        <v>216</v>
      </c>
      <c r="K191">
        <v>150</v>
      </c>
      <c r="L191" s="11">
        <f>H191/1310037</f>
        <v>5.4960279747823914E-5</v>
      </c>
      <c r="M191" s="10">
        <f>I191/88</f>
        <v>7.9545454545454544E-2</v>
      </c>
      <c r="N191" s="10">
        <f>(COUNTIF(CI191:CX191,"&gt;0")/16)</f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14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12</v>
      </c>
      <c r="AK191">
        <v>0</v>
      </c>
      <c r="AL191">
        <v>0</v>
      </c>
      <c r="AM191">
        <v>0</v>
      </c>
      <c r="AN191">
        <v>17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6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8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8</v>
      </c>
      <c r="CE191">
        <v>0</v>
      </c>
      <c r="CF191">
        <v>0</v>
      </c>
      <c r="CG191">
        <v>7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</row>
    <row r="192" spans="4:102" x14ac:dyDescent="0.25">
      <c r="D192" t="s">
        <v>1073</v>
      </c>
      <c r="E192" t="s">
        <v>1637</v>
      </c>
      <c r="H192">
        <f>SUM(O192:CX192)</f>
        <v>69</v>
      </c>
      <c r="I192">
        <f>COUNTIF(O192:CX192, "&gt;0")</f>
        <v>2</v>
      </c>
      <c r="J192">
        <v>219</v>
      </c>
      <c r="K192">
        <v>152</v>
      </c>
      <c r="L192" s="11">
        <f>H192/1310037</f>
        <v>5.2670268091664586E-5</v>
      </c>
      <c r="M192" s="10">
        <f>I192/88</f>
        <v>2.2727272727272728E-2</v>
      </c>
      <c r="N192" s="10">
        <f>(COUNTIF(CI192:CX192,"&gt;0")/16)</f>
        <v>0</v>
      </c>
      <c r="O192">
        <v>0</v>
      </c>
      <c r="P192">
        <v>0</v>
      </c>
      <c r="Q192">
        <v>22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47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</row>
    <row r="193" spans="1:102" x14ac:dyDescent="0.25">
      <c r="D193" t="s">
        <v>1126</v>
      </c>
      <c r="E193" t="s">
        <v>1656</v>
      </c>
      <c r="H193">
        <f>SUM(O193:CX193)</f>
        <v>68</v>
      </c>
      <c r="I193">
        <f>COUNTIF(O193:CX193, "&gt;0")</f>
        <v>8</v>
      </c>
      <c r="J193">
        <v>215</v>
      </c>
      <c r="K193">
        <v>171</v>
      </c>
      <c r="L193" s="11">
        <f>H193/1310037</f>
        <v>5.1906930872944808E-5</v>
      </c>
      <c r="M193" s="10">
        <f>I193/88</f>
        <v>9.0909090909090912E-2</v>
      </c>
      <c r="N193" s="10">
        <f>(COUNTIF(CI193:CX193,"&gt;0")/16)</f>
        <v>0</v>
      </c>
      <c r="O193">
        <v>0</v>
      </c>
      <c r="P193">
        <v>0</v>
      </c>
      <c r="Q193">
        <v>0</v>
      </c>
      <c r="R193">
        <v>0</v>
      </c>
      <c r="S193">
        <v>35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4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2</v>
      </c>
      <c r="AU193">
        <v>0</v>
      </c>
      <c r="AV193">
        <v>0</v>
      </c>
      <c r="AW193">
        <v>0</v>
      </c>
      <c r="AX193">
        <v>3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4</v>
      </c>
      <c r="BP193">
        <v>13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4</v>
      </c>
      <c r="CF193">
        <v>3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</row>
    <row r="194" spans="1:102" x14ac:dyDescent="0.25">
      <c r="D194" t="s">
        <v>1262</v>
      </c>
      <c r="E194" t="s">
        <v>1568</v>
      </c>
      <c r="H194">
        <f>SUM(O194:CX194)</f>
        <v>68</v>
      </c>
      <c r="I194">
        <f>COUNTIF(O194:CX194, "&gt;0")</f>
        <v>2</v>
      </c>
      <c r="J194">
        <v>233</v>
      </c>
      <c r="K194">
        <v>83</v>
      </c>
      <c r="L194" s="11">
        <f>H194/1310037</f>
        <v>5.1906930872944808E-5</v>
      </c>
      <c r="M194" s="10">
        <f>I194/88</f>
        <v>2.2727272727272728E-2</v>
      </c>
      <c r="N194" s="10">
        <f>(COUNTIF(CI194:CX194,"&gt;0")/16)</f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59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9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</row>
    <row r="195" spans="1:102" x14ac:dyDescent="0.25">
      <c r="D195" t="s">
        <v>1276</v>
      </c>
      <c r="E195" t="s">
        <v>1596</v>
      </c>
      <c r="H195">
        <f>SUM(O195:CX195)</f>
        <v>68</v>
      </c>
      <c r="I195">
        <f>COUNTIF(O195:CX195, "&gt;0")</f>
        <v>2</v>
      </c>
      <c r="J195">
        <v>86</v>
      </c>
      <c r="K195">
        <v>111</v>
      </c>
      <c r="L195" s="11">
        <f>H195/1310037</f>
        <v>5.1906930872944808E-5</v>
      </c>
      <c r="M195" s="10">
        <f>I195/88</f>
        <v>2.2727272727272728E-2</v>
      </c>
      <c r="N195" s="10">
        <f>(COUNTIF(CI195:CX195,"&gt;0")/16)</f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8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60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</row>
    <row r="196" spans="1:102" x14ac:dyDescent="0.25">
      <c r="A196" s="8"/>
      <c r="D196" t="s">
        <v>1371</v>
      </c>
      <c r="E196" t="s">
        <v>1604</v>
      </c>
      <c r="H196">
        <f>SUM(O196:CX196)</f>
        <v>65</v>
      </c>
      <c r="I196">
        <f>COUNTIF(O196:CX196, "&gt;0")</f>
        <v>3</v>
      </c>
      <c r="J196">
        <v>225</v>
      </c>
      <c r="K196">
        <v>120</v>
      </c>
      <c r="L196" s="11">
        <f>H196/1310037</f>
        <v>4.961691921678548E-5</v>
      </c>
      <c r="M196" s="10">
        <f>I196/88</f>
        <v>3.4090909090909088E-2</v>
      </c>
      <c r="N196" s="10">
        <f>(COUNTIF(CI196:CX196,"&gt;0")/16)</f>
        <v>0.125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3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56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6</v>
      </c>
    </row>
    <row r="197" spans="1:102" x14ac:dyDescent="0.25">
      <c r="A197" s="8"/>
      <c r="D197" t="s">
        <v>1301</v>
      </c>
      <c r="E197" t="s">
        <v>1662</v>
      </c>
      <c r="H197">
        <f>SUM(O197:CX197)</f>
        <v>62</v>
      </c>
      <c r="I197">
        <f>COUNTIF(O197:CX197, "&gt;0")</f>
        <v>2</v>
      </c>
      <c r="J197">
        <v>212</v>
      </c>
      <c r="K197">
        <v>177</v>
      </c>
      <c r="L197" s="11">
        <f>H197/1310037</f>
        <v>4.7326907560626152E-5</v>
      </c>
      <c r="M197" s="10">
        <f>I197/88</f>
        <v>2.2727272727272728E-2</v>
      </c>
      <c r="N197" s="10">
        <f>(COUNTIF(CI197:CX197,"&gt;0")/16)</f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44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18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</row>
    <row r="198" spans="1:102" x14ac:dyDescent="0.25">
      <c r="D198" t="s">
        <v>1383</v>
      </c>
      <c r="E198" t="s">
        <v>1683</v>
      </c>
      <c r="H198">
        <f>SUM(O198:CX198)</f>
        <v>60</v>
      </c>
      <c r="I198">
        <f>COUNTIF(O198:CX198, "&gt;0")</f>
        <v>7</v>
      </c>
      <c r="J198">
        <v>121</v>
      </c>
      <c r="K198">
        <v>198</v>
      </c>
      <c r="L198" s="11">
        <f>H198/1310037</f>
        <v>4.5800233123186596E-5</v>
      </c>
      <c r="M198" s="10">
        <f>I198/88</f>
        <v>7.9545454545454544E-2</v>
      </c>
      <c r="N198" s="10">
        <f>(COUNTIF(CI198:CX198,"&gt;0")/16)</f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8</v>
      </c>
      <c r="AC198">
        <v>15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10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5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10</v>
      </c>
      <c r="CE198">
        <v>10</v>
      </c>
      <c r="CF198">
        <v>2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</row>
    <row r="199" spans="1:102" x14ac:dyDescent="0.25">
      <c r="D199" t="s">
        <v>1157</v>
      </c>
      <c r="E199" t="s">
        <v>1691</v>
      </c>
      <c r="H199">
        <f>SUM(O199:CX199)</f>
        <v>59</v>
      </c>
      <c r="I199">
        <f>COUNTIF(O199:CX199, "&gt;0")</f>
        <v>5</v>
      </c>
      <c r="J199">
        <v>153</v>
      </c>
      <c r="K199">
        <v>206</v>
      </c>
      <c r="L199" s="11">
        <f>H199/1310037</f>
        <v>4.5036895904466818E-5</v>
      </c>
      <c r="M199" s="10">
        <f>I199/88</f>
        <v>5.6818181818181816E-2</v>
      </c>
      <c r="N199" s="10">
        <f>(COUNTIF(CI199:CX199,"&gt;0")/16)</f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15</v>
      </c>
      <c r="AB199">
        <v>7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6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22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9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</row>
    <row r="200" spans="1:102" x14ac:dyDescent="0.25">
      <c r="D200" t="s">
        <v>1168</v>
      </c>
      <c r="E200" t="s">
        <v>1539</v>
      </c>
      <c r="H200">
        <f>SUM(O200:CX200)</f>
        <v>57</v>
      </c>
      <c r="I200">
        <f>COUNTIF(O200:CX200, "&gt;0")</f>
        <v>4</v>
      </c>
      <c r="J200">
        <v>22</v>
      </c>
      <c r="K200">
        <v>54</v>
      </c>
      <c r="L200" s="11">
        <f>H200/1310037</f>
        <v>4.3510221467027268E-5</v>
      </c>
      <c r="M200" s="10">
        <f>I200/88</f>
        <v>4.5454545454545456E-2</v>
      </c>
      <c r="N200" s="10">
        <f>(COUNTIF(CI200:CX200,"&gt;0")/16)</f>
        <v>0</v>
      </c>
      <c r="O200">
        <v>0</v>
      </c>
      <c r="P200">
        <v>0</v>
      </c>
      <c r="Q200">
        <v>0</v>
      </c>
      <c r="R200">
        <v>25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7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5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20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</row>
    <row r="201" spans="1:102" x14ac:dyDescent="0.25">
      <c r="D201" t="s">
        <v>1282</v>
      </c>
      <c r="E201" t="s">
        <v>1711</v>
      </c>
      <c r="H201">
        <f>SUM(O201:CX201)</f>
        <v>57</v>
      </c>
      <c r="I201">
        <f>COUNTIF(O201:CX201, "&gt;0")</f>
        <v>4</v>
      </c>
      <c r="J201">
        <v>138</v>
      </c>
      <c r="K201">
        <v>226</v>
      </c>
      <c r="L201" s="11">
        <f>H201/1310037</f>
        <v>4.3510221467027268E-5</v>
      </c>
      <c r="M201" s="10">
        <f>I201/88</f>
        <v>4.5454545454545456E-2</v>
      </c>
      <c r="N201" s="10">
        <f>(COUNTIF(CI201:CX201,"&gt;0")/16)</f>
        <v>6.25E-2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22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18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14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3</v>
      </c>
      <c r="CT201">
        <v>0</v>
      </c>
      <c r="CU201">
        <v>0</v>
      </c>
      <c r="CV201">
        <v>0</v>
      </c>
      <c r="CW201">
        <v>0</v>
      </c>
      <c r="CX201">
        <v>0</v>
      </c>
    </row>
    <row r="202" spans="1:102" x14ac:dyDescent="0.25">
      <c r="D202" t="s">
        <v>1381</v>
      </c>
      <c r="E202" t="s">
        <v>1582</v>
      </c>
      <c r="H202">
        <f>SUM(O202:CX202)</f>
        <v>55</v>
      </c>
      <c r="I202">
        <f>COUNTIF(O202:CX202, "&gt;0")</f>
        <v>4</v>
      </c>
      <c r="J202">
        <v>94</v>
      </c>
      <c r="K202">
        <v>97</v>
      </c>
      <c r="L202" s="11">
        <f>H202/1310037</f>
        <v>4.1983547029587712E-5</v>
      </c>
      <c r="M202" s="10">
        <f>I202/88</f>
        <v>4.5454545454545456E-2</v>
      </c>
      <c r="N202" s="10">
        <f>(COUNTIF(CI202:CX202,"&gt;0")/16)</f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8</v>
      </c>
      <c r="W202">
        <v>3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23</v>
      </c>
      <c r="CG202">
        <v>21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</row>
    <row r="203" spans="1:102" x14ac:dyDescent="0.25">
      <c r="D203" s="8" t="s">
        <v>1159</v>
      </c>
      <c r="E203" t="s">
        <v>1594</v>
      </c>
      <c r="F203" s="13"/>
      <c r="H203">
        <f>SUM(O203:CX203)</f>
        <v>53</v>
      </c>
      <c r="I203">
        <f>COUNTIF(O203:CX203, "&gt;0")</f>
        <v>4</v>
      </c>
      <c r="J203">
        <v>214</v>
      </c>
      <c r="K203">
        <v>109</v>
      </c>
      <c r="L203" s="11">
        <f>H203/1310037</f>
        <v>4.0456872592148162E-5</v>
      </c>
      <c r="M203" s="10">
        <f>I203/88</f>
        <v>4.5454545454545456E-2</v>
      </c>
      <c r="N203" s="10">
        <f>(COUNTIF(CI203:CX203,"&gt;0")/16)</f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18</v>
      </c>
      <c r="AK203">
        <v>20</v>
      </c>
      <c r="AL203">
        <v>5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10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</row>
    <row r="204" spans="1:102" x14ac:dyDescent="0.25">
      <c r="D204" t="s">
        <v>1309</v>
      </c>
      <c r="E204" t="s">
        <v>1610</v>
      </c>
      <c r="H204">
        <f>SUM(O204:CX204)</f>
        <v>53</v>
      </c>
      <c r="I204">
        <f>COUNTIF(O204:CX204, "&gt;0")</f>
        <v>3</v>
      </c>
      <c r="J204">
        <v>159</v>
      </c>
      <c r="K204">
        <v>125</v>
      </c>
      <c r="L204" s="11">
        <f>H204/1310037</f>
        <v>4.0456872592148162E-5</v>
      </c>
      <c r="M204" s="10">
        <f>I204/88</f>
        <v>3.4090909090909088E-2</v>
      </c>
      <c r="N204" s="10">
        <f>(COUNTIF(CI204:CX204,"&gt;0")/16)</f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22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27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4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</row>
    <row r="205" spans="1:102" x14ac:dyDescent="0.25">
      <c r="D205" t="s">
        <v>1177</v>
      </c>
      <c r="E205" t="s">
        <v>1632</v>
      </c>
      <c r="H205">
        <f>SUM(O205:CX205)</f>
        <v>49</v>
      </c>
      <c r="I205">
        <f>COUNTIF(O205:CX205, "&gt;0")</f>
        <v>3</v>
      </c>
      <c r="J205">
        <v>191</v>
      </c>
      <c r="K205">
        <v>147</v>
      </c>
      <c r="L205" s="11">
        <f>H205/1310037</f>
        <v>3.7403523717269056E-5</v>
      </c>
      <c r="M205" s="10">
        <f>I205/88</f>
        <v>3.4090909090909088E-2</v>
      </c>
      <c r="N205" s="10">
        <f>(COUNTIF(CI205:CX205,"&gt;0")/16)</f>
        <v>0</v>
      </c>
      <c r="O205">
        <v>0</v>
      </c>
      <c r="P205">
        <v>0</v>
      </c>
      <c r="Q205">
        <v>0</v>
      </c>
      <c r="R205">
        <v>4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15</v>
      </c>
      <c r="CD205">
        <v>30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</row>
    <row r="206" spans="1:102" x14ac:dyDescent="0.25">
      <c r="D206" t="s">
        <v>980</v>
      </c>
      <c r="E206" t="s">
        <v>1649</v>
      </c>
      <c r="H206">
        <f>SUM(O206:CX206)</f>
        <v>47</v>
      </c>
      <c r="I206">
        <f>COUNTIF(O206:CX206, "&gt;0")</f>
        <v>2</v>
      </c>
      <c r="J206">
        <v>222</v>
      </c>
      <c r="K206">
        <v>164</v>
      </c>
      <c r="L206" s="11">
        <f>H206/1310037</f>
        <v>3.58768492798295E-5</v>
      </c>
      <c r="M206" s="10">
        <f>I206/88</f>
        <v>2.2727272727272728E-2</v>
      </c>
      <c r="N206" s="10">
        <f>(COUNTIF(CI206:CX206,"&gt;0")/16)</f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28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19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</row>
    <row r="207" spans="1:102" x14ac:dyDescent="0.25">
      <c r="D207" t="s">
        <v>1063</v>
      </c>
      <c r="E207" t="s">
        <v>1652</v>
      </c>
      <c r="H207">
        <f>SUM(O207:CX207)</f>
        <v>46</v>
      </c>
      <c r="I207">
        <f>COUNTIF(O207:CX207, "&gt;0")</f>
        <v>3</v>
      </c>
      <c r="J207">
        <v>210</v>
      </c>
      <c r="K207">
        <v>168</v>
      </c>
      <c r="L207" s="11">
        <f>H207/1310037</f>
        <v>3.5113512061109722E-5</v>
      </c>
      <c r="M207" s="10">
        <f>I207/88</f>
        <v>3.4090909090909088E-2</v>
      </c>
      <c r="N207" s="10">
        <f>(COUNTIF(CI207:CX207,"&gt;0")/16)</f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7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29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10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</row>
    <row r="208" spans="1:102" x14ac:dyDescent="0.25">
      <c r="D208" t="s">
        <v>1029</v>
      </c>
      <c r="E208" t="s">
        <v>1678</v>
      </c>
      <c r="H208">
        <f>SUM(O208:CX208)</f>
        <v>45</v>
      </c>
      <c r="I208">
        <f>COUNTIF(O208:CX208, "&gt;0")</f>
        <v>4</v>
      </c>
      <c r="J208">
        <v>194</v>
      </c>
      <c r="K208">
        <v>193</v>
      </c>
      <c r="L208" s="11">
        <f>H208/1310037</f>
        <v>3.435017484238995E-5</v>
      </c>
      <c r="M208" s="10">
        <f>I208/88</f>
        <v>4.5454545454545456E-2</v>
      </c>
      <c r="N208" s="10">
        <f>(COUNTIF(CI208:CX208,"&gt;0")/16)</f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16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8</v>
      </c>
      <c r="CE208">
        <v>15</v>
      </c>
      <c r="CF208">
        <v>6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</row>
    <row r="209" spans="4:102" x14ac:dyDescent="0.25">
      <c r="D209" t="s">
        <v>1037</v>
      </c>
      <c r="E209" t="s">
        <v>1688</v>
      </c>
      <c r="H209">
        <f>SUM(O209:CX209)</f>
        <v>45</v>
      </c>
      <c r="I209">
        <f>COUNTIF(O209:CX209, "&gt;0")</f>
        <v>3</v>
      </c>
      <c r="J209">
        <v>141</v>
      </c>
      <c r="K209">
        <v>202</v>
      </c>
      <c r="L209" s="11">
        <f>H209/1310037</f>
        <v>3.435017484238995E-5</v>
      </c>
      <c r="M209" s="10">
        <f>I209/88</f>
        <v>3.4090909090909088E-2</v>
      </c>
      <c r="N209" s="10">
        <f>(COUNTIF(CI209:CX209,"&gt;0")/16)</f>
        <v>0</v>
      </c>
      <c r="O209">
        <v>0</v>
      </c>
      <c r="P209">
        <v>0</v>
      </c>
      <c r="Q209">
        <v>0</v>
      </c>
      <c r="R209">
        <v>0</v>
      </c>
      <c r="S209">
        <v>36</v>
      </c>
      <c r="T209">
        <v>5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4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</row>
    <row r="210" spans="4:102" x14ac:dyDescent="0.25">
      <c r="D210" t="s">
        <v>1046</v>
      </c>
      <c r="E210" t="s">
        <v>1693</v>
      </c>
      <c r="H210">
        <f>SUM(O210:CX210)</f>
        <v>43</v>
      </c>
      <c r="I210">
        <f>COUNTIF(O210:CX210, "&gt;0")</f>
        <v>2</v>
      </c>
      <c r="J210">
        <v>134</v>
      </c>
      <c r="K210">
        <v>207</v>
      </c>
      <c r="L210" s="11">
        <f>H210/1310037</f>
        <v>3.2823500404950394E-5</v>
      </c>
      <c r="M210" s="10">
        <f>I210/88</f>
        <v>2.2727272727272728E-2</v>
      </c>
      <c r="N210" s="10">
        <f>(COUNTIF(CI210:CX210,"&gt;0")/16)</f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19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24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</row>
    <row r="211" spans="4:102" x14ac:dyDescent="0.25">
      <c r="D211" t="s">
        <v>1317</v>
      </c>
      <c r="E211" t="s">
        <v>1695</v>
      </c>
      <c r="H211">
        <f>SUM(O211:CX211)</f>
        <v>42</v>
      </c>
      <c r="I211">
        <f>COUNTIF(O211:CX211, "&gt;0")</f>
        <v>3</v>
      </c>
      <c r="J211">
        <v>169</v>
      </c>
      <c r="K211">
        <v>211</v>
      </c>
      <c r="L211" s="11">
        <f>H211/1310037</f>
        <v>3.2060163186230616E-5</v>
      </c>
      <c r="M211" s="10">
        <f>I211/88</f>
        <v>3.4090909090909088E-2</v>
      </c>
      <c r="N211" s="10">
        <f>(COUNTIF(CI211:CX211,"&gt;0")/16)</f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25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7</v>
      </c>
      <c r="CD211">
        <v>0</v>
      </c>
      <c r="CE211">
        <v>0</v>
      </c>
      <c r="CF211">
        <v>0</v>
      </c>
      <c r="CG211">
        <v>0</v>
      </c>
      <c r="CH211">
        <v>10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</row>
    <row r="212" spans="4:102" x14ac:dyDescent="0.25">
      <c r="D212" t="s">
        <v>1102</v>
      </c>
      <c r="E212" t="s">
        <v>1698</v>
      </c>
      <c r="H212">
        <f>SUM(O212:CX212)</f>
        <v>42</v>
      </c>
      <c r="I212">
        <f>COUNTIF(O212:CX212, "&gt;0")</f>
        <v>3</v>
      </c>
      <c r="J212">
        <v>179</v>
      </c>
      <c r="K212">
        <v>213</v>
      </c>
      <c r="L212" s="11">
        <f>H212/1310037</f>
        <v>3.2060163186230616E-5</v>
      </c>
      <c r="M212" s="10">
        <f>I212/88</f>
        <v>3.4090909090909088E-2</v>
      </c>
      <c r="N212" s="10">
        <f>(COUNTIF(CI212:CX212,"&gt;0")/16)</f>
        <v>0.1875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20</v>
      </c>
      <c r="CN212">
        <v>0</v>
      </c>
      <c r="CO212">
        <v>0</v>
      </c>
      <c r="CP212">
        <v>11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11</v>
      </c>
      <c r="CW212">
        <v>0</v>
      </c>
      <c r="CX212">
        <v>0</v>
      </c>
    </row>
    <row r="213" spans="4:102" x14ac:dyDescent="0.25">
      <c r="D213" t="s">
        <v>1086</v>
      </c>
      <c r="E213" t="s">
        <v>1701</v>
      </c>
      <c r="H213">
        <f>SUM(O213:CX213)</f>
        <v>40</v>
      </c>
      <c r="I213">
        <f>COUNTIF(O213:CX213, "&gt;0")</f>
        <v>3</v>
      </c>
      <c r="J213">
        <v>177</v>
      </c>
      <c r="K213">
        <v>216</v>
      </c>
      <c r="L213" s="11">
        <f>H213/1310037</f>
        <v>3.0533488748791066E-5</v>
      </c>
      <c r="M213" s="10">
        <f>I213/88</f>
        <v>3.4090909090909088E-2</v>
      </c>
      <c r="N213" s="10">
        <f>(COUNTIF(CI213:CX213,"&gt;0")/16)</f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3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25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12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</row>
    <row r="214" spans="4:102" x14ac:dyDescent="0.25">
      <c r="D214" t="s">
        <v>1145</v>
      </c>
      <c r="E214" t="s">
        <v>1705</v>
      </c>
      <c r="H214">
        <f>SUM(O214:CX214)</f>
        <v>39</v>
      </c>
      <c r="I214">
        <f>COUNTIF(O214:CX214, "&gt;0")</f>
        <v>3</v>
      </c>
      <c r="J214">
        <v>151</v>
      </c>
      <c r="K214">
        <v>219</v>
      </c>
      <c r="L214" s="11">
        <f>H214/1310037</f>
        <v>2.9770151530071288E-5</v>
      </c>
      <c r="M214" s="10">
        <f>I214/88</f>
        <v>3.4090909090909088E-2</v>
      </c>
      <c r="N214" s="10">
        <f>(COUNTIF(CI214:CX214,"&gt;0")/16)</f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15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22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2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</row>
    <row r="215" spans="4:102" x14ac:dyDescent="0.25">
      <c r="D215" t="s">
        <v>978</v>
      </c>
      <c r="E215" t="s">
        <v>1708</v>
      </c>
      <c r="H215">
        <f>SUM(O215:CX215)</f>
        <v>36</v>
      </c>
      <c r="I215">
        <f>COUNTIF(O215:CX215, "&gt;0")</f>
        <v>3</v>
      </c>
      <c r="J215">
        <v>162</v>
      </c>
      <c r="K215">
        <v>223</v>
      </c>
      <c r="L215" s="11">
        <f>H215/1310037</f>
        <v>2.7480139873911957E-5</v>
      </c>
      <c r="M215" s="10">
        <f>I215/88</f>
        <v>3.4090909090909088E-2</v>
      </c>
      <c r="N215" s="10">
        <f>(COUNTIF(CI215:CX215,"&gt;0")/16)</f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16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16</v>
      </c>
      <c r="CE215">
        <v>4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</row>
    <row r="216" spans="4:102" x14ac:dyDescent="0.25">
      <c r="D216" t="s">
        <v>1240</v>
      </c>
      <c r="E216" t="s">
        <v>1721</v>
      </c>
      <c r="H216">
        <f>SUM(O216:CX216)</f>
        <v>36</v>
      </c>
      <c r="I216">
        <f>COUNTIF(O216:CX216, "&gt;0")</f>
        <v>2</v>
      </c>
      <c r="J216">
        <v>149</v>
      </c>
      <c r="K216">
        <v>236</v>
      </c>
      <c r="L216" s="11">
        <f>H216/1310037</f>
        <v>2.7480139873911957E-5</v>
      </c>
      <c r="M216" s="10">
        <f>I216/88</f>
        <v>2.2727272727272728E-2</v>
      </c>
      <c r="N216" s="10">
        <f>(COUNTIF(CI216:CX216,"&gt;0")/16)</f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9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27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</row>
    <row r="217" spans="4:102" x14ac:dyDescent="0.25">
      <c r="D217" t="s">
        <v>1386</v>
      </c>
      <c r="E217" t="s">
        <v>1606</v>
      </c>
      <c r="H217">
        <f>SUM(O217:CX217)</f>
        <v>35</v>
      </c>
      <c r="I217">
        <f>COUNTIF(O217:CX217, "&gt;0")</f>
        <v>3</v>
      </c>
      <c r="J217">
        <v>129</v>
      </c>
      <c r="K217">
        <v>121</v>
      </c>
      <c r="L217" s="11">
        <f>H217/1310037</f>
        <v>2.6716802655192182E-5</v>
      </c>
      <c r="M217" s="10">
        <f>I217/88</f>
        <v>3.4090909090909088E-2</v>
      </c>
      <c r="N217" s="10">
        <f>(COUNTIF(CI217:CX217,"&gt;0")/16)</f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15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10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10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</row>
    <row r="218" spans="4:102" x14ac:dyDescent="0.25">
      <c r="D218" t="s">
        <v>1164</v>
      </c>
      <c r="E218" t="s">
        <v>1550</v>
      </c>
      <c r="H218">
        <f>SUM(O218:CX218)</f>
        <v>34</v>
      </c>
      <c r="I218">
        <f>COUNTIF(O218:CX218, "&gt;0")</f>
        <v>3</v>
      </c>
      <c r="J218">
        <v>99</v>
      </c>
      <c r="K218">
        <v>65</v>
      </c>
      <c r="L218" s="11">
        <f>H218/1310037</f>
        <v>2.5953465436472404E-5</v>
      </c>
      <c r="M218" s="10">
        <f>I218/88</f>
        <v>3.4090909090909088E-2</v>
      </c>
      <c r="N218" s="10">
        <f>(COUNTIF(CI218:CX218,"&gt;0")/16)</f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6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23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5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</row>
    <row r="219" spans="4:102" x14ac:dyDescent="0.25">
      <c r="D219" t="s">
        <v>1108</v>
      </c>
      <c r="E219" t="s">
        <v>1556</v>
      </c>
      <c r="H219">
        <f>SUM(O219:CX219)</f>
        <v>33</v>
      </c>
      <c r="I219">
        <f>COUNTIF(O219:CX219, "&gt;0")</f>
        <v>3</v>
      </c>
      <c r="J219">
        <v>33</v>
      </c>
      <c r="K219">
        <v>71</v>
      </c>
      <c r="L219" s="11">
        <f>H219/1310037</f>
        <v>2.5190128217752629E-5</v>
      </c>
      <c r="M219" s="10">
        <f>I219/88</f>
        <v>3.4090909090909088E-2</v>
      </c>
      <c r="N219" s="10">
        <f>(COUNTIF(CI219:CX219,"&gt;0")/16)</f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18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6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9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</row>
    <row r="220" spans="4:102" x14ac:dyDescent="0.25">
      <c r="D220" t="s">
        <v>1323</v>
      </c>
      <c r="E220" t="s">
        <v>1569</v>
      </c>
      <c r="H220">
        <f>SUM(O220:CX220)</f>
        <v>32</v>
      </c>
      <c r="I220">
        <f>COUNTIF(O220:CX220, "&gt;0")</f>
        <v>3</v>
      </c>
      <c r="J220">
        <v>137</v>
      </c>
      <c r="K220">
        <v>84</v>
      </c>
      <c r="L220" s="11">
        <f>H220/1310037</f>
        <v>2.4426790999032851E-5</v>
      </c>
      <c r="M220" s="10">
        <f>I220/88</f>
        <v>3.4090909090909088E-2</v>
      </c>
      <c r="N220" s="10">
        <f>(COUNTIF(CI220:CX220,"&gt;0")/16)</f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19</v>
      </c>
      <c r="AC220">
        <v>4</v>
      </c>
      <c r="AD220">
        <v>9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</row>
    <row r="221" spans="4:102" x14ac:dyDescent="0.25">
      <c r="D221" t="s">
        <v>1104</v>
      </c>
      <c r="E221" t="s">
        <v>1589</v>
      </c>
      <c r="H221">
        <f>SUM(O221:CX221)</f>
        <v>32</v>
      </c>
      <c r="I221">
        <f>COUNTIF(O221:CX221, "&gt;0")</f>
        <v>3</v>
      </c>
      <c r="J221">
        <v>188</v>
      </c>
      <c r="K221">
        <v>104</v>
      </c>
      <c r="L221" s="11">
        <f>H221/1310037</f>
        <v>2.4426790999032851E-5</v>
      </c>
      <c r="M221" s="10">
        <f>I221/88</f>
        <v>3.4090909090909088E-2</v>
      </c>
      <c r="N221" s="10">
        <f>(COUNTIF(CI221:CX221,"&gt;0")/16)</f>
        <v>6.25E-2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6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17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9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</row>
    <row r="222" spans="4:102" x14ac:dyDescent="0.25">
      <c r="D222" t="s">
        <v>1270</v>
      </c>
      <c r="E222" t="s">
        <v>1599</v>
      </c>
      <c r="H222">
        <f>SUM(O222:CX222)</f>
        <v>32</v>
      </c>
      <c r="I222">
        <f>COUNTIF(O222:CX222, "&gt;0")</f>
        <v>2</v>
      </c>
      <c r="J222">
        <v>180</v>
      </c>
      <c r="K222">
        <v>114</v>
      </c>
      <c r="L222" s="11">
        <f>H222/1310037</f>
        <v>2.4426790999032851E-5</v>
      </c>
      <c r="M222" s="10">
        <f>I222/88</f>
        <v>2.2727272727272728E-2</v>
      </c>
      <c r="N222" s="10">
        <f>(COUNTIF(CI222:CX222,"&gt;0")/16)</f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15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17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</row>
    <row r="223" spans="4:102" x14ac:dyDescent="0.25">
      <c r="D223" t="s">
        <v>1221</v>
      </c>
      <c r="E223" t="s">
        <v>1605</v>
      </c>
      <c r="H223">
        <f>SUM(O223:CX223)</f>
        <v>30</v>
      </c>
      <c r="I223">
        <f>COUNTIF(O223:CX223, "&gt;0")</f>
        <v>4</v>
      </c>
      <c r="J223">
        <v>133</v>
      </c>
      <c r="K223">
        <v>119</v>
      </c>
      <c r="L223" s="11">
        <f>H223/1310037</f>
        <v>2.2900116561593298E-5</v>
      </c>
      <c r="M223" s="10">
        <f>I223/88</f>
        <v>4.5454545454545456E-2</v>
      </c>
      <c r="N223" s="10">
        <f>(COUNTIF(CI223:CX223,"&gt;0")/16)</f>
        <v>0</v>
      </c>
      <c r="O223">
        <v>0</v>
      </c>
      <c r="P223">
        <v>0</v>
      </c>
      <c r="Q223">
        <v>0</v>
      </c>
      <c r="R223">
        <v>0</v>
      </c>
      <c r="S223">
        <v>11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8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5</v>
      </c>
      <c r="CE223">
        <v>0</v>
      </c>
      <c r="CF223">
        <v>0</v>
      </c>
      <c r="CG223">
        <v>0</v>
      </c>
      <c r="CH223">
        <v>6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</row>
    <row r="224" spans="4:102" x14ac:dyDescent="0.25">
      <c r="D224" t="s">
        <v>1118</v>
      </c>
      <c r="E224" t="s">
        <v>1608</v>
      </c>
      <c r="H224">
        <f>SUM(O224:CX224)</f>
        <v>28</v>
      </c>
      <c r="I224">
        <f>COUNTIF(O224:CX224, "&gt;0")</f>
        <v>3</v>
      </c>
      <c r="J224">
        <v>57</v>
      </c>
      <c r="K224">
        <v>123</v>
      </c>
      <c r="L224" s="11">
        <f>H224/1310037</f>
        <v>2.1373442124153745E-5</v>
      </c>
      <c r="M224" s="10">
        <f>I224/88</f>
        <v>3.4090909090909088E-2</v>
      </c>
      <c r="N224" s="10">
        <f>(COUNTIF(CI224:CX224,"&gt;0")/16)</f>
        <v>0.1875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10</v>
      </c>
      <c r="CL224">
        <v>0</v>
      </c>
      <c r="CM224">
        <v>0</v>
      </c>
      <c r="CN224">
        <v>0</v>
      </c>
      <c r="CO224">
        <v>15</v>
      </c>
      <c r="CP224">
        <v>0</v>
      </c>
      <c r="CQ224">
        <v>3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</row>
    <row r="225" spans="1:102" x14ac:dyDescent="0.25">
      <c r="D225" t="s">
        <v>1182</v>
      </c>
      <c r="E225" t="s">
        <v>1615</v>
      </c>
      <c r="H225">
        <f>SUM(O225:CX225)</f>
        <v>28</v>
      </c>
      <c r="I225">
        <f>COUNTIF(O225:CX225, "&gt;0")</f>
        <v>3</v>
      </c>
      <c r="J225">
        <v>60</v>
      </c>
      <c r="K225">
        <v>130</v>
      </c>
      <c r="L225" s="11">
        <f>H225/1310037</f>
        <v>2.1373442124153745E-5</v>
      </c>
      <c r="M225" s="10">
        <f>I225/88</f>
        <v>3.4090909090909088E-2</v>
      </c>
      <c r="N225" s="10">
        <f>(COUNTIF(CI225:CX225,"&gt;0")/16)</f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14</v>
      </c>
      <c r="AC225">
        <v>4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10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</row>
    <row r="226" spans="1:102" x14ac:dyDescent="0.25">
      <c r="D226" t="s">
        <v>1054</v>
      </c>
      <c r="E226" t="s">
        <v>1636</v>
      </c>
      <c r="H226">
        <f>SUM(O226:CX226)</f>
        <v>27</v>
      </c>
      <c r="I226">
        <f>COUNTIF(O226:CX226, "&gt;0")</f>
        <v>2</v>
      </c>
      <c r="J226">
        <v>102</v>
      </c>
      <c r="K226">
        <v>151</v>
      </c>
      <c r="L226" s="11">
        <f>H226/1310037</f>
        <v>2.061010490543397E-5</v>
      </c>
      <c r="M226" s="10">
        <f>I226/88</f>
        <v>2.2727272727272728E-2</v>
      </c>
      <c r="N226" s="10">
        <f>(COUNTIF(CI226:CX226,"&gt;0")/16)</f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13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14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</row>
    <row r="227" spans="1:102" x14ac:dyDescent="0.25">
      <c r="D227" t="s">
        <v>1331</v>
      </c>
      <c r="E227" t="s">
        <v>1644</v>
      </c>
      <c r="H227">
        <f>SUM(O227:CX227)</f>
        <v>26</v>
      </c>
      <c r="I227">
        <f>COUNTIF(O227:CX227, "&gt;0")</f>
        <v>4</v>
      </c>
      <c r="J227">
        <v>87</v>
      </c>
      <c r="K227">
        <v>160</v>
      </c>
      <c r="L227" s="11">
        <f>H227/1310037</f>
        <v>1.9846767686714192E-5</v>
      </c>
      <c r="M227" s="10">
        <f>I227/88</f>
        <v>4.5454545454545456E-2</v>
      </c>
      <c r="N227" s="10">
        <f>(COUNTIF(CI227:CX227,"&gt;0")/16)</f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5</v>
      </c>
      <c r="AK227">
        <v>0</v>
      </c>
      <c r="AL227">
        <v>6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5</v>
      </c>
      <c r="CD227">
        <v>10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</row>
    <row r="228" spans="1:102" x14ac:dyDescent="0.25">
      <c r="D228" t="s">
        <v>1193</v>
      </c>
      <c r="E228" t="s">
        <v>1658</v>
      </c>
      <c r="H228">
        <f>SUM(O228:CX228)</f>
        <v>25</v>
      </c>
      <c r="I228">
        <f>COUNTIF(O228:CX228, "&gt;0")</f>
        <v>4</v>
      </c>
      <c r="J228">
        <v>206</v>
      </c>
      <c r="K228">
        <v>173</v>
      </c>
      <c r="L228" s="11">
        <f>H228/1310037</f>
        <v>1.9083430467994414E-5</v>
      </c>
      <c r="M228" s="10">
        <f>I228/88</f>
        <v>4.5454545454545456E-2</v>
      </c>
      <c r="N228" s="10">
        <f>(COUNTIF(CI228:CX228,"&gt;0")/16)</f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4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5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6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</row>
    <row r="229" spans="1:102" x14ac:dyDescent="0.25">
      <c r="D229" t="s">
        <v>1284</v>
      </c>
      <c r="E229" t="s">
        <v>1674</v>
      </c>
      <c r="H229">
        <f>SUM(O229:CX229)</f>
        <v>25</v>
      </c>
      <c r="I229">
        <f>COUNTIF(O229:CX229, "&gt;0")</f>
        <v>2</v>
      </c>
      <c r="J229">
        <v>85</v>
      </c>
      <c r="K229">
        <v>189</v>
      </c>
      <c r="L229" s="11">
        <f>H229/1310037</f>
        <v>1.9083430467994414E-5</v>
      </c>
      <c r="M229" s="10">
        <f>I229/88</f>
        <v>2.2727272727272728E-2</v>
      </c>
      <c r="N229" s="10">
        <f>(COUNTIF(CI229:CX229,"&gt;0")/16)</f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23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2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</row>
    <row r="230" spans="1:102" x14ac:dyDescent="0.25">
      <c r="A230" s="8"/>
      <c r="D230" t="s">
        <v>990</v>
      </c>
      <c r="E230" t="s">
        <v>1689</v>
      </c>
      <c r="H230">
        <f>SUM(O230:CX230)</f>
        <v>25</v>
      </c>
      <c r="I230">
        <f>COUNTIF(O230:CX230, "&gt;0")</f>
        <v>2</v>
      </c>
      <c r="J230">
        <v>178</v>
      </c>
      <c r="K230">
        <v>204</v>
      </c>
      <c r="L230" s="11">
        <f>H230/1310037</f>
        <v>1.9083430467994414E-5</v>
      </c>
      <c r="M230" s="10">
        <f>I230/88</f>
        <v>2.2727272727272728E-2</v>
      </c>
      <c r="N230" s="10">
        <f>(COUNTIF(CI230:CX230,"&gt;0")/16)</f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8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17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</row>
    <row r="231" spans="1:102" x14ac:dyDescent="0.25">
      <c r="D231" s="8" t="s">
        <v>1024</v>
      </c>
      <c r="E231" t="s">
        <v>1706</v>
      </c>
      <c r="F231" s="13"/>
      <c r="H231">
        <f>SUM(O231:CX231)</f>
        <v>25</v>
      </c>
      <c r="I231">
        <f>COUNTIF(O231:CX231, "&gt;0")</f>
        <v>2</v>
      </c>
      <c r="J231">
        <v>161</v>
      </c>
      <c r="K231">
        <v>220</v>
      </c>
      <c r="L231" s="11">
        <f>H231/1310037</f>
        <v>1.9083430467994414E-5</v>
      </c>
      <c r="M231" s="10">
        <f>I231/88</f>
        <v>2.2727272727272728E-2</v>
      </c>
      <c r="N231" s="10">
        <f>(COUNTIF(CI231:CX231,"&gt;0")/16)</f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22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3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</row>
    <row r="232" spans="1:102" x14ac:dyDescent="0.25">
      <c r="D232" t="s">
        <v>1232</v>
      </c>
      <c r="E232" t="s">
        <v>1709</v>
      </c>
      <c r="H232">
        <f>SUM(O232:CX232)</f>
        <v>24</v>
      </c>
      <c r="I232">
        <f>COUNTIF(O232:CX232, "&gt;0")</f>
        <v>2</v>
      </c>
      <c r="J232">
        <v>172</v>
      </c>
      <c r="K232">
        <v>224</v>
      </c>
      <c r="L232" s="11">
        <f>H232/1310037</f>
        <v>1.8320093249274639E-5</v>
      </c>
      <c r="M232" s="10">
        <f>I232/88</f>
        <v>2.2727272727272728E-2</v>
      </c>
      <c r="N232" s="10">
        <f>(COUNTIF(CI232:CX232,"&gt;0")/16)</f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7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17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</row>
    <row r="233" spans="1:102" x14ac:dyDescent="0.25">
      <c r="D233" t="s">
        <v>1135</v>
      </c>
      <c r="E233" t="s">
        <v>1712</v>
      </c>
      <c r="H233">
        <f>SUM(O233:CX233)</f>
        <v>22</v>
      </c>
      <c r="I233">
        <f>COUNTIF(O233:CX233, "&gt;0")</f>
        <v>7</v>
      </c>
      <c r="J233">
        <v>130</v>
      </c>
      <c r="K233">
        <v>227</v>
      </c>
      <c r="L233" s="11">
        <f>H233/1310037</f>
        <v>1.6793418811835086E-5</v>
      </c>
      <c r="M233" s="10">
        <f>I233/88</f>
        <v>7.9545454545454544E-2</v>
      </c>
      <c r="N233" s="10">
        <f>(COUNTIF(CI233:CX233,"&gt;0")/16)</f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2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2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3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2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6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4</v>
      </c>
      <c r="CE233">
        <v>0</v>
      </c>
      <c r="CF233">
        <v>0</v>
      </c>
      <c r="CG233">
        <v>3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</row>
    <row r="234" spans="1:102" x14ac:dyDescent="0.25">
      <c r="D234" t="s">
        <v>1288</v>
      </c>
      <c r="E234" t="s">
        <v>1713</v>
      </c>
      <c r="H234">
        <f>SUM(O234:CX234)</f>
        <v>22</v>
      </c>
      <c r="I234">
        <f>COUNTIF(O234:CX234, "&gt;0")</f>
        <v>2</v>
      </c>
      <c r="J234">
        <v>186</v>
      </c>
      <c r="K234">
        <v>228</v>
      </c>
      <c r="L234" s="11">
        <f>H234/1310037</f>
        <v>1.6793418811835086E-5</v>
      </c>
      <c r="M234" s="10">
        <f>I234/88</f>
        <v>2.2727272727272728E-2</v>
      </c>
      <c r="N234" s="10">
        <f>(COUNTIF(CI234:CX234,"&gt;0")/16)</f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17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5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</row>
    <row r="235" spans="1:102" x14ac:dyDescent="0.25">
      <c r="D235" t="s">
        <v>1006</v>
      </c>
      <c r="E235" t="s">
        <v>1716</v>
      </c>
      <c r="H235">
        <f>SUM(O235:CX235)</f>
        <v>21</v>
      </c>
      <c r="I235">
        <f>COUNTIF(O235:CX235, "&gt;0")</f>
        <v>2</v>
      </c>
      <c r="J235">
        <v>228</v>
      </c>
      <c r="K235">
        <v>231</v>
      </c>
      <c r="L235" s="11">
        <f>H235/1310037</f>
        <v>1.6030081593115308E-5</v>
      </c>
      <c r="M235" s="10">
        <f>I235/88</f>
        <v>2.2727272727272728E-2</v>
      </c>
      <c r="N235" s="10">
        <f>(COUNTIF(CI235:CX235,"&gt;0")/16)</f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12</v>
      </c>
      <c r="CD235">
        <v>9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</row>
    <row r="236" spans="1:102" x14ac:dyDescent="0.25">
      <c r="D236" t="s">
        <v>1149</v>
      </c>
      <c r="E236" t="s">
        <v>1718</v>
      </c>
      <c r="H236">
        <f>SUM(O236:CX236)</f>
        <v>21</v>
      </c>
      <c r="I236">
        <f>COUNTIF(O236:CX236, "&gt;0")</f>
        <v>2</v>
      </c>
      <c r="J236">
        <v>230</v>
      </c>
      <c r="K236">
        <v>233</v>
      </c>
      <c r="L236" s="11">
        <f>H236/1310037</f>
        <v>1.6030081593115308E-5</v>
      </c>
      <c r="M236" s="10">
        <f>I236/88</f>
        <v>2.2727272727272728E-2</v>
      </c>
      <c r="N236" s="10">
        <f>(COUNTIF(CI236:CX236,"&gt;0")/16)</f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14</v>
      </c>
      <c r="CE236">
        <v>7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</row>
    <row r="237" spans="1:102" x14ac:dyDescent="0.25">
      <c r="D237" t="s">
        <v>1385</v>
      </c>
      <c r="E237" t="s">
        <v>1719</v>
      </c>
      <c r="H237">
        <f>SUM(O237:CX237)</f>
        <v>20</v>
      </c>
      <c r="I237">
        <f>COUNTIF(O237:CX237, "&gt;0")</f>
        <v>3</v>
      </c>
      <c r="J237">
        <v>198</v>
      </c>
      <c r="K237">
        <v>234</v>
      </c>
      <c r="L237" s="11">
        <f>H237/1310037</f>
        <v>1.5266744374395533E-5</v>
      </c>
      <c r="M237" s="10">
        <f>I237/88</f>
        <v>3.4090909090909088E-2</v>
      </c>
      <c r="N237" s="10">
        <f>(COUNTIF(CI237:CX237,"&gt;0")/16)</f>
        <v>0.125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2</v>
      </c>
      <c r="CE237">
        <v>0</v>
      </c>
      <c r="CF237">
        <v>0</v>
      </c>
      <c r="CG237">
        <v>0</v>
      </c>
      <c r="CH237">
        <v>0</v>
      </c>
      <c r="CI237">
        <v>14</v>
      </c>
      <c r="CJ237">
        <v>0</v>
      </c>
      <c r="CK237">
        <v>4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</row>
    <row r="303" spans="1:1" x14ac:dyDescent="0.25">
      <c r="A303" s="8"/>
    </row>
    <row r="404" spans="1:1" x14ac:dyDescent="0.25">
      <c r="A404" s="8"/>
    </row>
    <row r="433" spans="1:1" x14ac:dyDescent="0.25">
      <c r="A433" s="8"/>
    </row>
    <row r="480" spans="1:1" x14ac:dyDescent="0.25">
      <c r="A480" s="8"/>
    </row>
    <row r="484" spans="1:1" x14ac:dyDescent="0.25">
      <c r="A484" s="8"/>
    </row>
    <row r="489" spans="1:1" x14ac:dyDescent="0.25">
      <c r="A489" s="8"/>
    </row>
  </sheetData>
  <autoFilter ref="D1:N237" xr:uid="{2F8D1C42-6655-044B-9C46-B7ECE442DF83}">
    <sortState xmlns:xlrd2="http://schemas.microsoft.com/office/spreadsheetml/2017/richdata2" ref="D2:N237">
      <sortCondition descending="1" ref="F1:F237"/>
    </sortState>
  </autoFilter>
  <sortState xmlns:xlrd2="http://schemas.microsoft.com/office/spreadsheetml/2017/richdata2" ref="D2:CX237">
    <sortCondition ref="F2:F237"/>
  </sortState>
  <conditionalFormatting sqref="L2:L237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:M237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N1:N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1048576">
    <cfRule type="duplicateValues" dxfId="5" priority="1"/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00112-D999-D04A-8594-EFF22EE2D77A}">
  <dimension ref="A1:AB237"/>
  <sheetViews>
    <sheetView workbookViewId="0">
      <selection activeCell="J12" sqref="J12"/>
    </sheetView>
  </sheetViews>
  <sheetFormatPr baseColWidth="10" defaultRowHeight="12.5" x14ac:dyDescent="0.25"/>
  <cols>
    <col min="10" max="10" width="52.36328125" customWidth="1"/>
  </cols>
  <sheetData>
    <row r="1" spans="1:28" ht="43.5" x14ac:dyDescent="0.35">
      <c r="A1" t="s">
        <v>1831</v>
      </c>
      <c r="C1" t="s">
        <v>133</v>
      </c>
      <c r="I1" t="s">
        <v>1736</v>
      </c>
      <c r="J1" t="s">
        <v>1737</v>
      </c>
      <c r="K1" t="s">
        <v>1738</v>
      </c>
      <c r="L1" t="s">
        <v>1722</v>
      </c>
      <c r="N1" t="s">
        <v>1739</v>
      </c>
      <c r="O1" t="s">
        <v>1740</v>
      </c>
      <c r="P1" t="s">
        <v>1741</v>
      </c>
      <c r="Q1" t="s">
        <v>1731</v>
      </c>
      <c r="R1" s="15" t="s">
        <v>1732</v>
      </c>
      <c r="S1" t="s">
        <v>1733</v>
      </c>
      <c r="U1" s="15" t="s">
        <v>1734</v>
      </c>
      <c r="V1" t="s">
        <v>1733</v>
      </c>
      <c r="Z1" t="s">
        <v>1735</v>
      </c>
      <c r="AA1" t="s">
        <v>1742</v>
      </c>
      <c r="AB1" t="s">
        <v>1743</v>
      </c>
    </row>
    <row r="2" spans="1:28" x14ac:dyDescent="0.25">
      <c r="A2" t="s">
        <v>1249</v>
      </c>
      <c r="B2" t="s">
        <v>1744</v>
      </c>
      <c r="C2" t="s">
        <v>1745</v>
      </c>
      <c r="D2" t="s">
        <v>1773</v>
      </c>
      <c r="E2" t="s">
        <v>1774</v>
      </c>
      <c r="F2" t="s">
        <v>1850</v>
      </c>
      <c r="G2" t="s">
        <v>1851</v>
      </c>
      <c r="I2" t="str">
        <f t="shared" ref="I2:I65" si="0">VLOOKUP(C2,K:L,2,FALSE)</f>
        <v>#ff9b85</v>
      </c>
      <c r="J2" t="str">
        <f t="shared" ref="J2:J65" si="1">A2&amp;","&amp;I2&amp;","&amp;C2</f>
        <v>814127669e55a5987d515a0a585a2c46,#ff9b85,Agaricomycetes</v>
      </c>
      <c r="K2" t="s">
        <v>1745</v>
      </c>
      <c r="L2" t="s">
        <v>1727</v>
      </c>
      <c r="N2" t="s">
        <v>1747</v>
      </c>
      <c r="O2" t="s">
        <v>1472</v>
      </c>
      <c r="P2" t="s">
        <v>1731</v>
      </c>
      <c r="R2" t="s">
        <v>1472</v>
      </c>
      <c r="S2" t="str">
        <f>R2&amp;",1"</f>
        <v>9796f17064409a1fa8e454e51af2dc12,1</v>
      </c>
      <c r="U2" t="s">
        <v>1466</v>
      </c>
      <c r="V2" t="str">
        <f>U2&amp;",1"</f>
        <v>f43122d1b872ab9cd043b89c153fce62,1</v>
      </c>
      <c r="Z2" t="s">
        <v>1477</v>
      </c>
      <c r="AA2">
        <v>1.8161540507909222E-4</v>
      </c>
      <c r="AB2" t="str">
        <f>Z2&amp;","&amp;AA2</f>
        <v>07226812dae41889a9855c0ae4b37719,0.000181615405079092</v>
      </c>
    </row>
    <row r="3" spans="1:28" x14ac:dyDescent="0.25">
      <c r="A3" t="s">
        <v>1319</v>
      </c>
      <c r="B3" t="s">
        <v>1744</v>
      </c>
      <c r="C3" t="s">
        <v>1745</v>
      </c>
      <c r="D3" t="s">
        <v>1773</v>
      </c>
      <c r="E3" t="s">
        <v>1774</v>
      </c>
      <c r="F3" t="s">
        <v>1850</v>
      </c>
      <c r="G3" t="s">
        <v>1851</v>
      </c>
      <c r="I3" t="str">
        <f t="shared" si="0"/>
        <v>#ff9b85</v>
      </c>
      <c r="J3" t="str">
        <f t="shared" si="1"/>
        <v>ed36ca48f123c214518b41c19a729839,#ff9b85,Agaricomycetes</v>
      </c>
      <c r="K3" t="s">
        <v>1749</v>
      </c>
      <c r="L3" t="s">
        <v>1726</v>
      </c>
      <c r="N3" t="s">
        <v>1750</v>
      </c>
      <c r="O3" t="s">
        <v>1484</v>
      </c>
      <c r="P3" t="s">
        <v>1731</v>
      </c>
      <c r="R3" t="s">
        <v>1484</v>
      </c>
      <c r="S3" t="str">
        <f t="shared" ref="S3:S21" si="2">R3&amp;",1"</f>
        <v>95b69b6eddd7e4f3a0646d3bb4bae1d5,1</v>
      </c>
      <c r="U3" t="s">
        <v>1471</v>
      </c>
      <c r="V3" t="str">
        <f>U3&amp;",1"</f>
        <v>a59945f9d0e60ecbeb7f551b02f6e185,1</v>
      </c>
      <c r="Z3" t="s">
        <v>1467</v>
      </c>
      <c r="AA3">
        <v>6.9154541919905055E-2</v>
      </c>
      <c r="AB3" t="str">
        <f t="shared" ref="AB3:AB24" si="3">Z3&amp;","&amp;AA3</f>
        <v>1686e3ecc6e6580aac586bc21b037acc,0.0691545419199051</v>
      </c>
    </row>
    <row r="4" spans="1:28" x14ac:dyDescent="0.25">
      <c r="A4" t="s">
        <v>1198</v>
      </c>
      <c r="B4" t="s">
        <v>1744</v>
      </c>
      <c r="C4" t="s">
        <v>1745</v>
      </c>
      <c r="D4" t="s">
        <v>1746</v>
      </c>
      <c r="E4" t="s">
        <v>1902</v>
      </c>
      <c r="F4" t="s">
        <v>1903</v>
      </c>
      <c r="G4" t="s">
        <v>1904</v>
      </c>
      <c r="I4" t="str">
        <f t="shared" si="0"/>
        <v>#ff9b85</v>
      </c>
      <c r="J4" t="str">
        <f t="shared" si="1"/>
        <v>be8c5403eee5fc3ab71501055f15a994,#ff9b85,Agaricomycetes</v>
      </c>
      <c r="K4" t="s">
        <v>1752</v>
      </c>
      <c r="L4" t="s">
        <v>1753</v>
      </c>
      <c r="N4" t="s">
        <v>1754</v>
      </c>
      <c r="O4" t="s">
        <v>1476</v>
      </c>
      <c r="P4" t="s">
        <v>1731</v>
      </c>
      <c r="R4" t="s">
        <v>1476</v>
      </c>
      <c r="S4" t="str">
        <f t="shared" si="2"/>
        <v>ff0dc877f7a8aff04b87c3bd90eeb72b,1</v>
      </c>
      <c r="U4" t="s">
        <v>1470</v>
      </c>
      <c r="V4" t="str">
        <f t="shared" ref="V4:V13" si="4">U4&amp;",1"</f>
        <v>b8fe600476c530d38dc5d7f3a450cfae,1</v>
      </c>
      <c r="Z4" t="s">
        <v>1479</v>
      </c>
      <c r="AA4">
        <v>7.6738903554546012E-5</v>
      </c>
      <c r="AB4" t="str">
        <f t="shared" si="3"/>
        <v>24bda0af56a7d85ab63cb13231f2acac,0.000076738903554546</v>
      </c>
    </row>
    <row r="5" spans="1:28" x14ac:dyDescent="0.25">
      <c r="A5" t="s">
        <v>1280</v>
      </c>
      <c r="B5" t="s">
        <v>1744</v>
      </c>
      <c r="C5" t="s">
        <v>1745</v>
      </c>
      <c r="D5" t="s">
        <v>1764</v>
      </c>
      <c r="E5" t="s">
        <v>1918</v>
      </c>
      <c r="F5" t="s">
        <v>1919</v>
      </c>
      <c r="G5" t="s">
        <v>2064</v>
      </c>
      <c r="I5" t="str">
        <f t="shared" si="0"/>
        <v>#ff9b85</v>
      </c>
      <c r="J5" t="str">
        <f t="shared" si="1"/>
        <v>662c3008fa454493d9ad9791f02d97a0,#ff9b85,Agaricomycetes</v>
      </c>
      <c r="K5" t="s">
        <v>1758</v>
      </c>
      <c r="L5" t="s">
        <v>1759</v>
      </c>
      <c r="N5" t="s">
        <v>1760</v>
      </c>
      <c r="O5" t="s">
        <v>1476</v>
      </c>
      <c r="P5" t="s">
        <v>1731</v>
      </c>
      <c r="R5" t="s">
        <v>1482</v>
      </c>
      <c r="S5" t="str">
        <f t="shared" si="2"/>
        <v>fa15225fadc4883ff6c2f3b129618580,1</v>
      </c>
      <c r="U5" t="s">
        <v>1473</v>
      </c>
      <c r="V5" t="str">
        <f t="shared" si="4"/>
        <v>2909348242b4ee403fe74b76d78bde87,1</v>
      </c>
      <c r="Z5" t="s">
        <v>1473</v>
      </c>
      <c r="AA5">
        <v>6.2798002742136822E-4</v>
      </c>
      <c r="AB5" t="str">
        <f t="shared" si="3"/>
        <v>2909348242b4ee403fe74b76d78bde87,0.000627980027421368</v>
      </c>
    </row>
    <row r="6" spans="1:28" x14ac:dyDescent="0.25">
      <c r="A6" t="s">
        <v>1373</v>
      </c>
      <c r="B6" t="s">
        <v>1744</v>
      </c>
      <c r="C6" t="s">
        <v>1745</v>
      </c>
      <c r="D6" t="s">
        <v>1764</v>
      </c>
      <c r="E6" t="s">
        <v>1765</v>
      </c>
      <c r="F6" t="s">
        <v>1955</v>
      </c>
      <c r="G6" t="s">
        <v>1956</v>
      </c>
      <c r="I6" t="str">
        <f t="shared" si="0"/>
        <v>#ff9b85</v>
      </c>
      <c r="J6" t="str">
        <f t="shared" si="1"/>
        <v>2196f2664411dc4564dbd20b7339caf6,#ff9b85,Agaricomycetes</v>
      </c>
      <c r="K6" t="s">
        <v>1761</v>
      </c>
      <c r="L6" t="s">
        <v>1762</v>
      </c>
      <c r="N6" t="s">
        <v>1763</v>
      </c>
      <c r="O6" t="s">
        <v>1476</v>
      </c>
      <c r="P6" t="s">
        <v>1731</v>
      </c>
      <c r="R6" t="s">
        <v>1466</v>
      </c>
      <c r="S6" t="str">
        <f t="shared" si="2"/>
        <v>f43122d1b872ab9cd043b89c153fce62,1</v>
      </c>
      <c r="U6" t="s">
        <v>1465</v>
      </c>
      <c r="V6" t="str">
        <f t="shared" si="4"/>
        <v>954c617d4484e7696d6ed6258d27dd27,1</v>
      </c>
      <c r="Z6" t="s">
        <v>1480</v>
      </c>
      <c r="AA6">
        <v>6.3821188122864102E-4</v>
      </c>
      <c r="AB6" t="str">
        <f t="shared" si="3"/>
        <v>292db1aa132490bdfbdfe41c9e7e55fc,0.000638211881228641</v>
      </c>
    </row>
    <row r="7" spans="1:28" x14ac:dyDescent="0.25">
      <c r="A7" t="s">
        <v>1357</v>
      </c>
      <c r="B7" t="s">
        <v>1744</v>
      </c>
      <c r="C7" t="s">
        <v>1745</v>
      </c>
      <c r="D7" t="s">
        <v>1746</v>
      </c>
      <c r="E7" t="s">
        <v>1755</v>
      </c>
      <c r="F7" t="s">
        <v>1756</v>
      </c>
      <c r="G7" t="s">
        <v>1757</v>
      </c>
      <c r="I7" t="str">
        <f t="shared" si="0"/>
        <v>#ff9b85</v>
      </c>
      <c r="J7" t="str">
        <f t="shared" si="1"/>
        <v>e810a1577a6d096627adb02d164de852,#ff9b85,Agaricomycetes</v>
      </c>
      <c r="K7" t="s">
        <v>1766</v>
      </c>
      <c r="L7" t="s">
        <v>1767</v>
      </c>
      <c r="N7" t="s">
        <v>1768</v>
      </c>
      <c r="O7" t="s">
        <v>1476</v>
      </c>
      <c r="P7" t="s">
        <v>1731</v>
      </c>
      <c r="R7" t="s">
        <v>1478</v>
      </c>
      <c r="S7" t="str">
        <f t="shared" si="2"/>
        <v>a0e837bd83d53c6b0b6f69c34a27ed89,1</v>
      </c>
      <c r="U7" t="s">
        <v>1467</v>
      </c>
      <c r="V7" t="str">
        <f t="shared" si="4"/>
        <v>1686e3ecc6e6580aac586bc21b037acc,1</v>
      </c>
      <c r="Z7" t="s">
        <v>1769</v>
      </c>
      <c r="AA7">
        <v>3.1590848629954778E-4</v>
      </c>
      <c r="AB7" t="str">
        <f t="shared" si="3"/>
        <v>3f2f9767c869e222de42d529314fe930,0.000315908486299548</v>
      </c>
    </row>
    <row r="8" spans="1:28" x14ac:dyDescent="0.25">
      <c r="A8" t="s">
        <v>1018</v>
      </c>
      <c r="B8" t="s">
        <v>1744</v>
      </c>
      <c r="C8" t="s">
        <v>1745</v>
      </c>
      <c r="D8" t="s">
        <v>1773</v>
      </c>
      <c r="E8" t="s">
        <v>1774</v>
      </c>
      <c r="F8" t="s">
        <v>2063</v>
      </c>
      <c r="I8" t="str">
        <f t="shared" si="0"/>
        <v>#ff9b85</v>
      </c>
      <c r="J8" t="str">
        <f t="shared" si="1"/>
        <v>7dcffa92daaed1adabd0edc753328aff,#ff9b85,Agaricomycetes</v>
      </c>
      <c r="K8" t="s">
        <v>1770</v>
      </c>
      <c r="L8" t="s">
        <v>1723</v>
      </c>
      <c r="N8" t="s">
        <v>1771</v>
      </c>
      <c r="O8" t="s">
        <v>1476</v>
      </c>
      <c r="P8" t="s">
        <v>1731</v>
      </c>
      <c r="R8" t="s">
        <v>1772</v>
      </c>
      <c r="S8" t="str">
        <f t="shared" si="2"/>
        <v>9bbe1a1e6d0025fce4dd3b86cf28c86d,1</v>
      </c>
      <c r="U8" t="s">
        <v>1476</v>
      </c>
      <c r="V8" t="str">
        <f t="shared" si="4"/>
        <v>ff0dc877f7a8aff04b87c3bd90eeb72b,1</v>
      </c>
      <c r="Z8" t="s">
        <v>1468</v>
      </c>
      <c r="AA8">
        <v>8.470951767041153E-2</v>
      </c>
      <c r="AB8" t="str">
        <f t="shared" si="3"/>
        <v>82296e76f994b0a5ad1eca6c16772bab,0.0847095176704115</v>
      </c>
    </row>
    <row r="9" spans="1:28" x14ac:dyDescent="0.25">
      <c r="A9" t="s">
        <v>1191</v>
      </c>
      <c r="B9" t="s">
        <v>1744</v>
      </c>
      <c r="C9" t="s">
        <v>1745</v>
      </c>
      <c r="D9" t="s">
        <v>1746</v>
      </c>
      <c r="E9" t="s">
        <v>1755</v>
      </c>
      <c r="F9" t="s">
        <v>1975</v>
      </c>
      <c r="G9" t="s">
        <v>1976</v>
      </c>
      <c r="I9" t="str">
        <f t="shared" si="0"/>
        <v>#ff9b85</v>
      </c>
      <c r="J9" t="str">
        <f t="shared" si="1"/>
        <v>795133a025a2602f898065cb762f50a9,#ff9b85,Agaricomycetes</v>
      </c>
      <c r="K9" t="s">
        <v>1775</v>
      </c>
      <c r="L9" t="s">
        <v>1776</v>
      </c>
      <c r="N9" t="s">
        <v>1777</v>
      </c>
      <c r="O9" t="s">
        <v>1482</v>
      </c>
      <c r="P9" t="s">
        <v>1731</v>
      </c>
      <c r="R9" t="s">
        <v>1473</v>
      </c>
      <c r="S9" t="str">
        <f t="shared" si="2"/>
        <v>2909348242b4ee403fe74b76d78bde87,1</v>
      </c>
      <c r="U9" t="s">
        <v>1778</v>
      </c>
      <c r="V9" t="str">
        <f t="shared" si="4"/>
        <v>d73b87d5ba555f2d20a0c4b6d3a24120,1</v>
      </c>
      <c r="Z9" t="s">
        <v>1475</v>
      </c>
      <c r="AA9">
        <v>3.3509321218818424E-4</v>
      </c>
      <c r="AB9" t="str">
        <f t="shared" si="3"/>
        <v>87a064b3f8daff8a08a02c2845da4279,0.000335093212188184</v>
      </c>
    </row>
    <row r="10" spans="1:28" x14ac:dyDescent="0.25">
      <c r="A10" t="s">
        <v>1014</v>
      </c>
      <c r="B10" t="s">
        <v>1744</v>
      </c>
      <c r="C10" t="s">
        <v>1745</v>
      </c>
      <c r="D10" t="s">
        <v>1773</v>
      </c>
      <c r="E10" t="s">
        <v>1774</v>
      </c>
      <c r="F10" t="s">
        <v>1850</v>
      </c>
      <c r="G10" t="s">
        <v>1851</v>
      </c>
      <c r="I10" t="str">
        <f t="shared" si="0"/>
        <v>#ff9b85</v>
      </c>
      <c r="J10" t="str">
        <f t="shared" si="1"/>
        <v>2f7950cc084653354901378576ab510a,#ff9b85,Agaricomycetes</v>
      </c>
      <c r="K10" t="s">
        <v>1779</v>
      </c>
      <c r="L10" t="s">
        <v>1725</v>
      </c>
      <c r="N10" t="s">
        <v>1780</v>
      </c>
      <c r="O10" t="s">
        <v>1466</v>
      </c>
      <c r="P10" t="s">
        <v>1731</v>
      </c>
      <c r="R10" t="s">
        <v>1483</v>
      </c>
      <c r="S10" t="str">
        <f t="shared" si="2"/>
        <v>fdc5c83054ea8c51eb208bd23fea8d5a,1</v>
      </c>
      <c r="U10" t="s">
        <v>1482</v>
      </c>
      <c r="V10" t="str">
        <f t="shared" si="4"/>
        <v>fa15225fadc4883ff6c2f3b129618580,1</v>
      </c>
      <c r="Z10" t="s">
        <v>1465</v>
      </c>
      <c r="AA10">
        <v>1.2514836188020545E-2</v>
      </c>
      <c r="AB10" t="str">
        <f t="shared" si="3"/>
        <v>954c617d4484e7696d6ed6258d27dd27,0.0125148361880205</v>
      </c>
    </row>
    <row r="11" spans="1:28" x14ac:dyDescent="0.25">
      <c r="A11" t="s">
        <v>1211</v>
      </c>
      <c r="B11" t="s">
        <v>1744</v>
      </c>
      <c r="C11" t="s">
        <v>1745</v>
      </c>
      <c r="D11" t="s">
        <v>1764</v>
      </c>
      <c r="E11" t="s">
        <v>2005</v>
      </c>
      <c r="F11" t="s">
        <v>2006</v>
      </c>
      <c r="G11" t="s">
        <v>2065</v>
      </c>
      <c r="I11" t="str">
        <f t="shared" si="0"/>
        <v>#ff9b85</v>
      </c>
      <c r="J11" t="str">
        <f t="shared" si="1"/>
        <v>4743859cb44dabcf58c3e4d4a65ddd5e,#ff9b85,Agaricomycetes</v>
      </c>
      <c r="K11" t="s">
        <v>1781</v>
      </c>
      <c r="L11" t="s">
        <v>1782</v>
      </c>
      <c r="N11" t="s">
        <v>1783</v>
      </c>
      <c r="O11" t="s">
        <v>1478</v>
      </c>
      <c r="P11" t="s">
        <v>1731</v>
      </c>
      <c r="R11" t="s">
        <v>1778</v>
      </c>
      <c r="S11" t="str">
        <f t="shared" si="2"/>
        <v>d73b87d5ba555f2d20a0c4b6d3a24120,1</v>
      </c>
      <c r="U11" t="s">
        <v>1478</v>
      </c>
      <c r="V11" t="str">
        <f t="shared" si="4"/>
        <v>a0e837bd83d53c6b0b6f69c34a27ed89,1</v>
      </c>
      <c r="Z11" t="s">
        <v>1484</v>
      </c>
      <c r="AA11">
        <v>6.0892319970532261E-3</v>
      </c>
      <c r="AB11" t="str">
        <f t="shared" si="3"/>
        <v>95b69b6eddd7e4f3a0646d3bb4bae1d5,0.00608923199705323</v>
      </c>
    </row>
    <row r="12" spans="1:28" x14ac:dyDescent="0.25">
      <c r="A12" t="s">
        <v>1029</v>
      </c>
      <c r="B12" t="s">
        <v>1744</v>
      </c>
      <c r="C12" t="s">
        <v>1745</v>
      </c>
      <c r="D12" t="s">
        <v>1751</v>
      </c>
      <c r="E12" t="s">
        <v>2021</v>
      </c>
      <c r="F12" t="s">
        <v>2022</v>
      </c>
      <c r="G12" t="s">
        <v>2023</v>
      </c>
      <c r="I12" t="str">
        <f t="shared" si="0"/>
        <v>#ff9b85</v>
      </c>
      <c r="J12" t="str">
        <f t="shared" si="1"/>
        <v>b9e053041043895437ed743842649b04,#ff9b85,Agaricomycetes</v>
      </c>
      <c r="K12" t="s">
        <v>1784</v>
      </c>
      <c r="L12" t="s">
        <v>1785</v>
      </c>
      <c r="N12" t="s">
        <v>1786</v>
      </c>
      <c r="O12" t="s">
        <v>1772</v>
      </c>
      <c r="P12" t="s">
        <v>1731</v>
      </c>
      <c r="R12" t="s">
        <v>1471</v>
      </c>
      <c r="S12" t="str">
        <f t="shared" si="2"/>
        <v>a59945f9d0e60ecbeb7f551b02f6e185,1</v>
      </c>
      <c r="U12" t="s">
        <v>1483</v>
      </c>
      <c r="V12" t="str">
        <f t="shared" si="4"/>
        <v>fdc5c83054ea8c51eb208bd23fea8d5a,1</v>
      </c>
      <c r="Z12" t="s">
        <v>1472</v>
      </c>
      <c r="AA12">
        <v>1.0070702109808255E-2</v>
      </c>
      <c r="AB12" t="str">
        <f t="shared" si="3"/>
        <v>9796f17064409a1fa8e454e51af2dc12,0.0100707021098083</v>
      </c>
    </row>
    <row r="13" spans="1:28" x14ac:dyDescent="0.25">
      <c r="A13" t="s">
        <v>1228</v>
      </c>
      <c r="B13" t="s">
        <v>1744</v>
      </c>
      <c r="C13" t="s">
        <v>1745</v>
      </c>
      <c r="D13" t="s">
        <v>1773</v>
      </c>
      <c r="E13" t="s">
        <v>1774</v>
      </c>
      <c r="F13" t="s">
        <v>1850</v>
      </c>
      <c r="G13" t="s">
        <v>1851</v>
      </c>
      <c r="I13" t="str">
        <f t="shared" si="0"/>
        <v>#ff9b85</v>
      </c>
      <c r="J13" t="str">
        <f t="shared" si="1"/>
        <v>f7b375b721966c1ccec0bc652ee9ff5b,#ff9b85,Agaricomycetes</v>
      </c>
      <c r="K13" t="s">
        <v>1787</v>
      </c>
      <c r="L13" t="s">
        <v>1788</v>
      </c>
      <c r="N13" t="s">
        <v>1789</v>
      </c>
      <c r="O13" t="s">
        <v>1473</v>
      </c>
      <c r="P13" t="s">
        <v>1731</v>
      </c>
      <c r="R13" t="s">
        <v>1467</v>
      </c>
      <c r="S13" t="str">
        <f t="shared" si="2"/>
        <v>1686e3ecc6e6580aac586bc21b037acc,1</v>
      </c>
      <c r="U13" t="s">
        <v>1480</v>
      </c>
      <c r="V13" t="str">
        <f t="shared" si="4"/>
        <v>292db1aa132490bdfbdfe41c9e7e55fc,1</v>
      </c>
      <c r="Z13" t="s">
        <v>1772</v>
      </c>
      <c r="AA13">
        <v>5.1159269036364007E-6</v>
      </c>
      <c r="AB13" t="str">
        <f t="shared" si="3"/>
        <v>9bbe1a1e6d0025fce4dd3b86cf28c86d,5.1159269036364E-06</v>
      </c>
    </row>
    <row r="14" spans="1:28" x14ac:dyDescent="0.25">
      <c r="A14" t="s">
        <v>1375</v>
      </c>
      <c r="B14" t="s">
        <v>1744</v>
      </c>
      <c r="C14" t="s">
        <v>1749</v>
      </c>
      <c r="D14" t="s">
        <v>1799</v>
      </c>
      <c r="E14" t="s">
        <v>1800</v>
      </c>
      <c r="F14" t="s">
        <v>1801</v>
      </c>
      <c r="G14" t="s">
        <v>1748</v>
      </c>
      <c r="I14" t="str">
        <f t="shared" si="0"/>
        <v>#ff7b9c</v>
      </c>
      <c r="J14" t="str">
        <f t="shared" si="1"/>
        <v>f5f7fd3073770955118d33b89618a6ae,#ff7b9c,Agaricostilbomycetes</v>
      </c>
      <c r="K14" t="s">
        <v>1790</v>
      </c>
      <c r="L14" t="s">
        <v>1791</v>
      </c>
      <c r="N14" t="s">
        <v>1792</v>
      </c>
      <c r="O14" t="s">
        <v>1466</v>
      </c>
      <c r="P14" t="s">
        <v>1731</v>
      </c>
      <c r="R14" t="s">
        <v>1470</v>
      </c>
      <c r="S14" t="str">
        <f t="shared" si="2"/>
        <v>b8fe600476c530d38dc5d7f3a450cfae,1</v>
      </c>
      <c r="Z14" t="s">
        <v>1478</v>
      </c>
      <c r="AA14">
        <v>1.2862719217467821E-2</v>
      </c>
      <c r="AB14" t="str">
        <f t="shared" si="3"/>
        <v>a0e837bd83d53c6b0b6f69c34a27ed89,0.0128627192174678</v>
      </c>
    </row>
    <row r="15" spans="1:28" x14ac:dyDescent="0.25">
      <c r="A15" t="s">
        <v>1144</v>
      </c>
      <c r="B15" t="s">
        <v>1815</v>
      </c>
      <c r="C15" t="s">
        <v>1766</v>
      </c>
      <c r="D15" t="s">
        <v>1824</v>
      </c>
      <c r="E15" t="s">
        <v>1825</v>
      </c>
      <c r="F15" t="s">
        <v>1826</v>
      </c>
      <c r="I15" t="str">
        <f t="shared" si="0"/>
        <v>#6a329f</v>
      </c>
      <c r="J15" t="str">
        <f t="shared" si="1"/>
        <v>c3a9a344d65953388728f5c6cfd7a41b,#6a329f,Dothideomycetes</v>
      </c>
      <c r="K15" t="s">
        <v>1793</v>
      </c>
      <c r="L15" t="s">
        <v>1794</v>
      </c>
      <c r="N15" t="s">
        <v>1795</v>
      </c>
      <c r="O15" t="s">
        <v>1466</v>
      </c>
      <c r="P15" t="s">
        <v>1731</v>
      </c>
      <c r="R15" t="s">
        <v>1480</v>
      </c>
      <c r="S15" t="str">
        <f t="shared" si="2"/>
        <v>292db1aa132490bdfbdfe41c9e7e55fc,1</v>
      </c>
      <c r="Z15" t="s">
        <v>1471</v>
      </c>
      <c r="AA15">
        <v>1.2278224568727362E-3</v>
      </c>
      <c r="AB15" t="str">
        <f t="shared" si="3"/>
        <v>a59945f9d0e60ecbeb7f551b02f6e185,0.00122782245687274</v>
      </c>
    </row>
    <row r="16" spans="1:28" x14ac:dyDescent="0.25">
      <c r="A16" t="s">
        <v>1255</v>
      </c>
      <c r="B16" t="s">
        <v>1815</v>
      </c>
      <c r="C16" t="s">
        <v>1766</v>
      </c>
      <c r="D16" t="s">
        <v>1824</v>
      </c>
      <c r="E16" t="s">
        <v>1825</v>
      </c>
      <c r="F16" t="s">
        <v>1832</v>
      </c>
      <c r="I16" t="str">
        <f t="shared" si="0"/>
        <v>#6a329f</v>
      </c>
      <c r="J16" t="str">
        <f t="shared" si="1"/>
        <v>498eef5e1666d41677b2f78dc0dbf61f,#6a329f,Dothideomycetes</v>
      </c>
      <c r="K16" t="s">
        <v>1796</v>
      </c>
      <c r="L16" t="s">
        <v>1797</v>
      </c>
      <c r="N16" t="s">
        <v>1798</v>
      </c>
      <c r="O16" t="s">
        <v>1466</v>
      </c>
      <c r="P16" t="s">
        <v>1731</v>
      </c>
      <c r="R16" t="s">
        <v>1481</v>
      </c>
      <c r="S16" t="str">
        <f t="shared" si="2"/>
        <v>ccc20046e5d73d7860a70f606d1e74c5,1</v>
      </c>
      <c r="Z16" t="s">
        <v>1470</v>
      </c>
      <c r="AA16">
        <v>2.8493154889802936E-2</v>
      </c>
      <c r="AB16" t="str">
        <f t="shared" si="3"/>
        <v>b8fe600476c530d38dc5d7f3a450cfae,0.0284931548898029</v>
      </c>
    </row>
    <row r="17" spans="1:28" x14ac:dyDescent="0.25">
      <c r="A17" t="s">
        <v>1274</v>
      </c>
      <c r="B17" t="s">
        <v>1815</v>
      </c>
      <c r="C17" t="s">
        <v>1766</v>
      </c>
      <c r="D17" t="s">
        <v>1816</v>
      </c>
      <c r="E17" t="s">
        <v>1818</v>
      </c>
      <c r="F17" t="s">
        <v>1819</v>
      </c>
      <c r="G17" t="s">
        <v>1820</v>
      </c>
      <c r="I17" t="str">
        <f t="shared" si="0"/>
        <v>#6a329f</v>
      </c>
      <c r="J17" t="str">
        <f t="shared" si="1"/>
        <v>a74d0480904bb4f4a830010e84dffc1c,#6a329f,Dothideomycetes</v>
      </c>
      <c r="K17" t="s">
        <v>1802</v>
      </c>
      <c r="L17" t="s">
        <v>1803</v>
      </c>
      <c r="N17" t="s">
        <v>1804</v>
      </c>
      <c r="O17" t="s">
        <v>1466</v>
      </c>
      <c r="P17" t="s">
        <v>1731</v>
      </c>
      <c r="R17" t="s">
        <v>1468</v>
      </c>
      <c r="S17" t="str">
        <f t="shared" si="2"/>
        <v>82296e76f994b0a5ad1eca6c16772bab,1</v>
      </c>
      <c r="Z17" t="s">
        <v>1481</v>
      </c>
      <c r="AA17">
        <v>3.4532506599545707E-5</v>
      </c>
      <c r="AB17" t="str">
        <f t="shared" si="3"/>
        <v>ccc20046e5d73d7860a70f606d1e74c5,3.45325065995457E-05</v>
      </c>
    </row>
    <row r="18" spans="1:28" x14ac:dyDescent="0.25">
      <c r="A18" t="s">
        <v>1111</v>
      </c>
      <c r="B18" t="s">
        <v>1815</v>
      </c>
      <c r="C18" t="s">
        <v>1766</v>
      </c>
      <c r="D18" t="s">
        <v>1816</v>
      </c>
      <c r="I18" t="str">
        <f t="shared" si="0"/>
        <v>#6a329f</v>
      </c>
      <c r="J18" t="str">
        <f t="shared" si="1"/>
        <v>90e7f18336b58b6afa20514543899839,#6a329f,Dothideomycetes</v>
      </c>
      <c r="K18" t="s">
        <v>1805</v>
      </c>
      <c r="L18" t="s">
        <v>1724</v>
      </c>
      <c r="N18" t="s">
        <v>1806</v>
      </c>
      <c r="O18" t="s">
        <v>1473</v>
      </c>
      <c r="P18" t="s">
        <v>1731</v>
      </c>
      <c r="R18" t="s">
        <v>1479</v>
      </c>
      <c r="S18" t="str">
        <f t="shared" si="2"/>
        <v>24bda0af56a7d85ab63cb13231f2acac,1</v>
      </c>
      <c r="Z18" t="s">
        <v>1778</v>
      </c>
      <c r="AA18">
        <v>0</v>
      </c>
      <c r="AB18" t="str">
        <f t="shared" si="3"/>
        <v>d73b87d5ba555f2d20a0c4b6d3a24120,0</v>
      </c>
    </row>
    <row r="19" spans="1:28" x14ac:dyDescent="0.25">
      <c r="A19" t="s">
        <v>988</v>
      </c>
      <c r="B19" t="s">
        <v>1815</v>
      </c>
      <c r="C19" t="s">
        <v>1766</v>
      </c>
      <c r="D19" t="s">
        <v>1824</v>
      </c>
      <c r="E19" t="s">
        <v>1842</v>
      </c>
      <c r="F19" t="s">
        <v>1848</v>
      </c>
      <c r="G19" t="s">
        <v>1849</v>
      </c>
      <c r="I19" t="str">
        <f t="shared" si="0"/>
        <v>#6a329f</v>
      </c>
      <c r="J19" t="str">
        <f t="shared" si="1"/>
        <v>760051af4581150c7dcac6f797b8ad39,#6a329f,Dothideomycetes</v>
      </c>
      <c r="K19" t="s">
        <v>1807</v>
      </c>
      <c r="L19" t="s">
        <v>1728</v>
      </c>
      <c r="N19" t="s">
        <v>1808</v>
      </c>
      <c r="O19" t="s">
        <v>1473</v>
      </c>
      <c r="P19" t="s">
        <v>1731</v>
      </c>
      <c r="R19" t="s">
        <v>1769</v>
      </c>
      <c r="S19" t="str">
        <f t="shared" si="2"/>
        <v>3f2f9767c869e222de42d529314fe930,1</v>
      </c>
      <c r="Z19" t="s">
        <v>1466</v>
      </c>
      <c r="AA19">
        <v>0.50973305093416821</v>
      </c>
      <c r="AB19" t="str">
        <f t="shared" si="3"/>
        <v>f43122d1b872ab9cd043b89c153fce62,0.509733050934168</v>
      </c>
    </row>
    <row r="20" spans="1:28" x14ac:dyDescent="0.25">
      <c r="A20" t="s">
        <v>1115</v>
      </c>
      <c r="B20" t="s">
        <v>1815</v>
      </c>
      <c r="C20" t="s">
        <v>1766</v>
      </c>
      <c r="D20" t="s">
        <v>1824</v>
      </c>
      <c r="E20" t="s">
        <v>1825</v>
      </c>
      <c r="F20" t="s">
        <v>1826</v>
      </c>
      <c r="G20" t="s">
        <v>1827</v>
      </c>
      <c r="I20" t="str">
        <f t="shared" si="0"/>
        <v>#6a329f</v>
      </c>
      <c r="J20" t="str">
        <f t="shared" si="1"/>
        <v>a185a08e9a0bf1b2a318d0793053246a,#6a329f,Dothideomycetes</v>
      </c>
      <c r="K20" t="s">
        <v>1809</v>
      </c>
      <c r="L20" t="s">
        <v>1810</v>
      </c>
      <c r="N20" t="s">
        <v>1811</v>
      </c>
      <c r="O20" t="s">
        <v>1466</v>
      </c>
      <c r="P20" t="s">
        <v>1731</v>
      </c>
      <c r="R20" t="s">
        <v>1477</v>
      </c>
      <c r="S20" t="str">
        <f t="shared" si="2"/>
        <v>07226812dae41889a9855c0ae4b37719,1</v>
      </c>
      <c r="Z20" t="s">
        <v>1482</v>
      </c>
      <c r="AA20">
        <v>0</v>
      </c>
      <c r="AB20" t="str">
        <f t="shared" si="3"/>
        <v>fa15225fadc4883ff6c2f3b129618580,0</v>
      </c>
    </row>
    <row r="21" spans="1:28" x14ac:dyDescent="0.25">
      <c r="A21" t="s">
        <v>1256</v>
      </c>
      <c r="B21" t="s">
        <v>1815</v>
      </c>
      <c r="C21" t="s">
        <v>1766</v>
      </c>
      <c r="D21" t="s">
        <v>1824</v>
      </c>
      <c r="E21" t="s">
        <v>1825</v>
      </c>
      <c r="F21" t="s">
        <v>1832</v>
      </c>
      <c r="G21" t="s">
        <v>1833</v>
      </c>
      <c r="I21" t="str">
        <f t="shared" si="0"/>
        <v>#6a329f</v>
      </c>
      <c r="J21" t="str">
        <f t="shared" si="1"/>
        <v>f7a047a12b19866bbb76fabaa2b0b4bf,#6a329f,Dothideomycetes</v>
      </c>
      <c r="K21" t="s">
        <v>1812</v>
      </c>
      <c r="L21" t="s">
        <v>1813</v>
      </c>
      <c r="N21" t="s">
        <v>1814</v>
      </c>
      <c r="O21" t="s">
        <v>1483</v>
      </c>
      <c r="P21" t="s">
        <v>1731</v>
      </c>
      <c r="R21" t="s">
        <v>1475</v>
      </c>
      <c r="S21" t="str">
        <f t="shared" si="2"/>
        <v>87a064b3f8daff8a08a02c2845da4279,1</v>
      </c>
      <c r="Z21" t="s">
        <v>1483</v>
      </c>
      <c r="AA21">
        <v>3.6195182843227537E-4</v>
      </c>
      <c r="AB21" t="str">
        <f t="shared" si="3"/>
        <v>fdc5c83054ea8c51eb208bd23fea8d5a,0.000361951828432275</v>
      </c>
    </row>
    <row r="22" spans="1:28" x14ac:dyDescent="0.25">
      <c r="A22" t="s">
        <v>1002</v>
      </c>
      <c r="B22" t="s">
        <v>1815</v>
      </c>
      <c r="C22" t="s">
        <v>1766</v>
      </c>
      <c r="D22" t="s">
        <v>1824</v>
      </c>
      <c r="E22" t="s">
        <v>1825</v>
      </c>
      <c r="F22" t="s">
        <v>1873</v>
      </c>
      <c r="G22" t="s">
        <v>1874</v>
      </c>
      <c r="I22" t="str">
        <f t="shared" si="0"/>
        <v>#6a329f</v>
      </c>
      <c r="J22" t="str">
        <f t="shared" si="1"/>
        <v>615cfb7b6eea8324a3e7787b7297dc3b,#6a329f,Dothideomycetes</v>
      </c>
      <c r="K22" t="s">
        <v>1729</v>
      </c>
      <c r="L22" t="s">
        <v>1730</v>
      </c>
      <c r="N22" t="s">
        <v>1817</v>
      </c>
      <c r="O22" t="s">
        <v>1466</v>
      </c>
      <c r="P22" t="s">
        <v>1731</v>
      </c>
      <c r="Z22" t="s">
        <v>1476</v>
      </c>
      <c r="AA22">
        <v>1.1040170258047353E-2</v>
      </c>
      <c r="AB22" t="str">
        <f t="shared" si="3"/>
        <v>ff0dc877f7a8aff04b87c3bd90eeb72b,0.0110401702580474</v>
      </c>
    </row>
    <row r="23" spans="1:28" x14ac:dyDescent="0.25">
      <c r="A23" t="s">
        <v>1188</v>
      </c>
      <c r="B23" t="s">
        <v>1815</v>
      </c>
      <c r="C23" t="s">
        <v>1766</v>
      </c>
      <c r="D23" t="s">
        <v>1882</v>
      </c>
      <c r="E23" t="s">
        <v>1883</v>
      </c>
      <c r="F23" t="s">
        <v>1884</v>
      </c>
      <c r="G23" t="s">
        <v>1885</v>
      </c>
      <c r="I23" t="str">
        <f t="shared" si="0"/>
        <v>#6a329f</v>
      </c>
      <c r="J23" t="str">
        <f t="shared" si="1"/>
        <v>8103233af381b48fa95ce8176492267c,#6a329f,Dothideomycetes</v>
      </c>
      <c r="K23" t="s">
        <v>1821</v>
      </c>
      <c r="L23" t="s">
        <v>1822</v>
      </c>
      <c r="N23" t="s">
        <v>1823</v>
      </c>
      <c r="O23" t="s">
        <v>1476</v>
      </c>
      <c r="P23" t="s">
        <v>1731</v>
      </c>
      <c r="Z23" t="s">
        <v>1474</v>
      </c>
      <c r="AA23">
        <v>6.3405519061943638E-2</v>
      </c>
      <c r="AB23" t="str">
        <f t="shared" si="3"/>
        <v>b466bf8b0d7c95c9544178d269a5bbba,0.0634055190619436</v>
      </c>
    </row>
    <row r="24" spans="1:28" x14ac:dyDescent="0.25">
      <c r="A24" t="s">
        <v>1202</v>
      </c>
      <c r="B24" t="s">
        <v>1815</v>
      </c>
      <c r="C24" t="s">
        <v>1766</v>
      </c>
      <c r="D24" t="s">
        <v>1824</v>
      </c>
      <c r="E24" t="s">
        <v>1825</v>
      </c>
      <c r="F24" t="s">
        <v>1832</v>
      </c>
      <c r="I24" t="str">
        <f t="shared" si="0"/>
        <v>#6a329f</v>
      </c>
      <c r="J24" t="str">
        <f t="shared" si="1"/>
        <v>b0f4c0f70397425a663230695f0b8385,#6a329f,Dothideomycetes</v>
      </c>
      <c r="K24" t="s">
        <v>1828</v>
      </c>
      <c r="L24" t="s">
        <v>1829</v>
      </c>
      <c r="N24" t="s">
        <v>1830</v>
      </c>
      <c r="O24" t="s">
        <v>1778</v>
      </c>
      <c r="P24" t="s">
        <v>1731</v>
      </c>
      <c r="Z24" t="s">
        <v>1469</v>
      </c>
      <c r="AA24">
        <v>2.8493154889802936E-2</v>
      </c>
      <c r="AB24" t="str">
        <f t="shared" si="3"/>
        <v>b6d82aba922565d5f5d65e1f7ee61745,0.0284931548898029</v>
      </c>
    </row>
    <row r="25" spans="1:28" x14ac:dyDescent="0.25">
      <c r="A25" t="s">
        <v>1117</v>
      </c>
      <c r="B25" t="s">
        <v>1815</v>
      </c>
      <c r="C25" t="s">
        <v>1766</v>
      </c>
      <c r="D25" t="s">
        <v>1824</v>
      </c>
      <c r="E25" t="s">
        <v>1825</v>
      </c>
      <c r="F25" t="s">
        <v>1826</v>
      </c>
      <c r="G25" t="s">
        <v>1827</v>
      </c>
      <c r="I25" t="str">
        <f t="shared" si="0"/>
        <v>#6a329f</v>
      </c>
      <c r="J25" t="str">
        <f t="shared" si="1"/>
        <v>d2b9f8bcac130e52e62783a17f9da596,#6a329f,Dothideomycetes</v>
      </c>
    </row>
    <row r="26" spans="1:28" x14ac:dyDescent="0.25">
      <c r="A26" t="s">
        <v>1000</v>
      </c>
      <c r="B26" t="s">
        <v>1815</v>
      </c>
      <c r="C26" t="s">
        <v>1766</v>
      </c>
      <c r="D26" t="s">
        <v>1824</v>
      </c>
      <c r="E26" t="s">
        <v>1825</v>
      </c>
      <c r="F26" t="s">
        <v>1832</v>
      </c>
      <c r="I26" t="str">
        <f t="shared" si="0"/>
        <v>#6a329f</v>
      </c>
      <c r="J26" t="str">
        <f t="shared" si="1"/>
        <v>23d5f1ec33304eb5bd2e932f066b3f2e,#6a329f,Dothideomycetes</v>
      </c>
    </row>
    <row r="27" spans="1:28" x14ac:dyDescent="0.25">
      <c r="A27" t="s">
        <v>1208</v>
      </c>
      <c r="B27" t="s">
        <v>1815</v>
      </c>
      <c r="C27" t="s">
        <v>1766</v>
      </c>
      <c r="D27" t="s">
        <v>1824</v>
      </c>
      <c r="E27" t="s">
        <v>1842</v>
      </c>
      <c r="F27" t="s">
        <v>1748</v>
      </c>
      <c r="G27" t="s">
        <v>1748</v>
      </c>
      <c r="I27" t="str">
        <f t="shared" si="0"/>
        <v>#6a329f</v>
      </c>
      <c r="J27" t="str">
        <f t="shared" si="1"/>
        <v>5f35389b420a0f2174e8d4f19b50bd02,#6a329f,Dothideomycetes</v>
      </c>
    </row>
    <row r="28" spans="1:28" x14ac:dyDescent="0.25">
      <c r="A28" t="s">
        <v>1190</v>
      </c>
      <c r="B28" t="s">
        <v>1815</v>
      </c>
      <c r="C28" t="s">
        <v>1766</v>
      </c>
      <c r="D28" t="s">
        <v>1882</v>
      </c>
      <c r="E28" t="s">
        <v>1883</v>
      </c>
      <c r="F28" t="s">
        <v>1884</v>
      </c>
      <c r="G28" t="s">
        <v>1885</v>
      </c>
      <c r="I28" t="str">
        <f t="shared" si="0"/>
        <v>#6a329f</v>
      </c>
      <c r="J28" t="str">
        <f t="shared" si="1"/>
        <v>ab787d5abafc2ae97876bfcf804f0e1f,#6a329f,Dothideomycetes</v>
      </c>
    </row>
    <row r="29" spans="1:28" x14ac:dyDescent="0.25">
      <c r="A29" t="s">
        <v>1016</v>
      </c>
      <c r="B29" t="s">
        <v>1815</v>
      </c>
      <c r="C29" t="s">
        <v>1766</v>
      </c>
      <c r="D29" t="s">
        <v>1816</v>
      </c>
      <c r="E29" t="s">
        <v>1818</v>
      </c>
      <c r="F29" t="s">
        <v>1819</v>
      </c>
      <c r="G29" t="s">
        <v>1820</v>
      </c>
      <c r="I29" t="str">
        <f t="shared" si="0"/>
        <v>#6a329f</v>
      </c>
      <c r="J29" t="str">
        <f t="shared" si="1"/>
        <v>fcd8f08926d5ba4a9142e918ffdad4bc,#6a329f,Dothideomycetes</v>
      </c>
    </row>
    <row r="30" spans="1:28" x14ac:dyDescent="0.25">
      <c r="A30" t="s">
        <v>1315</v>
      </c>
      <c r="B30" t="s">
        <v>1815</v>
      </c>
      <c r="C30" t="s">
        <v>1766</v>
      </c>
      <c r="D30" t="s">
        <v>1824</v>
      </c>
      <c r="E30" t="s">
        <v>1842</v>
      </c>
      <c r="F30" t="s">
        <v>1748</v>
      </c>
      <c r="G30" t="s">
        <v>1748</v>
      </c>
      <c r="I30" t="str">
        <f t="shared" si="0"/>
        <v>#6a329f</v>
      </c>
      <c r="J30" t="str">
        <f t="shared" si="1"/>
        <v>4c259d4bf2d74bd72c84e7e8cf631fbd,#6a329f,Dothideomycetes</v>
      </c>
    </row>
    <row r="31" spans="1:28" x14ac:dyDescent="0.25">
      <c r="A31" t="s">
        <v>1234</v>
      </c>
      <c r="B31" t="s">
        <v>1815</v>
      </c>
      <c r="C31" t="s">
        <v>1766</v>
      </c>
      <c r="D31" t="s">
        <v>1824</v>
      </c>
      <c r="E31" t="s">
        <v>1825</v>
      </c>
      <c r="I31" t="str">
        <f t="shared" si="0"/>
        <v>#6a329f</v>
      </c>
      <c r="J31" t="str">
        <f t="shared" si="1"/>
        <v>80f48ac6e55fcf90a5ecd3b27ceddcb9,#6a329f,Dothideomycetes</v>
      </c>
    </row>
    <row r="32" spans="1:28" x14ac:dyDescent="0.25">
      <c r="A32" t="s">
        <v>1355</v>
      </c>
      <c r="B32" t="s">
        <v>1815</v>
      </c>
      <c r="C32" t="s">
        <v>1766</v>
      </c>
      <c r="D32" t="s">
        <v>1824</v>
      </c>
      <c r="E32" t="s">
        <v>1842</v>
      </c>
      <c r="F32" t="s">
        <v>1848</v>
      </c>
      <c r="G32" t="s">
        <v>1849</v>
      </c>
      <c r="I32" t="str">
        <f t="shared" si="0"/>
        <v>#6a329f</v>
      </c>
      <c r="J32" t="str">
        <f t="shared" si="1"/>
        <v>b019e6dd63ab0419d220b89adc85254e,#6a329f,Dothideomycetes</v>
      </c>
    </row>
    <row r="33" spans="1:10" x14ac:dyDescent="0.25">
      <c r="A33" s="8" t="s">
        <v>1036</v>
      </c>
      <c r="B33" t="s">
        <v>1815</v>
      </c>
      <c r="C33" t="s">
        <v>1766</v>
      </c>
      <c r="D33" t="s">
        <v>1816</v>
      </c>
      <c r="E33" t="s">
        <v>1818</v>
      </c>
      <c r="F33" t="s">
        <v>1819</v>
      </c>
      <c r="G33" t="s">
        <v>1843</v>
      </c>
      <c r="I33" t="str">
        <f t="shared" si="0"/>
        <v>#6a329f</v>
      </c>
      <c r="J33" t="str">
        <f t="shared" si="1"/>
        <v>62e782c50bf0f5e2ebbf8d9131a35e5f,#6a329f,Dothideomycetes</v>
      </c>
    </row>
    <row r="34" spans="1:10" x14ac:dyDescent="0.25">
      <c r="A34" t="s">
        <v>1242</v>
      </c>
      <c r="B34" t="s">
        <v>1815</v>
      </c>
      <c r="C34" t="s">
        <v>1766</v>
      </c>
      <c r="D34" t="s">
        <v>1816</v>
      </c>
      <c r="E34" t="s">
        <v>1923</v>
      </c>
      <c r="I34" t="str">
        <f t="shared" si="0"/>
        <v>#6a329f</v>
      </c>
      <c r="J34" t="str">
        <f t="shared" si="1"/>
        <v>4c9a9c90585348b17a6dccd56ba17c27,#6a329f,Dothideomycetes</v>
      </c>
    </row>
    <row r="35" spans="1:10" x14ac:dyDescent="0.25">
      <c r="A35" t="s">
        <v>1108</v>
      </c>
      <c r="B35" t="s">
        <v>1815</v>
      </c>
      <c r="C35" t="s">
        <v>1766</v>
      </c>
      <c r="D35" t="s">
        <v>1824</v>
      </c>
      <c r="E35" t="s">
        <v>1953</v>
      </c>
      <c r="F35" t="s">
        <v>1954</v>
      </c>
      <c r="G35" t="s">
        <v>1748</v>
      </c>
      <c r="I35" t="str">
        <f t="shared" si="0"/>
        <v>#6a329f</v>
      </c>
      <c r="J35" t="str">
        <f t="shared" si="1"/>
        <v>fb9514c9ba07e9f40f6df83b17fcab7d,#6a329f,Dothideomycetes</v>
      </c>
    </row>
    <row r="36" spans="1:10" x14ac:dyDescent="0.25">
      <c r="A36" t="s">
        <v>1321</v>
      </c>
      <c r="B36" t="s">
        <v>1815</v>
      </c>
      <c r="C36" t="s">
        <v>1766</v>
      </c>
      <c r="D36" t="s">
        <v>1824</v>
      </c>
      <c r="E36" t="s">
        <v>1825</v>
      </c>
      <c r="F36" t="s">
        <v>1826</v>
      </c>
      <c r="G36" t="s">
        <v>1827</v>
      </c>
      <c r="I36" t="str">
        <f t="shared" si="0"/>
        <v>#6a329f</v>
      </c>
      <c r="J36" t="str">
        <f t="shared" si="1"/>
        <v>dc2ce4ef9d869a0bb696823011c24c9c,#6a329f,Dothideomycetes</v>
      </c>
    </row>
    <row r="37" spans="1:10" x14ac:dyDescent="0.25">
      <c r="A37" t="s">
        <v>1290</v>
      </c>
      <c r="B37" t="s">
        <v>1815</v>
      </c>
      <c r="C37" t="s">
        <v>1766</v>
      </c>
      <c r="D37" t="s">
        <v>1816</v>
      </c>
      <c r="E37" t="s">
        <v>1818</v>
      </c>
      <c r="F37" t="s">
        <v>1819</v>
      </c>
      <c r="I37" t="str">
        <f t="shared" si="0"/>
        <v>#6a329f</v>
      </c>
      <c r="J37" t="str">
        <f t="shared" si="1"/>
        <v>09278dce8cf66373bb444386d9d35bee,#6a329f,Dothideomycetes</v>
      </c>
    </row>
    <row r="38" spans="1:10" x14ac:dyDescent="0.25">
      <c r="A38" t="s">
        <v>1275</v>
      </c>
      <c r="B38" t="s">
        <v>1815</v>
      </c>
      <c r="C38" t="s">
        <v>1766</v>
      </c>
      <c r="D38" t="s">
        <v>1816</v>
      </c>
      <c r="E38" t="s">
        <v>1818</v>
      </c>
      <c r="F38" t="s">
        <v>1819</v>
      </c>
      <c r="G38" t="s">
        <v>1820</v>
      </c>
      <c r="I38" t="str">
        <f t="shared" si="0"/>
        <v>#6a329f</v>
      </c>
      <c r="J38" t="str">
        <f t="shared" si="1"/>
        <v>ec29b8ffab8a499188dcaea60ba37a8c,#6a329f,Dothideomycetes</v>
      </c>
    </row>
    <row r="39" spans="1:10" x14ac:dyDescent="0.25">
      <c r="A39" t="s">
        <v>1395</v>
      </c>
      <c r="B39" t="s">
        <v>1815</v>
      </c>
      <c r="C39" t="s">
        <v>1766</v>
      </c>
      <c r="D39" t="s">
        <v>1824</v>
      </c>
      <c r="E39" t="s">
        <v>1972</v>
      </c>
      <c r="F39" t="s">
        <v>1973</v>
      </c>
      <c r="G39" t="s">
        <v>1748</v>
      </c>
      <c r="I39" t="str">
        <f t="shared" si="0"/>
        <v>#6a329f</v>
      </c>
      <c r="J39" t="str">
        <f t="shared" si="1"/>
        <v>b071217fbc79db1798e68694ed2a9574,#6a329f,Dothideomycetes</v>
      </c>
    </row>
    <row r="40" spans="1:10" x14ac:dyDescent="0.25">
      <c r="A40" t="s">
        <v>1257</v>
      </c>
      <c r="B40" t="s">
        <v>1815</v>
      </c>
      <c r="C40" t="s">
        <v>1766</v>
      </c>
      <c r="D40" t="s">
        <v>1824</v>
      </c>
      <c r="E40" t="s">
        <v>1825</v>
      </c>
      <c r="F40" t="s">
        <v>1832</v>
      </c>
      <c r="I40" t="str">
        <f t="shared" si="0"/>
        <v>#6a329f</v>
      </c>
      <c r="J40" t="str">
        <f t="shared" si="1"/>
        <v>5f0fe553c2111a935570611d4004fae8,#6a329f,Dothideomycetes</v>
      </c>
    </row>
    <row r="41" spans="1:10" x14ac:dyDescent="0.25">
      <c r="A41" t="s">
        <v>1197</v>
      </c>
      <c r="B41" t="s">
        <v>1815</v>
      </c>
      <c r="C41" t="s">
        <v>1766</v>
      </c>
      <c r="D41" t="s">
        <v>1931</v>
      </c>
      <c r="E41" t="s">
        <v>1932</v>
      </c>
      <c r="F41" t="s">
        <v>1933</v>
      </c>
      <c r="G41" t="s">
        <v>1934</v>
      </c>
      <c r="I41" t="str">
        <f t="shared" si="0"/>
        <v>#6a329f</v>
      </c>
      <c r="J41" t="str">
        <f t="shared" si="1"/>
        <v>8f04591c9a6d336c04e919275e033dba,#6a329f,Dothideomycetes</v>
      </c>
    </row>
    <row r="42" spans="1:10" x14ac:dyDescent="0.25">
      <c r="A42" t="s">
        <v>1061</v>
      </c>
      <c r="B42" t="s">
        <v>1815</v>
      </c>
      <c r="C42" t="s">
        <v>1766</v>
      </c>
      <c r="D42" t="s">
        <v>1816</v>
      </c>
      <c r="E42" t="s">
        <v>1818</v>
      </c>
      <c r="F42" t="s">
        <v>1819</v>
      </c>
      <c r="G42" t="s">
        <v>1820</v>
      </c>
      <c r="I42" t="str">
        <f t="shared" si="0"/>
        <v>#6a329f</v>
      </c>
      <c r="J42" t="str">
        <f t="shared" si="1"/>
        <v>c59ab65d44ddf5c4e68f4a6ba098e41b,#6a329f,Dothideomycetes</v>
      </c>
    </row>
    <row r="43" spans="1:10" x14ac:dyDescent="0.25">
      <c r="A43" t="s">
        <v>1008</v>
      </c>
      <c r="B43" t="s">
        <v>1815</v>
      </c>
      <c r="C43" t="s">
        <v>1766</v>
      </c>
      <c r="D43" t="s">
        <v>1824</v>
      </c>
      <c r="E43" t="s">
        <v>1972</v>
      </c>
      <c r="F43" t="s">
        <v>1973</v>
      </c>
      <c r="G43" t="s">
        <v>2066</v>
      </c>
      <c r="I43" t="str">
        <f t="shared" si="0"/>
        <v>#6a329f</v>
      </c>
      <c r="J43" t="str">
        <f t="shared" si="1"/>
        <v>8b452d86c3a5e2e7fd0b70358e8827a3,#6a329f,Dothideomycetes</v>
      </c>
    </row>
    <row r="44" spans="1:10" x14ac:dyDescent="0.25">
      <c r="A44" t="s">
        <v>1050</v>
      </c>
      <c r="B44" t="s">
        <v>1815</v>
      </c>
      <c r="C44" t="s">
        <v>1766</v>
      </c>
      <c r="D44" t="s">
        <v>1824</v>
      </c>
      <c r="E44" t="s">
        <v>1959</v>
      </c>
      <c r="F44" t="s">
        <v>1960</v>
      </c>
      <c r="G44" t="s">
        <v>1961</v>
      </c>
      <c r="I44" t="str">
        <f t="shared" si="0"/>
        <v>#6a329f</v>
      </c>
      <c r="J44" t="str">
        <f t="shared" si="1"/>
        <v>e57be8cf35fb7fdf42888a54930408e5,#6a329f,Dothideomycetes</v>
      </c>
    </row>
    <row r="45" spans="1:10" x14ac:dyDescent="0.25">
      <c r="A45" s="8" t="s">
        <v>1159</v>
      </c>
      <c r="B45" t="s">
        <v>1815</v>
      </c>
      <c r="C45" t="s">
        <v>1766</v>
      </c>
      <c r="D45" t="s">
        <v>1824</v>
      </c>
      <c r="E45" t="s">
        <v>1825</v>
      </c>
      <c r="F45" t="s">
        <v>1826</v>
      </c>
      <c r="I45" t="str">
        <f t="shared" si="0"/>
        <v>#6a329f</v>
      </c>
      <c r="J45" t="str">
        <f t="shared" si="1"/>
        <v>94e0378f36a1fe4e547a8e0071025145,#6a329f,Dothideomycetes</v>
      </c>
    </row>
    <row r="46" spans="1:10" x14ac:dyDescent="0.25">
      <c r="A46" t="s">
        <v>1276</v>
      </c>
      <c r="B46" t="s">
        <v>1815</v>
      </c>
      <c r="C46" t="s">
        <v>1766</v>
      </c>
      <c r="D46" t="s">
        <v>1816</v>
      </c>
      <c r="E46" t="s">
        <v>1818</v>
      </c>
      <c r="F46" t="s">
        <v>1819</v>
      </c>
      <c r="G46" t="s">
        <v>1820</v>
      </c>
      <c r="I46" t="str">
        <f t="shared" si="0"/>
        <v>#6a329f</v>
      </c>
      <c r="J46" t="str">
        <f t="shared" si="1"/>
        <v>98e2ac9ca04b0900875f98c4438c47d5,#6a329f,Dothideomycetes</v>
      </c>
    </row>
    <row r="47" spans="1:10" x14ac:dyDescent="0.25">
      <c r="A47" t="s">
        <v>1391</v>
      </c>
      <c r="B47" t="s">
        <v>1815</v>
      </c>
      <c r="C47" t="s">
        <v>1766</v>
      </c>
      <c r="D47" t="s">
        <v>1824</v>
      </c>
      <c r="E47" t="s">
        <v>1993</v>
      </c>
      <c r="F47" t="s">
        <v>1994</v>
      </c>
      <c r="G47" t="s">
        <v>1995</v>
      </c>
      <c r="I47" t="str">
        <f t="shared" si="0"/>
        <v>#6a329f</v>
      </c>
      <c r="J47" t="str">
        <f t="shared" si="1"/>
        <v>b97537d3852afe551da03198b5501a4f,#6a329f,Dothideomycetes</v>
      </c>
    </row>
    <row r="48" spans="1:10" x14ac:dyDescent="0.25">
      <c r="A48" t="s">
        <v>1172</v>
      </c>
      <c r="B48" t="s">
        <v>1815</v>
      </c>
      <c r="C48" t="s">
        <v>1766</v>
      </c>
      <c r="D48" t="s">
        <v>1882</v>
      </c>
      <c r="E48" t="s">
        <v>1883</v>
      </c>
      <c r="F48" t="s">
        <v>1989</v>
      </c>
      <c r="G48" t="s">
        <v>1990</v>
      </c>
      <c r="I48" t="str">
        <f t="shared" si="0"/>
        <v>#6a329f</v>
      </c>
      <c r="J48" t="str">
        <f t="shared" si="1"/>
        <v>44f6c9cd44bf162c24c86ff7dc682852,#6a329f,Dothideomycetes</v>
      </c>
    </row>
    <row r="49" spans="1:10" x14ac:dyDescent="0.25">
      <c r="A49" t="s">
        <v>1052</v>
      </c>
      <c r="B49" t="s">
        <v>1815</v>
      </c>
      <c r="C49" t="s">
        <v>1766</v>
      </c>
      <c r="D49" t="s">
        <v>1816</v>
      </c>
      <c r="E49" t="s">
        <v>1923</v>
      </c>
      <c r="F49" t="s">
        <v>1991</v>
      </c>
      <c r="G49" t="s">
        <v>1992</v>
      </c>
      <c r="I49" t="str">
        <f t="shared" si="0"/>
        <v>#6a329f</v>
      </c>
      <c r="J49" t="str">
        <f t="shared" si="1"/>
        <v>1aadc8249510f63d6040d47a728963b6,#6a329f,Dothideomycetes</v>
      </c>
    </row>
    <row r="50" spans="1:10" x14ac:dyDescent="0.25">
      <c r="A50" t="s">
        <v>1155</v>
      </c>
      <c r="B50" t="s">
        <v>1815</v>
      </c>
      <c r="C50" t="s">
        <v>1766</v>
      </c>
      <c r="D50" t="s">
        <v>1816</v>
      </c>
      <c r="E50" t="s">
        <v>1818</v>
      </c>
      <c r="F50" t="s">
        <v>1819</v>
      </c>
      <c r="G50" t="s">
        <v>1820</v>
      </c>
      <c r="I50" t="str">
        <f t="shared" si="0"/>
        <v>#6a329f</v>
      </c>
      <c r="J50" t="str">
        <f t="shared" si="1"/>
        <v>c46cb19f1f1946062bbeee84c79256b2,#6a329f,Dothideomycetes</v>
      </c>
    </row>
    <row r="51" spans="1:10" x14ac:dyDescent="0.25">
      <c r="A51" t="s">
        <v>1039</v>
      </c>
      <c r="B51" t="s">
        <v>1815</v>
      </c>
      <c r="C51" t="s">
        <v>1766</v>
      </c>
      <c r="D51" t="s">
        <v>1824</v>
      </c>
      <c r="E51" t="s">
        <v>1825</v>
      </c>
      <c r="F51" t="s">
        <v>1873</v>
      </c>
      <c r="G51" t="s">
        <v>1874</v>
      </c>
      <c r="I51" t="str">
        <f t="shared" si="0"/>
        <v>#6a329f</v>
      </c>
      <c r="J51" t="str">
        <f t="shared" si="1"/>
        <v>01548830ff54735932be7be1defcd556,#6a329f,Dothideomycetes</v>
      </c>
    </row>
    <row r="52" spans="1:10" x14ac:dyDescent="0.25">
      <c r="A52" t="s">
        <v>1359</v>
      </c>
      <c r="B52" t="s">
        <v>1815</v>
      </c>
      <c r="C52" t="s">
        <v>1766</v>
      </c>
      <c r="D52" t="s">
        <v>1824</v>
      </c>
      <c r="E52" t="s">
        <v>1953</v>
      </c>
      <c r="F52" t="s">
        <v>1954</v>
      </c>
      <c r="G52" t="s">
        <v>1748</v>
      </c>
      <c r="I52" t="str">
        <f t="shared" si="0"/>
        <v>#6a329f</v>
      </c>
      <c r="J52" t="str">
        <f t="shared" si="1"/>
        <v>6329d0b7c7ab8b42f78692f21d23a5b3,#6a329f,Dothideomycetes</v>
      </c>
    </row>
    <row r="53" spans="1:10" x14ac:dyDescent="0.25">
      <c r="A53" t="s">
        <v>1133</v>
      </c>
      <c r="B53" t="s">
        <v>1815</v>
      </c>
      <c r="C53" t="s">
        <v>1766</v>
      </c>
      <c r="D53" t="s">
        <v>1816</v>
      </c>
      <c r="E53" t="s">
        <v>1818</v>
      </c>
      <c r="F53" t="s">
        <v>1819</v>
      </c>
      <c r="G53" t="s">
        <v>1820</v>
      </c>
      <c r="I53" t="str">
        <f t="shared" si="0"/>
        <v>#6a329f</v>
      </c>
      <c r="J53" t="str">
        <f t="shared" si="1"/>
        <v>8ec47ea26e9066c7ca00314f36efbc57,#6a329f,Dothideomycetes</v>
      </c>
    </row>
    <row r="54" spans="1:10" x14ac:dyDescent="0.25">
      <c r="A54" t="s">
        <v>1056</v>
      </c>
      <c r="B54" t="s">
        <v>1815</v>
      </c>
      <c r="C54" t="s">
        <v>1766</v>
      </c>
      <c r="D54" t="s">
        <v>1824</v>
      </c>
      <c r="E54" t="s">
        <v>1842</v>
      </c>
      <c r="F54" t="s">
        <v>1748</v>
      </c>
      <c r="G54" t="s">
        <v>1748</v>
      </c>
      <c r="I54" t="str">
        <f t="shared" si="0"/>
        <v>#6a329f</v>
      </c>
      <c r="J54" t="str">
        <f t="shared" si="1"/>
        <v>089b35a5f6112def224a040039bab4cd,#6a329f,Dothideomycetes</v>
      </c>
    </row>
    <row r="55" spans="1:10" x14ac:dyDescent="0.25">
      <c r="A55" t="s">
        <v>1112</v>
      </c>
      <c r="B55" t="s">
        <v>1815</v>
      </c>
      <c r="C55" t="s">
        <v>1766</v>
      </c>
      <c r="D55" t="s">
        <v>1816</v>
      </c>
      <c r="I55" t="str">
        <f t="shared" si="0"/>
        <v>#6a329f</v>
      </c>
      <c r="J55" t="str">
        <f t="shared" si="1"/>
        <v>5859462b96495dee9373354c3dd82c50,#6a329f,Dothideomycetes</v>
      </c>
    </row>
    <row r="56" spans="1:10" x14ac:dyDescent="0.25">
      <c r="A56" t="s">
        <v>1303</v>
      </c>
      <c r="B56" t="s">
        <v>1815</v>
      </c>
      <c r="C56" t="s">
        <v>1766</v>
      </c>
      <c r="D56" t="s">
        <v>1816</v>
      </c>
      <c r="E56" t="s">
        <v>1923</v>
      </c>
      <c r="F56" t="s">
        <v>2015</v>
      </c>
      <c r="G56" t="s">
        <v>2016</v>
      </c>
      <c r="I56" t="str">
        <f t="shared" si="0"/>
        <v>#6a329f</v>
      </c>
      <c r="J56" t="str">
        <f t="shared" si="1"/>
        <v>b26a5dde1f3c8786d15ff2481f7ed5ab,#6a329f,Dothideomycetes</v>
      </c>
    </row>
    <row r="57" spans="1:10" x14ac:dyDescent="0.25">
      <c r="A57" t="s">
        <v>1291</v>
      </c>
      <c r="B57" t="s">
        <v>1815</v>
      </c>
      <c r="C57" t="s">
        <v>1766</v>
      </c>
      <c r="D57" t="s">
        <v>1816</v>
      </c>
      <c r="E57" t="s">
        <v>1818</v>
      </c>
      <c r="F57" t="s">
        <v>1819</v>
      </c>
      <c r="I57" t="str">
        <f t="shared" si="0"/>
        <v>#6a329f</v>
      </c>
      <c r="J57" t="str">
        <f t="shared" si="1"/>
        <v>6a8ba8987a8383543997fad4602f1085,#6a329f,Dothideomycetes</v>
      </c>
    </row>
    <row r="58" spans="1:10" x14ac:dyDescent="0.25">
      <c r="A58" t="s">
        <v>1193</v>
      </c>
      <c r="B58" t="s">
        <v>1815</v>
      </c>
      <c r="C58" t="s">
        <v>1766</v>
      </c>
      <c r="D58" t="s">
        <v>1824</v>
      </c>
      <c r="E58" t="s">
        <v>1972</v>
      </c>
      <c r="F58" t="s">
        <v>2035</v>
      </c>
      <c r="G58" t="s">
        <v>2036</v>
      </c>
      <c r="I58" t="str">
        <f t="shared" si="0"/>
        <v>#6a329f</v>
      </c>
      <c r="J58" t="str">
        <f t="shared" si="1"/>
        <v>0b095885a7edcaea0f39532caa724696,#6a329f,Dothideomycetes</v>
      </c>
    </row>
    <row r="59" spans="1:10" x14ac:dyDescent="0.25">
      <c r="A59" t="s">
        <v>1244</v>
      </c>
      <c r="B59" t="s">
        <v>1815</v>
      </c>
      <c r="C59" t="s">
        <v>1766</v>
      </c>
      <c r="D59" t="s">
        <v>1816</v>
      </c>
      <c r="E59" t="s">
        <v>1923</v>
      </c>
      <c r="F59" t="s">
        <v>1924</v>
      </c>
      <c r="I59" t="str">
        <f t="shared" si="0"/>
        <v>#6a329f</v>
      </c>
      <c r="J59" t="str">
        <f t="shared" si="1"/>
        <v>3222869bfced736fad9103b5459a8dd5,#6a329f,Dothideomycetes</v>
      </c>
    </row>
    <row r="60" spans="1:10" x14ac:dyDescent="0.25">
      <c r="A60" t="s">
        <v>1092</v>
      </c>
      <c r="B60" t="s">
        <v>1815</v>
      </c>
      <c r="C60" t="s">
        <v>1766</v>
      </c>
      <c r="D60" t="s">
        <v>1824</v>
      </c>
      <c r="E60" t="s">
        <v>1842</v>
      </c>
      <c r="F60" t="s">
        <v>1748</v>
      </c>
      <c r="G60" t="s">
        <v>1748</v>
      </c>
      <c r="I60" t="str">
        <f t="shared" si="0"/>
        <v>#6a329f</v>
      </c>
      <c r="J60" t="str">
        <f t="shared" si="1"/>
        <v>159243563287a96ecc8817410faaf589,#6a329f,Dothideomycetes</v>
      </c>
    </row>
    <row r="61" spans="1:10" x14ac:dyDescent="0.25">
      <c r="A61" t="s">
        <v>1022</v>
      </c>
      <c r="B61" t="s">
        <v>1815</v>
      </c>
      <c r="C61" t="s">
        <v>1766</v>
      </c>
      <c r="D61" t="s">
        <v>1882</v>
      </c>
      <c r="E61" t="s">
        <v>1883</v>
      </c>
      <c r="F61" t="s">
        <v>1884</v>
      </c>
      <c r="G61" t="s">
        <v>1885</v>
      </c>
      <c r="I61" t="str">
        <f t="shared" si="0"/>
        <v>#6a329f</v>
      </c>
      <c r="J61" t="str">
        <f t="shared" si="1"/>
        <v>89d56ea1e960f01a2bf9b677c67a93a8,#6a329f,Dothideomycetes</v>
      </c>
    </row>
    <row r="62" spans="1:10" x14ac:dyDescent="0.25">
      <c r="A62" s="8" t="s">
        <v>1110</v>
      </c>
      <c r="B62" t="s">
        <v>1815</v>
      </c>
      <c r="C62" t="s">
        <v>1766</v>
      </c>
      <c r="D62" t="s">
        <v>1824</v>
      </c>
      <c r="E62" t="s">
        <v>1953</v>
      </c>
      <c r="F62" t="s">
        <v>1954</v>
      </c>
      <c r="G62" t="s">
        <v>1748</v>
      </c>
      <c r="I62" t="str">
        <f t="shared" si="0"/>
        <v>#6a329f</v>
      </c>
      <c r="J62" t="str">
        <f t="shared" si="1"/>
        <v>5e3089ce3ea78d0bd7edf176c41f86e1,#6a329f,Dothideomycetes</v>
      </c>
    </row>
    <row r="63" spans="1:10" x14ac:dyDescent="0.25">
      <c r="A63" t="s">
        <v>1284</v>
      </c>
      <c r="B63" t="s">
        <v>1815</v>
      </c>
      <c r="C63" t="s">
        <v>1766</v>
      </c>
      <c r="D63" t="s">
        <v>1824</v>
      </c>
      <c r="E63" t="s">
        <v>1979</v>
      </c>
      <c r="F63" t="s">
        <v>1980</v>
      </c>
      <c r="G63" t="s">
        <v>2067</v>
      </c>
      <c r="I63" t="str">
        <f t="shared" si="0"/>
        <v>#6a329f</v>
      </c>
      <c r="J63" t="str">
        <f t="shared" si="1"/>
        <v>92559448c301eb18d19247d608378ef7,#6a329f,Dothideomycetes</v>
      </c>
    </row>
    <row r="64" spans="1:10" x14ac:dyDescent="0.25">
      <c r="A64" t="s">
        <v>1166</v>
      </c>
      <c r="B64" t="s">
        <v>1815</v>
      </c>
      <c r="C64" t="s">
        <v>1766</v>
      </c>
      <c r="D64" t="s">
        <v>1816</v>
      </c>
      <c r="E64" t="s">
        <v>1818</v>
      </c>
      <c r="F64" t="s">
        <v>1819</v>
      </c>
      <c r="G64" t="s">
        <v>1820</v>
      </c>
      <c r="I64" t="str">
        <f t="shared" si="0"/>
        <v>#6a329f</v>
      </c>
      <c r="J64" t="str">
        <f t="shared" si="1"/>
        <v>731fe224bbd641dd67b7f96891752bbd,#6a329f,Dothideomycetes</v>
      </c>
    </row>
    <row r="65" spans="1:10" x14ac:dyDescent="0.25">
      <c r="A65" t="s">
        <v>1210</v>
      </c>
      <c r="B65" t="s">
        <v>1815</v>
      </c>
      <c r="C65" t="s">
        <v>1766</v>
      </c>
      <c r="D65" t="s">
        <v>1824</v>
      </c>
      <c r="E65" t="s">
        <v>1842</v>
      </c>
      <c r="F65" t="s">
        <v>1748</v>
      </c>
      <c r="G65" t="s">
        <v>1748</v>
      </c>
      <c r="I65" t="str">
        <f t="shared" si="0"/>
        <v>#6a329f</v>
      </c>
      <c r="J65" t="str">
        <f t="shared" si="1"/>
        <v>77bbd02912bc5b9b77810e324f7f7778,#6a329f,Dothideomycetes</v>
      </c>
    </row>
    <row r="66" spans="1:10" x14ac:dyDescent="0.25">
      <c r="A66" t="s">
        <v>1032</v>
      </c>
      <c r="B66" t="s">
        <v>1815</v>
      </c>
      <c r="C66" t="s">
        <v>1766</v>
      </c>
      <c r="D66" t="s">
        <v>1824</v>
      </c>
      <c r="E66" t="s">
        <v>1979</v>
      </c>
      <c r="F66" t="s">
        <v>1980</v>
      </c>
      <c r="G66" t="s">
        <v>1981</v>
      </c>
      <c r="I66" t="str">
        <f t="shared" ref="I66:I129" si="5">VLOOKUP(C66,K:L,2,FALSE)</f>
        <v>#6a329f</v>
      </c>
      <c r="J66" t="str">
        <f t="shared" ref="J66:J129" si="6">A66&amp;","&amp;I66&amp;","&amp;C66</f>
        <v>5c47916913ccd69f23afd143a5e03c79,#6a329f,Dothideomycetes</v>
      </c>
    </row>
    <row r="67" spans="1:10" x14ac:dyDescent="0.25">
      <c r="A67" t="s">
        <v>1161</v>
      </c>
      <c r="B67" t="s">
        <v>1815</v>
      </c>
      <c r="C67" t="s">
        <v>1766</v>
      </c>
      <c r="D67" t="s">
        <v>1824</v>
      </c>
      <c r="E67" t="s">
        <v>1825</v>
      </c>
      <c r="F67" t="s">
        <v>1826</v>
      </c>
      <c r="I67" t="str">
        <f t="shared" si="5"/>
        <v>#6a329f</v>
      </c>
      <c r="J67" t="str">
        <f t="shared" si="6"/>
        <v>3ea8e3744fdadfb3d0f8c70b311d2d36,#6a329f,Dothideomycetes</v>
      </c>
    </row>
    <row r="68" spans="1:10" x14ac:dyDescent="0.25">
      <c r="A68" t="s">
        <v>1195</v>
      </c>
      <c r="B68" t="s">
        <v>1815</v>
      </c>
      <c r="C68" t="s">
        <v>1766</v>
      </c>
      <c r="D68" t="s">
        <v>1824</v>
      </c>
      <c r="E68" t="s">
        <v>1842</v>
      </c>
      <c r="F68" t="s">
        <v>1748</v>
      </c>
      <c r="G68" t="s">
        <v>1748</v>
      </c>
      <c r="I68" t="str">
        <f t="shared" si="5"/>
        <v>#6a329f</v>
      </c>
      <c r="J68" t="str">
        <f t="shared" si="6"/>
        <v>29450f2ca0acdb5b913cdf54ae1165bd,#6a329f,Dothideomycetes</v>
      </c>
    </row>
    <row r="69" spans="1:10" x14ac:dyDescent="0.25">
      <c r="A69" s="8" t="s">
        <v>1024</v>
      </c>
      <c r="B69" t="s">
        <v>1815</v>
      </c>
      <c r="C69" t="s">
        <v>1766</v>
      </c>
      <c r="D69" t="s">
        <v>1824</v>
      </c>
      <c r="E69" t="s">
        <v>1979</v>
      </c>
      <c r="F69" t="s">
        <v>1980</v>
      </c>
      <c r="G69" t="s">
        <v>1981</v>
      </c>
      <c r="I69" t="str">
        <f t="shared" si="5"/>
        <v>#6a329f</v>
      </c>
      <c r="J69" t="str">
        <f t="shared" si="6"/>
        <v>8e2729e4813e8f284d1592b9b65ad3e7,#6a329f,Dothideomycetes</v>
      </c>
    </row>
    <row r="70" spans="1:10" x14ac:dyDescent="0.25">
      <c r="A70" t="s">
        <v>1282</v>
      </c>
      <c r="B70" t="s">
        <v>1815</v>
      </c>
      <c r="C70" t="s">
        <v>1766</v>
      </c>
      <c r="D70" t="s">
        <v>1816</v>
      </c>
      <c r="E70" t="s">
        <v>1748</v>
      </c>
      <c r="F70" t="s">
        <v>1748</v>
      </c>
      <c r="G70" t="s">
        <v>1748</v>
      </c>
      <c r="I70" t="str">
        <f t="shared" si="5"/>
        <v>#6a329f</v>
      </c>
      <c r="J70" t="str">
        <f t="shared" si="6"/>
        <v>33be7b202c0e632c2a07fd90196b4ab4,#6a329f,Dothideomycetes</v>
      </c>
    </row>
    <row r="71" spans="1:10" x14ac:dyDescent="0.25">
      <c r="A71" t="s">
        <v>1288</v>
      </c>
      <c r="B71" t="s">
        <v>1815</v>
      </c>
      <c r="C71" t="s">
        <v>1766</v>
      </c>
      <c r="D71" t="s">
        <v>1816</v>
      </c>
      <c r="E71" t="s">
        <v>2051</v>
      </c>
      <c r="F71" t="s">
        <v>2052</v>
      </c>
      <c r="G71" t="s">
        <v>2053</v>
      </c>
      <c r="I71" t="str">
        <f t="shared" si="5"/>
        <v>#6a329f</v>
      </c>
      <c r="J71" t="str">
        <f t="shared" si="6"/>
        <v>2669c1d72c9c0c4e6823ef598cb8d4d1,#6a329f,Dothideomycetes</v>
      </c>
    </row>
    <row r="72" spans="1:10" x14ac:dyDescent="0.25">
      <c r="A72" t="s">
        <v>1071</v>
      </c>
      <c r="B72" t="s">
        <v>1815</v>
      </c>
      <c r="C72" t="s">
        <v>1766</v>
      </c>
      <c r="D72" t="s">
        <v>1816</v>
      </c>
      <c r="E72" t="s">
        <v>1923</v>
      </c>
      <c r="F72" t="s">
        <v>1963</v>
      </c>
      <c r="G72" t="s">
        <v>1964</v>
      </c>
      <c r="I72" t="str">
        <f t="shared" si="5"/>
        <v>#6a329f</v>
      </c>
      <c r="J72" t="str">
        <f t="shared" si="6"/>
        <v>3855845f8d8e3c5f818099e27b90926d,#6a329f,Dothideomycetes</v>
      </c>
    </row>
    <row r="73" spans="1:10" x14ac:dyDescent="0.25">
      <c r="A73" t="s">
        <v>1279</v>
      </c>
      <c r="B73" t="s">
        <v>1815</v>
      </c>
      <c r="C73" t="s">
        <v>1770</v>
      </c>
      <c r="D73" t="s">
        <v>1839</v>
      </c>
      <c r="E73" t="s">
        <v>1840</v>
      </c>
      <c r="F73" t="s">
        <v>1841</v>
      </c>
      <c r="I73" t="str">
        <f t="shared" si="5"/>
        <v>#cbff8c</v>
      </c>
      <c r="J73" t="str">
        <f t="shared" si="6"/>
        <v>8a629ac9bd016a21d18a9ed6443d3ad9,#cbff8c,Eurotiomycetes</v>
      </c>
    </row>
    <row r="74" spans="1:10" x14ac:dyDescent="0.25">
      <c r="A74" t="s">
        <v>1132</v>
      </c>
      <c r="B74" t="s">
        <v>1815</v>
      </c>
      <c r="C74" t="s">
        <v>1770</v>
      </c>
      <c r="D74" t="s">
        <v>1839</v>
      </c>
      <c r="E74" t="s">
        <v>1840</v>
      </c>
      <c r="F74" t="s">
        <v>1896</v>
      </c>
      <c r="I74" t="str">
        <f t="shared" si="5"/>
        <v>#cbff8c</v>
      </c>
      <c r="J74" t="str">
        <f t="shared" si="6"/>
        <v>e183dc8d8366f81b93e60df70536bd98,#cbff8c,Eurotiomycetes</v>
      </c>
    </row>
    <row r="75" spans="1:10" x14ac:dyDescent="0.25">
      <c r="A75" t="s">
        <v>1300</v>
      </c>
      <c r="B75" t="s">
        <v>1815</v>
      </c>
      <c r="C75" t="s">
        <v>1770</v>
      </c>
      <c r="D75" t="s">
        <v>1839</v>
      </c>
      <c r="E75" t="s">
        <v>1840</v>
      </c>
      <c r="F75" t="s">
        <v>1841</v>
      </c>
      <c r="G75" t="s">
        <v>1950</v>
      </c>
      <c r="I75" t="str">
        <f t="shared" si="5"/>
        <v>#cbff8c</v>
      </c>
      <c r="J75" t="str">
        <f t="shared" si="6"/>
        <v>2bb72b5c939fd184f7921699b9375b31,#cbff8c,Eurotiomycetes</v>
      </c>
    </row>
    <row r="76" spans="1:10" x14ac:dyDescent="0.25">
      <c r="A76" t="s">
        <v>1335</v>
      </c>
      <c r="B76" t="s">
        <v>1815</v>
      </c>
      <c r="C76" t="s">
        <v>1770</v>
      </c>
      <c r="D76" t="s">
        <v>1839</v>
      </c>
      <c r="E76" t="s">
        <v>1840</v>
      </c>
      <c r="F76" t="s">
        <v>1841</v>
      </c>
      <c r="I76" t="str">
        <f t="shared" si="5"/>
        <v>#cbff8c</v>
      </c>
      <c r="J76" t="str">
        <f t="shared" si="6"/>
        <v>290d763aad9e242961b3b2d00f3e5b50,#cbff8c,Eurotiomycetes</v>
      </c>
    </row>
    <row r="77" spans="1:10" x14ac:dyDescent="0.25">
      <c r="A77" t="s">
        <v>1219</v>
      </c>
      <c r="B77" t="s">
        <v>1815</v>
      </c>
      <c r="C77" t="s">
        <v>1770</v>
      </c>
      <c r="D77" t="s">
        <v>1839</v>
      </c>
      <c r="E77" t="s">
        <v>1840</v>
      </c>
      <c r="F77" t="s">
        <v>1896</v>
      </c>
      <c r="G77" t="s">
        <v>1958</v>
      </c>
      <c r="I77" t="str">
        <f t="shared" si="5"/>
        <v>#cbff8c</v>
      </c>
      <c r="J77" t="str">
        <f t="shared" si="6"/>
        <v>55f5cd00a4d9553b62ebeb2be38a9450,#cbff8c,Eurotiomycetes</v>
      </c>
    </row>
    <row r="78" spans="1:10" x14ac:dyDescent="0.25">
      <c r="A78" t="s">
        <v>1043</v>
      </c>
      <c r="B78" t="s">
        <v>1815</v>
      </c>
      <c r="C78" t="s">
        <v>1770</v>
      </c>
      <c r="D78" t="s">
        <v>1839</v>
      </c>
      <c r="E78" t="s">
        <v>1840</v>
      </c>
      <c r="F78" t="s">
        <v>1841</v>
      </c>
      <c r="I78" t="str">
        <f t="shared" si="5"/>
        <v>#cbff8c</v>
      </c>
      <c r="J78" t="str">
        <f t="shared" si="6"/>
        <v>e6ec14fa2c9cb76955ae4db34d2be687,#cbff8c,Eurotiomycetes</v>
      </c>
    </row>
    <row r="79" spans="1:10" x14ac:dyDescent="0.25">
      <c r="A79" t="s">
        <v>1377</v>
      </c>
      <c r="B79" t="s">
        <v>1815</v>
      </c>
      <c r="C79" t="s">
        <v>1770</v>
      </c>
      <c r="D79" t="s">
        <v>1839</v>
      </c>
      <c r="E79" t="s">
        <v>1840</v>
      </c>
      <c r="F79" t="s">
        <v>1748</v>
      </c>
      <c r="G79" t="s">
        <v>1748</v>
      </c>
      <c r="I79" t="str">
        <f t="shared" si="5"/>
        <v>#cbff8c</v>
      </c>
      <c r="J79" t="str">
        <f t="shared" si="6"/>
        <v>e2a7309ce67a8601d0e1ff3945a9461d,#cbff8c,Eurotiomycetes</v>
      </c>
    </row>
    <row r="80" spans="1:10" x14ac:dyDescent="0.25">
      <c r="A80" t="s">
        <v>974</v>
      </c>
      <c r="B80" t="s">
        <v>1815</v>
      </c>
      <c r="C80" t="s">
        <v>1770</v>
      </c>
      <c r="D80" t="s">
        <v>1839</v>
      </c>
      <c r="E80" t="s">
        <v>1840</v>
      </c>
      <c r="F80" t="s">
        <v>1841</v>
      </c>
      <c r="G80" t="s">
        <v>1925</v>
      </c>
      <c r="I80" t="str">
        <f t="shared" si="5"/>
        <v>#cbff8c</v>
      </c>
      <c r="J80" t="str">
        <f t="shared" si="6"/>
        <v>a30ff21de01fd6bac756b91f63af824c,#cbff8c,Eurotiomycetes</v>
      </c>
    </row>
    <row r="81" spans="1:10" x14ac:dyDescent="0.25">
      <c r="A81" t="s">
        <v>1365</v>
      </c>
      <c r="B81" t="s">
        <v>1815</v>
      </c>
      <c r="C81" t="s">
        <v>1770</v>
      </c>
      <c r="D81" t="s">
        <v>1839</v>
      </c>
      <c r="E81" t="s">
        <v>1840</v>
      </c>
      <c r="F81" t="s">
        <v>1748</v>
      </c>
      <c r="G81" t="s">
        <v>1748</v>
      </c>
      <c r="I81" t="str">
        <f t="shared" si="5"/>
        <v>#cbff8c</v>
      </c>
      <c r="J81" t="str">
        <f t="shared" si="6"/>
        <v>ba56f0f37d00cb0ec355c59f4658e8ce,#cbff8c,Eurotiomycetes</v>
      </c>
    </row>
    <row r="82" spans="1:10" x14ac:dyDescent="0.25">
      <c r="A82" t="s">
        <v>1269</v>
      </c>
      <c r="B82" t="s">
        <v>1815</v>
      </c>
      <c r="C82" t="s">
        <v>1770</v>
      </c>
      <c r="D82" t="s">
        <v>1839</v>
      </c>
      <c r="E82" t="s">
        <v>1840</v>
      </c>
      <c r="F82" t="s">
        <v>1841</v>
      </c>
      <c r="G82" t="s">
        <v>1950</v>
      </c>
      <c r="I82" t="str">
        <f t="shared" si="5"/>
        <v>#cbff8c</v>
      </c>
      <c r="J82" t="str">
        <f t="shared" si="6"/>
        <v>9a523d33992b0885769baf4f16af912f,#cbff8c,Eurotiomycetes</v>
      </c>
    </row>
    <row r="83" spans="1:10" x14ac:dyDescent="0.25">
      <c r="A83" t="s">
        <v>1325</v>
      </c>
      <c r="B83" t="s">
        <v>1815</v>
      </c>
      <c r="C83" t="s">
        <v>1770</v>
      </c>
      <c r="D83" t="s">
        <v>1839</v>
      </c>
      <c r="E83" t="s">
        <v>1840</v>
      </c>
      <c r="F83" t="s">
        <v>1896</v>
      </c>
      <c r="G83" t="s">
        <v>2012</v>
      </c>
      <c r="I83" t="str">
        <f t="shared" si="5"/>
        <v>#cbff8c</v>
      </c>
      <c r="J83" t="str">
        <f t="shared" si="6"/>
        <v>3a3c8867d3a1b18575e2cf3c03b64c00,#cbff8c,Eurotiomycetes</v>
      </c>
    </row>
    <row r="84" spans="1:10" x14ac:dyDescent="0.25">
      <c r="A84" t="s">
        <v>1098</v>
      </c>
      <c r="B84" t="s">
        <v>1815</v>
      </c>
      <c r="C84" t="s">
        <v>1779</v>
      </c>
      <c r="D84" t="s">
        <v>1834</v>
      </c>
      <c r="E84" t="s">
        <v>1835</v>
      </c>
      <c r="I84" t="str">
        <f t="shared" si="5"/>
        <v>#d00000</v>
      </c>
      <c r="J84" t="str">
        <f t="shared" si="6"/>
        <v>a1fa405b84378e8169216cb0a31a145f,#d00000,Leotiomycetes</v>
      </c>
    </row>
    <row r="85" spans="1:10" x14ac:dyDescent="0.25">
      <c r="A85" t="s">
        <v>1311</v>
      </c>
      <c r="B85" t="s">
        <v>1815</v>
      </c>
      <c r="C85" t="s">
        <v>1779</v>
      </c>
      <c r="D85" t="s">
        <v>1834</v>
      </c>
      <c r="E85" t="s">
        <v>1835</v>
      </c>
      <c r="I85" t="str">
        <f t="shared" si="5"/>
        <v>#d00000</v>
      </c>
      <c r="J85" t="str">
        <f t="shared" si="6"/>
        <v>b33d70bc13b05650e59d6e24f1fce59a,#d00000,Leotiomycetes</v>
      </c>
    </row>
    <row r="86" spans="1:10" x14ac:dyDescent="0.25">
      <c r="A86" t="s">
        <v>1204</v>
      </c>
      <c r="B86" t="s">
        <v>1815</v>
      </c>
      <c r="C86" t="s">
        <v>1779</v>
      </c>
      <c r="D86" t="s">
        <v>1834</v>
      </c>
      <c r="E86" t="s">
        <v>1835</v>
      </c>
      <c r="I86" t="str">
        <f t="shared" si="5"/>
        <v>#d00000</v>
      </c>
      <c r="J86" t="str">
        <f t="shared" si="6"/>
        <v>d00fca5eb0c75aa310cdac199b1c012b,#d00000,Leotiomycetes</v>
      </c>
    </row>
    <row r="87" spans="1:10" x14ac:dyDescent="0.25">
      <c r="A87" t="s">
        <v>1168</v>
      </c>
      <c r="B87" t="s">
        <v>1744</v>
      </c>
      <c r="C87" t="s">
        <v>1784</v>
      </c>
      <c r="D87" t="s">
        <v>1856</v>
      </c>
      <c r="E87" t="s">
        <v>1857</v>
      </c>
      <c r="F87" t="s">
        <v>1859</v>
      </c>
      <c r="G87" t="s">
        <v>1860</v>
      </c>
      <c r="I87" t="str">
        <f t="shared" si="5"/>
        <v>#ce7e00</v>
      </c>
      <c r="J87" t="str">
        <f t="shared" si="6"/>
        <v>266423f2162b2e8aa5f5c3ed2ccca173,#ce7e00,Microbotryomycetes</v>
      </c>
    </row>
    <row r="88" spans="1:10" x14ac:dyDescent="0.25">
      <c r="A88" t="s">
        <v>1348</v>
      </c>
      <c r="B88" t="s">
        <v>1744</v>
      </c>
      <c r="C88" t="s">
        <v>1784</v>
      </c>
      <c r="D88" t="s">
        <v>1856</v>
      </c>
      <c r="E88" t="s">
        <v>1857</v>
      </c>
      <c r="F88" t="s">
        <v>1858</v>
      </c>
      <c r="G88" t="s">
        <v>2037</v>
      </c>
      <c r="I88" t="str">
        <f t="shared" si="5"/>
        <v>#ce7e00</v>
      </c>
      <c r="J88" t="str">
        <f t="shared" si="6"/>
        <v>f33c74f4efe5423f9c5fe814ffd07aaf,#ce7e00,Microbotryomycetes</v>
      </c>
    </row>
    <row r="89" spans="1:10" x14ac:dyDescent="0.25">
      <c r="A89" t="s">
        <v>1086</v>
      </c>
      <c r="B89" t="s">
        <v>1744</v>
      </c>
      <c r="C89" t="s">
        <v>1784</v>
      </c>
      <c r="D89" t="s">
        <v>1856</v>
      </c>
      <c r="E89" t="s">
        <v>1857</v>
      </c>
      <c r="F89" t="s">
        <v>1859</v>
      </c>
      <c r="G89" t="s">
        <v>1916</v>
      </c>
      <c r="I89" t="str">
        <f t="shared" si="5"/>
        <v>#ce7e00</v>
      </c>
      <c r="J89" t="str">
        <f t="shared" si="6"/>
        <v>b683858eac310e286dfe71a6f9d205a3,#ce7e00,Microbotryomycetes</v>
      </c>
    </row>
    <row r="90" spans="1:10" x14ac:dyDescent="0.25">
      <c r="A90" t="s">
        <v>1230</v>
      </c>
      <c r="B90" t="s">
        <v>1897</v>
      </c>
      <c r="C90" t="s">
        <v>1787</v>
      </c>
      <c r="D90" t="s">
        <v>1898</v>
      </c>
      <c r="E90" t="s">
        <v>1899</v>
      </c>
      <c r="F90" t="s">
        <v>1900</v>
      </c>
      <c r="G90" t="s">
        <v>1901</v>
      </c>
      <c r="I90" t="str">
        <f t="shared" si="5"/>
        <v>#8fce00</v>
      </c>
      <c r="J90" t="str">
        <f t="shared" si="6"/>
        <v>d772a5e352e7a028334b60d1c24c31a6,#8fce00,Mortierellomycetes</v>
      </c>
    </row>
    <row r="91" spans="1:10" x14ac:dyDescent="0.25">
      <c r="A91" t="s">
        <v>984</v>
      </c>
      <c r="B91" t="s">
        <v>1897</v>
      </c>
      <c r="C91" t="s">
        <v>1787</v>
      </c>
      <c r="D91" t="s">
        <v>1898</v>
      </c>
      <c r="E91" t="s">
        <v>1899</v>
      </c>
      <c r="F91" t="s">
        <v>1900</v>
      </c>
      <c r="I91" t="str">
        <f t="shared" si="5"/>
        <v>#8fce00</v>
      </c>
      <c r="J91" t="str">
        <f t="shared" si="6"/>
        <v>1b9f3ec773bb12779bbabb8e388b533b,#8fce00,Mortierellomycetes</v>
      </c>
    </row>
    <row r="92" spans="1:10" x14ac:dyDescent="0.25">
      <c r="A92" t="s">
        <v>1399</v>
      </c>
      <c r="B92" t="s">
        <v>1897</v>
      </c>
      <c r="C92" t="s">
        <v>1787</v>
      </c>
      <c r="D92" t="s">
        <v>1898</v>
      </c>
      <c r="E92" t="s">
        <v>1899</v>
      </c>
      <c r="F92" t="s">
        <v>1900</v>
      </c>
      <c r="G92" t="s">
        <v>1901</v>
      </c>
      <c r="I92" t="str">
        <f t="shared" si="5"/>
        <v>#8fce00</v>
      </c>
      <c r="J92" t="str">
        <f t="shared" si="6"/>
        <v>b340f062929794b68ba9e01d23d58ec4,#8fce00,Mortierellomycetes</v>
      </c>
    </row>
    <row r="93" spans="1:10" x14ac:dyDescent="0.25">
      <c r="A93" t="s">
        <v>1381</v>
      </c>
      <c r="B93" t="s">
        <v>1897</v>
      </c>
      <c r="C93" t="s">
        <v>1787</v>
      </c>
      <c r="D93" t="s">
        <v>1898</v>
      </c>
      <c r="E93" t="s">
        <v>1899</v>
      </c>
      <c r="F93" t="s">
        <v>1900</v>
      </c>
      <c r="G93" t="s">
        <v>1970</v>
      </c>
      <c r="I93" t="str">
        <f t="shared" si="5"/>
        <v>#8fce00</v>
      </c>
      <c r="J93" t="str">
        <f t="shared" si="6"/>
        <v>65d222f9c967701b4b356590bbac7cd4,#8fce00,Mortierellomycetes</v>
      </c>
    </row>
    <row r="94" spans="1:10" x14ac:dyDescent="0.25">
      <c r="A94" t="s">
        <v>1094</v>
      </c>
      <c r="B94" t="s">
        <v>1897</v>
      </c>
      <c r="C94" t="s">
        <v>1787</v>
      </c>
      <c r="D94" t="s">
        <v>1898</v>
      </c>
      <c r="E94" t="s">
        <v>1899</v>
      </c>
      <c r="F94" t="s">
        <v>1900</v>
      </c>
      <c r="G94" t="s">
        <v>1971</v>
      </c>
      <c r="I94" t="str">
        <f t="shared" si="5"/>
        <v>#8fce00</v>
      </c>
      <c r="J94" t="str">
        <f t="shared" si="6"/>
        <v>97b29a276ae3d305277e147292d74742,#8fce00,Mortierellomycetes</v>
      </c>
    </row>
    <row r="95" spans="1:10" x14ac:dyDescent="0.25">
      <c r="A95" t="s">
        <v>1069</v>
      </c>
      <c r="B95" t="s">
        <v>1897</v>
      </c>
      <c r="C95" t="s">
        <v>1787</v>
      </c>
      <c r="D95" t="s">
        <v>1898</v>
      </c>
      <c r="E95" t="s">
        <v>1899</v>
      </c>
      <c r="F95" t="s">
        <v>1900</v>
      </c>
      <c r="G95" t="s">
        <v>1901</v>
      </c>
      <c r="I95" t="str">
        <f t="shared" si="5"/>
        <v>#8fce00</v>
      </c>
      <c r="J95" t="str">
        <f t="shared" si="6"/>
        <v>25c830c81fc62f7291b9c826b8663805,#8fce00,Mortierellomycetes</v>
      </c>
    </row>
    <row r="96" spans="1:10" x14ac:dyDescent="0.25">
      <c r="A96" t="s">
        <v>1371</v>
      </c>
      <c r="B96" t="s">
        <v>1897</v>
      </c>
      <c r="C96" t="s">
        <v>1787</v>
      </c>
      <c r="D96" t="s">
        <v>1898</v>
      </c>
      <c r="E96" t="s">
        <v>1899</v>
      </c>
      <c r="F96" t="s">
        <v>1900</v>
      </c>
      <c r="G96" t="s">
        <v>1901</v>
      </c>
      <c r="I96" t="str">
        <f t="shared" si="5"/>
        <v>#8fce00</v>
      </c>
      <c r="J96" t="str">
        <f t="shared" si="6"/>
        <v>c87fd036d2ff846b01e1ad5d8aee9010,#8fce00,Mortierellomycetes</v>
      </c>
    </row>
    <row r="97" spans="1:10" x14ac:dyDescent="0.25">
      <c r="A97" t="s">
        <v>1223</v>
      </c>
      <c r="B97" t="s">
        <v>1852</v>
      </c>
      <c r="C97" t="s">
        <v>1790</v>
      </c>
      <c r="D97" t="s">
        <v>1853</v>
      </c>
      <c r="E97" t="s">
        <v>1854</v>
      </c>
      <c r="F97" t="s">
        <v>1855</v>
      </c>
      <c r="G97" t="s">
        <v>1962</v>
      </c>
      <c r="I97" t="str">
        <f t="shared" si="5"/>
        <v>#e6beff</v>
      </c>
      <c r="J97" t="str">
        <f t="shared" si="6"/>
        <v>013d1db55e8f851197aea40fdccafd57,#e6beff,Olpidiomycetes</v>
      </c>
    </row>
    <row r="98" spans="1:10" x14ac:dyDescent="0.25">
      <c r="A98" t="s">
        <v>1327</v>
      </c>
      <c r="B98" t="s">
        <v>1852</v>
      </c>
      <c r="C98" t="s">
        <v>1790</v>
      </c>
      <c r="D98" t="s">
        <v>1853</v>
      </c>
      <c r="E98" t="s">
        <v>1854</v>
      </c>
      <c r="F98" t="s">
        <v>1855</v>
      </c>
      <c r="I98" t="str">
        <f t="shared" si="5"/>
        <v>#e6beff</v>
      </c>
      <c r="J98" t="str">
        <f t="shared" si="6"/>
        <v>842ab191a9d90c3d65c00bb4f2cd81a2,#e6beff,Olpidiomycetes</v>
      </c>
    </row>
    <row r="99" spans="1:10" x14ac:dyDescent="0.25">
      <c r="A99" t="s">
        <v>1265</v>
      </c>
      <c r="B99" t="s">
        <v>1852</v>
      </c>
      <c r="C99" t="s">
        <v>1790</v>
      </c>
      <c r="D99" t="s">
        <v>1853</v>
      </c>
      <c r="E99" t="s">
        <v>1854</v>
      </c>
      <c r="F99" t="s">
        <v>1855</v>
      </c>
      <c r="G99" t="s">
        <v>1962</v>
      </c>
      <c r="I99" t="str">
        <f t="shared" si="5"/>
        <v>#e6beff</v>
      </c>
      <c r="J99" t="str">
        <f t="shared" si="6"/>
        <v>1be5048b384b1f4571a98dcf1b5294bf,#e6beff,Olpidiomycetes</v>
      </c>
    </row>
    <row r="100" spans="1:10" x14ac:dyDescent="0.25">
      <c r="A100" t="s">
        <v>1084</v>
      </c>
      <c r="B100" t="s">
        <v>1852</v>
      </c>
      <c r="C100" t="s">
        <v>1790</v>
      </c>
      <c r="D100" t="s">
        <v>1853</v>
      </c>
      <c r="E100" t="s">
        <v>1854</v>
      </c>
      <c r="F100" t="s">
        <v>1855</v>
      </c>
      <c r="G100" t="s">
        <v>1962</v>
      </c>
      <c r="I100" t="str">
        <f t="shared" si="5"/>
        <v>#e6beff</v>
      </c>
      <c r="J100" t="str">
        <f t="shared" si="6"/>
        <v>20533f64e3dbc2b786c2d7e6824c027f,#e6beff,Olpidiomycetes</v>
      </c>
    </row>
    <row r="101" spans="1:10" x14ac:dyDescent="0.25">
      <c r="A101" t="s">
        <v>1012</v>
      </c>
      <c r="B101" t="s">
        <v>1852</v>
      </c>
      <c r="C101" t="s">
        <v>1790</v>
      </c>
      <c r="D101" t="s">
        <v>1853</v>
      </c>
      <c r="E101" t="s">
        <v>1854</v>
      </c>
      <c r="F101" t="s">
        <v>1855</v>
      </c>
      <c r="G101" t="s">
        <v>1962</v>
      </c>
      <c r="I101" t="str">
        <f t="shared" si="5"/>
        <v>#e6beff</v>
      </c>
      <c r="J101" t="str">
        <f t="shared" si="6"/>
        <v>bada5cd3f7b450240836e012112c6927,#e6beff,Olpidiomycetes</v>
      </c>
    </row>
    <row r="102" spans="1:10" x14ac:dyDescent="0.25">
      <c r="A102" t="s">
        <v>1174</v>
      </c>
      <c r="B102" t="s">
        <v>1815</v>
      </c>
      <c r="C102" t="s">
        <v>1802</v>
      </c>
      <c r="D102" t="s">
        <v>1952</v>
      </c>
      <c r="E102" t="s">
        <v>2024</v>
      </c>
      <c r="I102" t="str">
        <f t="shared" si="5"/>
        <v>#ffe119</v>
      </c>
      <c r="J102" t="str">
        <f t="shared" si="6"/>
        <v>dad061bf808eb7769986aa06da160ad6,#ffe119,Saccharomycetes</v>
      </c>
    </row>
    <row r="103" spans="1:10" x14ac:dyDescent="0.25">
      <c r="A103" t="s">
        <v>1350</v>
      </c>
      <c r="B103" t="s">
        <v>1815</v>
      </c>
      <c r="C103" t="s">
        <v>1802</v>
      </c>
      <c r="D103" t="s">
        <v>1952</v>
      </c>
      <c r="E103" t="s">
        <v>2002</v>
      </c>
      <c r="F103" t="s">
        <v>2003</v>
      </c>
      <c r="G103" t="s">
        <v>2004</v>
      </c>
      <c r="I103" t="str">
        <f t="shared" si="5"/>
        <v>#ffe119</v>
      </c>
      <c r="J103" t="str">
        <f t="shared" si="6"/>
        <v>7077548626e8c5b25c223a969889778e,#ffe119,Saccharomycetes</v>
      </c>
    </row>
    <row r="104" spans="1:10" x14ac:dyDescent="0.25">
      <c r="A104" t="s">
        <v>1176</v>
      </c>
      <c r="B104" t="s">
        <v>1815</v>
      </c>
      <c r="C104" t="s">
        <v>1802</v>
      </c>
      <c r="D104" t="s">
        <v>1952</v>
      </c>
      <c r="E104" t="s">
        <v>2024</v>
      </c>
      <c r="I104" t="str">
        <f t="shared" si="5"/>
        <v>#ffe119</v>
      </c>
      <c r="J104" t="str">
        <f t="shared" si="6"/>
        <v>ab7c838a0877811eb3883814011f1fea,#ffe119,Saccharomycetes</v>
      </c>
    </row>
    <row r="105" spans="1:10" x14ac:dyDescent="0.25">
      <c r="A105" t="s">
        <v>1177</v>
      </c>
      <c r="B105" t="s">
        <v>1815</v>
      </c>
      <c r="C105" t="s">
        <v>1802</v>
      </c>
      <c r="D105" t="s">
        <v>1952</v>
      </c>
      <c r="E105" t="s">
        <v>2024</v>
      </c>
      <c r="I105" t="str">
        <f t="shared" si="5"/>
        <v>#ffe119</v>
      </c>
      <c r="J105" t="str">
        <f t="shared" si="6"/>
        <v>ea7bba328969244009dc52b8b17a9f3d,#ffe119,Saccharomycetes</v>
      </c>
    </row>
    <row r="106" spans="1:10" x14ac:dyDescent="0.25">
      <c r="A106" t="s">
        <v>1178</v>
      </c>
      <c r="B106" t="s">
        <v>1815</v>
      </c>
      <c r="C106" t="s">
        <v>1802</v>
      </c>
      <c r="D106" t="s">
        <v>1952</v>
      </c>
      <c r="E106" t="s">
        <v>2024</v>
      </c>
      <c r="I106" t="str">
        <f t="shared" si="5"/>
        <v>#ffe119</v>
      </c>
      <c r="J106" t="str">
        <f t="shared" si="6"/>
        <v>74b8a2d29abde63bbff0f293222710c7,#ffe119,Saccharomycetes</v>
      </c>
    </row>
    <row r="107" spans="1:10" x14ac:dyDescent="0.25">
      <c r="A107" t="s">
        <v>1124</v>
      </c>
      <c r="B107" t="s">
        <v>1815</v>
      </c>
      <c r="C107" t="s">
        <v>1802</v>
      </c>
      <c r="D107" t="s">
        <v>1952</v>
      </c>
      <c r="E107" t="s">
        <v>2024</v>
      </c>
      <c r="F107" t="s">
        <v>2042</v>
      </c>
      <c r="G107" t="s">
        <v>2058</v>
      </c>
      <c r="I107" t="str">
        <f t="shared" si="5"/>
        <v>#ffe119</v>
      </c>
      <c r="J107" t="str">
        <f t="shared" si="6"/>
        <v>e8c5c34565ed1e1bb0bc05631c4b6181,#ffe119,Saccharomycetes</v>
      </c>
    </row>
    <row r="108" spans="1:10" x14ac:dyDescent="0.25">
      <c r="A108" t="s">
        <v>1179</v>
      </c>
      <c r="B108" t="s">
        <v>1815</v>
      </c>
      <c r="C108" t="s">
        <v>1802</v>
      </c>
      <c r="D108" t="s">
        <v>1952</v>
      </c>
      <c r="E108" t="s">
        <v>2024</v>
      </c>
      <c r="I108" t="str">
        <f t="shared" si="5"/>
        <v>#ffe119</v>
      </c>
      <c r="J108" t="str">
        <f t="shared" si="6"/>
        <v>190197699784b2804fb24277e61cd32f,#ffe119,Saccharomycetes</v>
      </c>
    </row>
    <row r="109" spans="1:10" x14ac:dyDescent="0.25">
      <c r="A109" t="s">
        <v>1126</v>
      </c>
      <c r="B109" t="s">
        <v>1815</v>
      </c>
      <c r="C109" t="s">
        <v>1802</v>
      </c>
      <c r="D109" t="s">
        <v>1952</v>
      </c>
      <c r="E109" t="s">
        <v>2024</v>
      </c>
      <c r="F109" t="s">
        <v>2042</v>
      </c>
      <c r="G109" t="s">
        <v>2058</v>
      </c>
      <c r="I109" t="str">
        <f t="shared" si="5"/>
        <v>#ffe119</v>
      </c>
      <c r="J109" t="str">
        <f t="shared" si="6"/>
        <v>56d249a9c1fdc2a94cf23e2cbb4654e2,#ffe119,Saccharomycetes</v>
      </c>
    </row>
    <row r="110" spans="1:10" x14ac:dyDescent="0.25">
      <c r="A110" t="s">
        <v>1127</v>
      </c>
      <c r="B110" t="s">
        <v>1815</v>
      </c>
      <c r="C110" t="s">
        <v>1802</v>
      </c>
      <c r="D110" t="s">
        <v>1952</v>
      </c>
      <c r="E110" t="s">
        <v>2024</v>
      </c>
      <c r="I110" t="str">
        <f t="shared" si="5"/>
        <v>#ffe119</v>
      </c>
      <c r="J110" t="str">
        <f t="shared" si="6"/>
        <v>7c79ef4ade7b32f80670429184eab778,#ffe119,Saccharomycetes</v>
      </c>
    </row>
    <row r="111" spans="1:10" x14ac:dyDescent="0.25">
      <c r="A111" t="s">
        <v>992</v>
      </c>
      <c r="B111" t="s">
        <v>1815</v>
      </c>
      <c r="C111" t="s">
        <v>1802</v>
      </c>
      <c r="D111" t="s">
        <v>1952</v>
      </c>
      <c r="E111" t="s">
        <v>2017</v>
      </c>
      <c r="F111" t="s">
        <v>2038</v>
      </c>
      <c r="G111" t="s">
        <v>2039</v>
      </c>
      <c r="I111" t="str">
        <f t="shared" si="5"/>
        <v>#ffe119</v>
      </c>
      <c r="J111" t="str">
        <f t="shared" si="6"/>
        <v>c44741ca22d3e260590fe202c2f3e76d,#ffe119,Saccharomycetes</v>
      </c>
    </row>
    <row r="112" spans="1:10" x14ac:dyDescent="0.25">
      <c r="A112" t="s">
        <v>1296</v>
      </c>
      <c r="B112" t="s">
        <v>1815</v>
      </c>
      <c r="C112" t="s">
        <v>1802</v>
      </c>
      <c r="D112" t="s">
        <v>1952</v>
      </c>
      <c r="E112" t="s">
        <v>2026</v>
      </c>
      <c r="F112" t="s">
        <v>2027</v>
      </c>
      <c r="G112" t="s">
        <v>2040</v>
      </c>
      <c r="I112" t="str">
        <f t="shared" si="5"/>
        <v>#ffe119</v>
      </c>
      <c r="J112" t="str">
        <f t="shared" si="6"/>
        <v>fee5f790651a2880ef63f155d936eae9,#ffe119,Saccharomycetes</v>
      </c>
    </row>
    <row r="113" spans="1:10" x14ac:dyDescent="0.25">
      <c r="A113" t="s">
        <v>1149</v>
      </c>
      <c r="B113" t="s">
        <v>1815</v>
      </c>
      <c r="C113" t="s">
        <v>1802</v>
      </c>
      <c r="D113" t="s">
        <v>1952</v>
      </c>
      <c r="E113" t="s">
        <v>2060</v>
      </c>
      <c r="F113" t="s">
        <v>2061</v>
      </c>
      <c r="G113" t="s">
        <v>2062</v>
      </c>
      <c r="I113" t="str">
        <f t="shared" si="5"/>
        <v>#ffe119</v>
      </c>
      <c r="J113" t="str">
        <f t="shared" si="6"/>
        <v>592c5a5a00fab5f83d8bd63245c076c2,#ffe119,Saccharomycetes</v>
      </c>
    </row>
    <row r="114" spans="1:10" x14ac:dyDescent="0.25">
      <c r="A114" t="s">
        <v>1079</v>
      </c>
      <c r="B114" t="s">
        <v>1815</v>
      </c>
      <c r="C114" t="s">
        <v>1805</v>
      </c>
      <c r="D114" t="s">
        <v>1836</v>
      </c>
      <c r="E114" t="s">
        <v>1837</v>
      </c>
      <c r="F114" t="s">
        <v>1878</v>
      </c>
      <c r="I114" t="str">
        <f t="shared" si="5"/>
        <v>#1b998b</v>
      </c>
      <c r="J114" t="str">
        <f t="shared" si="6"/>
        <v>449dd932181164733255c6e4d8c3a203,#1b998b,Sordariomycetes</v>
      </c>
    </row>
    <row r="115" spans="1:10" x14ac:dyDescent="0.25">
      <c r="A115" t="s">
        <v>1264</v>
      </c>
      <c r="B115" t="s">
        <v>1815</v>
      </c>
      <c r="C115" t="s">
        <v>1805</v>
      </c>
      <c r="D115" t="s">
        <v>1836</v>
      </c>
      <c r="E115" t="s">
        <v>1837</v>
      </c>
      <c r="I115" t="str">
        <f t="shared" si="5"/>
        <v>#1b998b</v>
      </c>
      <c r="J115" t="str">
        <f t="shared" si="6"/>
        <v>34c664775664549412d3cac139e2fab6,#1b998b,Sordariomycetes</v>
      </c>
    </row>
    <row r="116" spans="1:10" x14ac:dyDescent="0.25">
      <c r="A116" t="s">
        <v>1227</v>
      </c>
      <c r="B116" t="s">
        <v>1815</v>
      </c>
      <c r="C116" t="s">
        <v>1805</v>
      </c>
      <c r="D116" t="s">
        <v>1836</v>
      </c>
      <c r="E116" t="s">
        <v>1837</v>
      </c>
      <c r="F116" t="s">
        <v>1838</v>
      </c>
      <c r="I116" t="str">
        <f t="shared" si="5"/>
        <v>#1b998b</v>
      </c>
      <c r="J116" t="str">
        <f t="shared" si="6"/>
        <v>6692ffe8463c3ef6872edd077e7d7ff7,#1b998b,Sordariomycetes</v>
      </c>
    </row>
    <row r="117" spans="1:10" x14ac:dyDescent="0.25">
      <c r="A117" t="s">
        <v>1163</v>
      </c>
      <c r="B117" t="s">
        <v>1815</v>
      </c>
      <c r="C117" t="s">
        <v>1805</v>
      </c>
      <c r="D117" t="s">
        <v>1861</v>
      </c>
      <c r="E117" t="s">
        <v>1862</v>
      </c>
      <c r="F117" t="s">
        <v>1863</v>
      </c>
      <c r="G117" t="s">
        <v>1864</v>
      </c>
      <c r="I117" t="str">
        <f t="shared" si="5"/>
        <v>#1b998b</v>
      </c>
      <c r="J117" t="str">
        <f t="shared" si="6"/>
        <v>5a8839fdd4a89f26a2520c5b37a8ae42,#1b998b,Sordariomycetes</v>
      </c>
    </row>
    <row r="118" spans="1:10" x14ac:dyDescent="0.25">
      <c r="A118" t="s">
        <v>1141</v>
      </c>
      <c r="B118" t="s">
        <v>1815</v>
      </c>
      <c r="C118" t="s">
        <v>1805</v>
      </c>
      <c r="D118" t="s">
        <v>1836</v>
      </c>
      <c r="E118" t="s">
        <v>1869</v>
      </c>
      <c r="F118" t="s">
        <v>1870</v>
      </c>
      <c r="G118" t="s">
        <v>1871</v>
      </c>
      <c r="I118" t="str">
        <f t="shared" si="5"/>
        <v>#1b998b</v>
      </c>
      <c r="J118" t="str">
        <f t="shared" si="6"/>
        <v>f0010658d3b00f32438e414c936c7348,#1b998b,Sordariomycetes</v>
      </c>
    </row>
    <row r="119" spans="1:10" x14ac:dyDescent="0.25">
      <c r="A119" t="s">
        <v>1346</v>
      </c>
      <c r="B119" t="s">
        <v>1815</v>
      </c>
      <c r="C119" t="s">
        <v>1805</v>
      </c>
      <c r="D119" t="s">
        <v>1836</v>
      </c>
      <c r="E119" t="s">
        <v>1837</v>
      </c>
      <c r="F119" t="s">
        <v>1838</v>
      </c>
      <c r="G119" t="s">
        <v>1872</v>
      </c>
      <c r="I119" t="str">
        <f t="shared" si="5"/>
        <v>#1b998b</v>
      </c>
      <c r="J119" t="str">
        <f t="shared" si="6"/>
        <v>b3a7c4e183383ca7256178dffc8dc3de,#1b998b,Sordariomycetes</v>
      </c>
    </row>
    <row r="120" spans="1:10" x14ac:dyDescent="0.25">
      <c r="A120" t="s">
        <v>982</v>
      </c>
      <c r="B120" t="s">
        <v>1815</v>
      </c>
      <c r="C120" t="s">
        <v>1805</v>
      </c>
      <c r="D120" t="s">
        <v>1861</v>
      </c>
      <c r="E120" t="s">
        <v>1862</v>
      </c>
      <c r="F120" t="s">
        <v>1863</v>
      </c>
      <c r="G120" t="s">
        <v>1864</v>
      </c>
      <c r="I120" t="str">
        <f t="shared" si="5"/>
        <v>#1b998b</v>
      </c>
      <c r="J120" t="str">
        <f t="shared" si="6"/>
        <v>15f71c0201635ebf215158114aa7eb81,#1b998b,Sordariomycetes</v>
      </c>
    </row>
    <row r="121" spans="1:10" x14ac:dyDescent="0.25">
      <c r="A121" t="s">
        <v>1253</v>
      </c>
      <c r="B121" t="s">
        <v>1815</v>
      </c>
      <c r="C121" t="s">
        <v>1805</v>
      </c>
      <c r="D121" t="s">
        <v>1836</v>
      </c>
      <c r="E121" t="s">
        <v>1837</v>
      </c>
      <c r="F121" t="s">
        <v>1878</v>
      </c>
      <c r="G121" t="s">
        <v>1886</v>
      </c>
      <c r="I121" t="str">
        <f t="shared" si="5"/>
        <v>#1b998b</v>
      </c>
      <c r="J121" t="str">
        <f t="shared" si="6"/>
        <v>83ad72888df4a16e5d8b029fa6564149,#1b998b,Sordariomycetes</v>
      </c>
    </row>
    <row r="122" spans="1:10" x14ac:dyDescent="0.25">
      <c r="A122" t="s">
        <v>1082</v>
      </c>
      <c r="B122" t="s">
        <v>1815</v>
      </c>
      <c r="C122" t="s">
        <v>1805</v>
      </c>
      <c r="D122" t="s">
        <v>1905</v>
      </c>
      <c r="E122" t="s">
        <v>1906</v>
      </c>
      <c r="F122" t="s">
        <v>1907</v>
      </c>
      <c r="I122" t="str">
        <f t="shared" si="5"/>
        <v>#1b998b</v>
      </c>
      <c r="J122" t="str">
        <f t="shared" si="6"/>
        <v>d28a3dfc9bd7ab1ab4ffd1219ed263da,#1b998b,Sordariomycetes</v>
      </c>
    </row>
    <row r="123" spans="1:10" x14ac:dyDescent="0.25">
      <c r="A123" t="s">
        <v>1142</v>
      </c>
      <c r="B123" t="s">
        <v>1815</v>
      </c>
      <c r="C123" t="s">
        <v>1805</v>
      </c>
      <c r="D123" t="s">
        <v>1836</v>
      </c>
      <c r="E123" t="s">
        <v>1869</v>
      </c>
      <c r="F123" t="s">
        <v>1913</v>
      </c>
      <c r="G123" t="s">
        <v>1914</v>
      </c>
      <c r="I123" t="str">
        <f t="shared" si="5"/>
        <v>#1b998b</v>
      </c>
      <c r="J123" t="str">
        <f t="shared" si="6"/>
        <v>0b1c38152713d77e506ee8365ff77175,#1b998b,Sordariomycetes</v>
      </c>
    </row>
    <row r="124" spans="1:10" x14ac:dyDescent="0.25">
      <c r="A124" t="s">
        <v>976</v>
      </c>
      <c r="B124" t="s">
        <v>1815</v>
      </c>
      <c r="C124" t="s">
        <v>1805</v>
      </c>
      <c r="D124" t="s">
        <v>1836</v>
      </c>
      <c r="E124" t="s">
        <v>1837</v>
      </c>
      <c r="F124" t="s">
        <v>1838</v>
      </c>
      <c r="G124" t="s">
        <v>1908</v>
      </c>
      <c r="I124" t="str">
        <f t="shared" si="5"/>
        <v>#1b998b</v>
      </c>
      <c r="J124" t="str">
        <f t="shared" si="6"/>
        <v>a351d28a00997a92c02f076eeeac9159,#1b998b,Sordariomycetes</v>
      </c>
    </row>
    <row r="125" spans="1:10" x14ac:dyDescent="0.25">
      <c r="A125" t="s">
        <v>1010</v>
      </c>
      <c r="B125" t="s">
        <v>1815</v>
      </c>
      <c r="C125" t="s">
        <v>1805</v>
      </c>
      <c r="D125" t="s">
        <v>1836</v>
      </c>
      <c r="E125" t="s">
        <v>1837</v>
      </c>
      <c r="F125" t="s">
        <v>1838</v>
      </c>
      <c r="G125" t="s">
        <v>1908</v>
      </c>
      <c r="I125" t="str">
        <f t="shared" si="5"/>
        <v>#1b998b</v>
      </c>
      <c r="J125" t="str">
        <f t="shared" si="6"/>
        <v>054589f841d009566f6872fdb042c4e9,#1b998b,Sordariomycetes</v>
      </c>
    </row>
    <row r="126" spans="1:10" x14ac:dyDescent="0.25">
      <c r="A126" s="8" t="s">
        <v>1130</v>
      </c>
      <c r="B126" t="s">
        <v>1815</v>
      </c>
      <c r="C126" t="s">
        <v>1805</v>
      </c>
      <c r="D126" t="s">
        <v>1836</v>
      </c>
      <c r="E126" t="s">
        <v>1869</v>
      </c>
      <c r="F126" t="s">
        <v>1870</v>
      </c>
      <c r="G126" t="s">
        <v>1926</v>
      </c>
      <c r="I126" t="str">
        <f t="shared" si="5"/>
        <v>#1b998b</v>
      </c>
      <c r="J126" t="str">
        <f t="shared" si="6"/>
        <v>05e641fe72e8c1802233accd7aff1694,#1b998b,Sordariomycetes</v>
      </c>
    </row>
    <row r="127" spans="1:10" x14ac:dyDescent="0.25">
      <c r="A127" s="8" t="s">
        <v>1034</v>
      </c>
      <c r="B127" t="s">
        <v>1815</v>
      </c>
      <c r="C127" t="s">
        <v>1805</v>
      </c>
      <c r="D127" t="s">
        <v>1836</v>
      </c>
      <c r="E127" t="s">
        <v>1837</v>
      </c>
      <c r="F127" t="s">
        <v>1838</v>
      </c>
      <c r="I127" t="str">
        <f t="shared" si="5"/>
        <v>#1b998b</v>
      </c>
      <c r="J127" t="str">
        <f t="shared" si="6"/>
        <v>646e3392f663809f419cba92b3260fa4,#1b998b,Sordariomycetes</v>
      </c>
    </row>
    <row r="128" spans="1:10" x14ac:dyDescent="0.25">
      <c r="A128" s="8" t="s">
        <v>1080</v>
      </c>
      <c r="B128" t="s">
        <v>1815</v>
      </c>
      <c r="C128" t="s">
        <v>1805</v>
      </c>
      <c r="D128" t="s">
        <v>1836</v>
      </c>
      <c r="E128" t="s">
        <v>1837</v>
      </c>
      <c r="I128" t="str">
        <f t="shared" si="5"/>
        <v>#1b998b</v>
      </c>
      <c r="J128" t="str">
        <f t="shared" si="6"/>
        <v>4e964774509af4f750c3cd5367f149ce,#1b998b,Sordariomycetes</v>
      </c>
    </row>
    <row r="129" spans="1:10" x14ac:dyDescent="0.25">
      <c r="A129" t="s">
        <v>1337</v>
      </c>
      <c r="B129" t="s">
        <v>1815</v>
      </c>
      <c r="C129" t="s">
        <v>1805</v>
      </c>
      <c r="D129" t="s">
        <v>1836</v>
      </c>
      <c r="E129" t="s">
        <v>1869</v>
      </c>
      <c r="F129" t="s">
        <v>1870</v>
      </c>
      <c r="G129" t="s">
        <v>1871</v>
      </c>
      <c r="I129" t="str">
        <f t="shared" si="5"/>
        <v>#1b998b</v>
      </c>
      <c r="J129" t="str">
        <f t="shared" si="6"/>
        <v>a0413358e121c981ea417816154667bd,#1b998b,Sordariomycetes</v>
      </c>
    </row>
    <row r="130" spans="1:10" x14ac:dyDescent="0.25">
      <c r="A130" t="s">
        <v>1153</v>
      </c>
      <c r="B130" t="s">
        <v>1815</v>
      </c>
      <c r="C130" t="s">
        <v>1805</v>
      </c>
      <c r="D130" t="s">
        <v>1836</v>
      </c>
      <c r="E130" t="s">
        <v>1910</v>
      </c>
      <c r="F130" t="s">
        <v>1911</v>
      </c>
      <c r="I130" t="str">
        <f t="shared" ref="I130:I193" si="7">VLOOKUP(C130,K:L,2,FALSE)</f>
        <v>#1b998b</v>
      </c>
      <c r="J130" t="str">
        <f t="shared" ref="J130:J193" si="8">A130&amp;","&amp;I130&amp;","&amp;C130</f>
        <v>b08019a63499a4fa5514af30595bc840,#1b998b,Sordariomycetes</v>
      </c>
    </row>
    <row r="131" spans="1:10" x14ac:dyDescent="0.25">
      <c r="A131" t="s">
        <v>1164</v>
      </c>
      <c r="B131" t="s">
        <v>1815</v>
      </c>
      <c r="C131" t="s">
        <v>1805</v>
      </c>
      <c r="D131" t="s">
        <v>1836</v>
      </c>
      <c r="E131" t="s">
        <v>1837</v>
      </c>
      <c r="F131" t="s">
        <v>1838</v>
      </c>
      <c r="I131" t="str">
        <f t="shared" si="7"/>
        <v>#1b998b</v>
      </c>
      <c r="J131" t="str">
        <f t="shared" si="8"/>
        <v>8f7ed705333d4f2381082f0580a42695,#1b998b,Sordariomycetes</v>
      </c>
    </row>
    <row r="132" spans="1:10" x14ac:dyDescent="0.25">
      <c r="A132" t="s">
        <v>1137</v>
      </c>
      <c r="B132" t="s">
        <v>1815</v>
      </c>
      <c r="C132" t="s">
        <v>1805</v>
      </c>
      <c r="D132" t="s">
        <v>1836</v>
      </c>
      <c r="E132" t="s">
        <v>1837</v>
      </c>
      <c r="I132" t="str">
        <f t="shared" si="7"/>
        <v>#1b998b</v>
      </c>
      <c r="J132" t="str">
        <f t="shared" si="8"/>
        <v>890ea1ac5d03bdf473e0093ba92bc004,#1b998b,Sordariomycetes</v>
      </c>
    </row>
    <row r="133" spans="1:10" x14ac:dyDescent="0.25">
      <c r="A133" t="s">
        <v>1251</v>
      </c>
      <c r="B133" t="s">
        <v>1815</v>
      </c>
      <c r="C133" t="s">
        <v>1805</v>
      </c>
      <c r="D133" t="s">
        <v>1836</v>
      </c>
      <c r="E133" t="s">
        <v>1837</v>
      </c>
      <c r="I133" t="str">
        <f t="shared" si="7"/>
        <v>#1b998b</v>
      </c>
      <c r="J133" t="str">
        <f t="shared" si="8"/>
        <v>990b9f058cabdfaac526dc045e6ac1f5,#1b998b,Sordariomycetes</v>
      </c>
    </row>
    <row r="134" spans="1:10" x14ac:dyDescent="0.25">
      <c r="A134" t="s">
        <v>986</v>
      </c>
      <c r="B134" t="s">
        <v>1815</v>
      </c>
      <c r="C134" t="s">
        <v>1805</v>
      </c>
      <c r="D134" t="s">
        <v>1836</v>
      </c>
      <c r="E134" t="s">
        <v>1837</v>
      </c>
      <c r="I134" t="str">
        <f t="shared" si="7"/>
        <v>#1b998b</v>
      </c>
      <c r="J134" t="str">
        <f t="shared" si="8"/>
        <v>f0ff26180ada6017ddeacc142ec97221,#1b998b,Sordariomycetes</v>
      </c>
    </row>
    <row r="135" spans="1:10" x14ac:dyDescent="0.25">
      <c r="A135" t="s">
        <v>1120</v>
      </c>
      <c r="B135" t="s">
        <v>1815</v>
      </c>
      <c r="C135" t="s">
        <v>1805</v>
      </c>
      <c r="D135" t="s">
        <v>1966</v>
      </c>
      <c r="E135" t="s">
        <v>1967</v>
      </c>
      <c r="F135" t="s">
        <v>1968</v>
      </c>
      <c r="G135" t="s">
        <v>1969</v>
      </c>
      <c r="I135" t="str">
        <f t="shared" si="7"/>
        <v>#1b998b</v>
      </c>
      <c r="J135" t="str">
        <f t="shared" si="8"/>
        <v>b5a5c6bab7b47ffdd4d2f1e8d45fc8a3,#1b998b,Sordariomycetes</v>
      </c>
    </row>
    <row r="136" spans="1:10" x14ac:dyDescent="0.25">
      <c r="A136" t="s">
        <v>1090</v>
      </c>
      <c r="B136" t="s">
        <v>1815</v>
      </c>
      <c r="C136" t="s">
        <v>1805</v>
      </c>
      <c r="D136" t="s">
        <v>1947</v>
      </c>
      <c r="E136" t="s">
        <v>1948</v>
      </c>
      <c r="F136" t="s">
        <v>1949</v>
      </c>
      <c r="G136" t="s">
        <v>1748</v>
      </c>
      <c r="I136" t="str">
        <f t="shared" si="7"/>
        <v>#1b998b</v>
      </c>
      <c r="J136" t="str">
        <f t="shared" si="8"/>
        <v>47d2c435c06116f9d18404a3aefcc8d7,#1b998b,Sordariomycetes</v>
      </c>
    </row>
    <row r="137" spans="1:10" x14ac:dyDescent="0.25">
      <c r="A137" t="s">
        <v>1026</v>
      </c>
      <c r="B137" t="s">
        <v>1815</v>
      </c>
      <c r="C137" t="s">
        <v>1805</v>
      </c>
      <c r="D137" t="s">
        <v>1836</v>
      </c>
      <c r="E137" t="s">
        <v>1837</v>
      </c>
      <c r="F137" t="s">
        <v>1944</v>
      </c>
      <c r="G137" t="s">
        <v>1945</v>
      </c>
      <c r="I137" t="str">
        <f t="shared" si="7"/>
        <v>#1b998b</v>
      </c>
      <c r="J137" t="str">
        <f t="shared" si="8"/>
        <v>02ff8471cf96e4a0cd717c62172f85f5,#1b998b,Sordariomycetes</v>
      </c>
    </row>
    <row r="138" spans="1:10" x14ac:dyDescent="0.25">
      <c r="A138" t="s">
        <v>1262</v>
      </c>
      <c r="B138" t="s">
        <v>1815</v>
      </c>
      <c r="C138" t="s">
        <v>1805</v>
      </c>
      <c r="D138" t="s">
        <v>1836</v>
      </c>
      <c r="E138" t="s">
        <v>1837</v>
      </c>
      <c r="F138" t="s">
        <v>1878</v>
      </c>
      <c r="G138" t="s">
        <v>2025</v>
      </c>
      <c r="I138" t="str">
        <f t="shared" si="7"/>
        <v>#1b998b</v>
      </c>
      <c r="J138" t="str">
        <f t="shared" si="8"/>
        <v>b031e9d451743b882bbfeff611f62f94,#1b998b,Sordariomycetes</v>
      </c>
    </row>
    <row r="139" spans="1:10" x14ac:dyDescent="0.25">
      <c r="A139" t="s">
        <v>1323</v>
      </c>
      <c r="B139" t="s">
        <v>1815</v>
      </c>
      <c r="C139" t="s">
        <v>1805</v>
      </c>
      <c r="D139" t="s">
        <v>1836</v>
      </c>
      <c r="E139" t="s">
        <v>1910</v>
      </c>
      <c r="F139" t="s">
        <v>1911</v>
      </c>
      <c r="I139" t="str">
        <f t="shared" si="7"/>
        <v>#1b998b</v>
      </c>
      <c r="J139" t="str">
        <f t="shared" si="8"/>
        <v>5a7c6ec88945e37973ac60e12cbb358d,#1b998b,Sordariomycetes</v>
      </c>
    </row>
    <row r="140" spans="1:10" x14ac:dyDescent="0.25">
      <c r="A140" t="s">
        <v>1100</v>
      </c>
      <c r="B140" t="s">
        <v>1815</v>
      </c>
      <c r="C140" t="s">
        <v>1805</v>
      </c>
      <c r="D140" t="s">
        <v>1836</v>
      </c>
      <c r="E140" t="s">
        <v>1837</v>
      </c>
      <c r="F140" t="s">
        <v>1878</v>
      </c>
      <c r="G140" t="s">
        <v>2025</v>
      </c>
      <c r="I140" t="str">
        <f t="shared" si="7"/>
        <v>#1b998b</v>
      </c>
      <c r="J140" t="str">
        <f t="shared" si="8"/>
        <v>728843c027bd9f1a481a59648814ac26,#1b998b,Sordariomycetes</v>
      </c>
    </row>
    <row r="141" spans="1:10" x14ac:dyDescent="0.25">
      <c r="A141" t="s">
        <v>1139</v>
      </c>
      <c r="B141" t="s">
        <v>1815</v>
      </c>
      <c r="C141" t="s">
        <v>1805</v>
      </c>
      <c r="D141" t="s">
        <v>1836</v>
      </c>
      <c r="E141" t="s">
        <v>1837</v>
      </c>
      <c r="I141" t="str">
        <f t="shared" si="7"/>
        <v>#1b998b</v>
      </c>
      <c r="J141" t="str">
        <f t="shared" si="8"/>
        <v>97710c1da510a0a5d15e1f525ccb38cf,#1b998b,Sordariomycetes</v>
      </c>
    </row>
    <row r="142" spans="1:10" x14ac:dyDescent="0.25">
      <c r="A142" t="s">
        <v>1379</v>
      </c>
      <c r="B142" t="s">
        <v>1815</v>
      </c>
      <c r="C142" t="s">
        <v>1805</v>
      </c>
      <c r="D142" t="s">
        <v>1836</v>
      </c>
      <c r="E142" t="s">
        <v>1837</v>
      </c>
      <c r="F142" t="s">
        <v>1838</v>
      </c>
      <c r="I142" t="str">
        <f t="shared" si="7"/>
        <v>#1b998b</v>
      </c>
      <c r="J142" t="str">
        <f t="shared" si="8"/>
        <v>8131e1ed1733eb4cc2457dc97beee415,#1b998b,Sordariomycetes</v>
      </c>
    </row>
    <row r="143" spans="1:10" x14ac:dyDescent="0.25">
      <c r="A143" t="s">
        <v>1081</v>
      </c>
      <c r="B143" t="s">
        <v>1815</v>
      </c>
      <c r="C143" t="s">
        <v>1805</v>
      </c>
      <c r="D143" t="s">
        <v>1836</v>
      </c>
      <c r="E143" t="s">
        <v>1837</v>
      </c>
      <c r="I143" t="str">
        <f t="shared" si="7"/>
        <v>#1b998b</v>
      </c>
      <c r="J143" t="str">
        <f t="shared" si="8"/>
        <v>9d20c3a755ff8425b176fd85a77a581b,#1b998b,Sordariomycetes</v>
      </c>
    </row>
    <row r="144" spans="1:10" x14ac:dyDescent="0.25">
      <c r="A144" t="s">
        <v>1104</v>
      </c>
      <c r="B144" t="s">
        <v>1815</v>
      </c>
      <c r="C144" t="s">
        <v>1805</v>
      </c>
      <c r="D144" t="s">
        <v>1836</v>
      </c>
      <c r="E144" t="s">
        <v>1837</v>
      </c>
      <c r="F144" t="s">
        <v>1838</v>
      </c>
      <c r="G144" t="s">
        <v>1908</v>
      </c>
      <c r="I144" t="str">
        <f t="shared" si="7"/>
        <v>#1b998b</v>
      </c>
      <c r="J144" t="str">
        <f t="shared" si="8"/>
        <v>0a99b7956a3abdd0e2865d664fe1ca00,#1b998b,Sordariomycetes</v>
      </c>
    </row>
    <row r="145" spans="1:10" x14ac:dyDescent="0.25">
      <c r="A145" t="s">
        <v>1028</v>
      </c>
      <c r="B145" t="s">
        <v>1815</v>
      </c>
      <c r="C145" t="s">
        <v>1805</v>
      </c>
      <c r="D145" t="s">
        <v>1836</v>
      </c>
      <c r="E145" t="s">
        <v>1837</v>
      </c>
      <c r="F145" t="s">
        <v>1944</v>
      </c>
      <c r="G145" t="s">
        <v>1945</v>
      </c>
      <c r="I145" t="str">
        <f t="shared" si="7"/>
        <v>#1b998b</v>
      </c>
      <c r="J145" t="str">
        <f t="shared" si="8"/>
        <v>e43692f1d00278c8b89cf7168c704a6b,#1b998b,Sordariomycetes</v>
      </c>
    </row>
    <row r="146" spans="1:10" x14ac:dyDescent="0.25">
      <c r="A146" t="s">
        <v>1270</v>
      </c>
      <c r="B146" t="s">
        <v>1815</v>
      </c>
      <c r="C146" t="s">
        <v>1805</v>
      </c>
      <c r="D146" t="s">
        <v>1836</v>
      </c>
      <c r="E146" t="s">
        <v>1837</v>
      </c>
      <c r="I146" t="str">
        <f t="shared" si="7"/>
        <v>#1b998b</v>
      </c>
      <c r="J146" t="str">
        <f t="shared" si="8"/>
        <v>656624943be20cd6dbc4b854b204ccea,#1b998b,Sordariomycetes</v>
      </c>
    </row>
    <row r="147" spans="1:10" x14ac:dyDescent="0.25">
      <c r="A147" t="s">
        <v>1200</v>
      </c>
      <c r="B147" t="s">
        <v>1815</v>
      </c>
      <c r="C147" t="s">
        <v>1805</v>
      </c>
      <c r="D147" t="s">
        <v>1836</v>
      </c>
      <c r="E147" t="s">
        <v>1837</v>
      </c>
      <c r="F147" t="s">
        <v>1838</v>
      </c>
      <c r="I147" t="str">
        <f t="shared" si="7"/>
        <v>#1b998b</v>
      </c>
      <c r="J147" t="str">
        <f t="shared" si="8"/>
        <v>ed00ed18ddf85cbd18310d05bad7ffac,#1b998b,Sordariomycetes</v>
      </c>
    </row>
    <row r="148" spans="1:10" x14ac:dyDescent="0.25">
      <c r="A148" t="s">
        <v>1221</v>
      </c>
      <c r="B148" t="s">
        <v>1815</v>
      </c>
      <c r="C148" t="s">
        <v>1805</v>
      </c>
      <c r="D148" t="s">
        <v>1836</v>
      </c>
      <c r="E148" t="s">
        <v>1837</v>
      </c>
      <c r="F148" t="s">
        <v>1838</v>
      </c>
      <c r="G148" t="s">
        <v>1872</v>
      </c>
      <c r="I148" t="str">
        <f t="shared" si="7"/>
        <v>#1b998b</v>
      </c>
      <c r="J148" t="str">
        <f t="shared" si="8"/>
        <v>6e24b4bc2aabebf05c5e2ce541640c6d,#1b998b,Sordariomycetes</v>
      </c>
    </row>
    <row r="149" spans="1:10" x14ac:dyDescent="0.25">
      <c r="A149" t="s">
        <v>1386</v>
      </c>
      <c r="B149" t="s">
        <v>1815</v>
      </c>
      <c r="C149" t="s">
        <v>1805</v>
      </c>
      <c r="D149" t="s">
        <v>1939</v>
      </c>
      <c r="E149" t="s">
        <v>2000</v>
      </c>
      <c r="F149" t="s">
        <v>2001</v>
      </c>
      <c r="G149" t="s">
        <v>1748</v>
      </c>
      <c r="I149" t="str">
        <f t="shared" si="7"/>
        <v>#1b998b</v>
      </c>
      <c r="J149" t="str">
        <f t="shared" si="8"/>
        <v>46ee3d8ffc05b118900e0bd03dcc3922,#1b998b,Sordariomycetes</v>
      </c>
    </row>
    <row r="150" spans="1:10" x14ac:dyDescent="0.25">
      <c r="A150" t="s">
        <v>1309</v>
      </c>
      <c r="B150" t="s">
        <v>1815</v>
      </c>
      <c r="C150" t="s">
        <v>1805</v>
      </c>
      <c r="D150" t="s">
        <v>1836</v>
      </c>
      <c r="E150" t="s">
        <v>1869</v>
      </c>
      <c r="F150" t="s">
        <v>1870</v>
      </c>
      <c r="G150" t="s">
        <v>1871</v>
      </c>
      <c r="I150" t="str">
        <f t="shared" si="7"/>
        <v>#1b998b</v>
      </c>
      <c r="J150" t="str">
        <f t="shared" si="8"/>
        <v>ca1707b0ce0adaaa458118acc7bfa8ef,#1b998b,Sordariomycetes</v>
      </c>
    </row>
    <row r="151" spans="1:10" x14ac:dyDescent="0.25">
      <c r="A151" t="s">
        <v>1004</v>
      </c>
      <c r="B151" t="s">
        <v>1815</v>
      </c>
      <c r="C151" t="s">
        <v>1805</v>
      </c>
      <c r="D151" t="s">
        <v>1836</v>
      </c>
      <c r="E151" t="s">
        <v>1910</v>
      </c>
      <c r="F151" t="s">
        <v>1911</v>
      </c>
      <c r="I151" t="str">
        <f t="shared" si="7"/>
        <v>#1b998b</v>
      </c>
      <c r="J151" t="str">
        <f t="shared" si="8"/>
        <v>0ad9ccf2186fb334c358716c78e5acb9,#1b998b,Sordariomycetes</v>
      </c>
    </row>
    <row r="152" spans="1:10" x14ac:dyDescent="0.25">
      <c r="A152" t="s">
        <v>1077</v>
      </c>
      <c r="B152" t="s">
        <v>1815</v>
      </c>
      <c r="C152" t="s">
        <v>1805</v>
      </c>
      <c r="D152" t="s">
        <v>1836</v>
      </c>
      <c r="E152" t="s">
        <v>1869</v>
      </c>
      <c r="F152" t="s">
        <v>1870</v>
      </c>
      <c r="G152" t="s">
        <v>1871</v>
      </c>
      <c r="I152" t="str">
        <f t="shared" si="7"/>
        <v>#1b998b</v>
      </c>
      <c r="J152" t="str">
        <f t="shared" si="8"/>
        <v>c453d04602c19d000dcbb3c962fbe692,#1b998b,Sordariomycetes</v>
      </c>
    </row>
    <row r="153" spans="1:10" x14ac:dyDescent="0.25">
      <c r="A153" s="8" t="s">
        <v>994</v>
      </c>
      <c r="B153" t="s">
        <v>1815</v>
      </c>
      <c r="C153" t="s">
        <v>1805</v>
      </c>
      <c r="D153" t="s">
        <v>1939</v>
      </c>
      <c r="E153" t="s">
        <v>1940</v>
      </c>
      <c r="F153" t="s">
        <v>1941</v>
      </c>
      <c r="G153" t="s">
        <v>1748</v>
      </c>
      <c r="I153" t="str">
        <f t="shared" si="7"/>
        <v>#1b998b</v>
      </c>
      <c r="J153" t="str">
        <f t="shared" si="8"/>
        <v>1e7047c053921d6312d961683699376d,#1b998b,Sordariomycetes</v>
      </c>
    </row>
    <row r="154" spans="1:10" x14ac:dyDescent="0.25">
      <c r="A154" t="s">
        <v>1031</v>
      </c>
      <c r="B154" t="s">
        <v>1815</v>
      </c>
      <c r="C154" t="s">
        <v>1805</v>
      </c>
      <c r="D154" t="s">
        <v>1836</v>
      </c>
      <c r="E154" t="s">
        <v>1869</v>
      </c>
      <c r="F154" t="s">
        <v>1870</v>
      </c>
      <c r="G154" t="s">
        <v>1871</v>
      </c>
      <c r="I154" t="str">
        <f t="shared" si="7"/>
        <v>#1b998b</v>
      </c>
      <c r="J154" t="str">
        <f t="shared" si="8"/>
        <v>b4072e34c53ffc2deefacf14866c9397,#1b998b,Sordariomycetes</v>
      </c>
    </row>
    <row r="155" spans="1:10" x14ac:dyDescent="0.25">
      <c r="A155" t="s">
        <v>1213</v>
      </c>
      <c r="B155" t="s">
        <v>1815</v>
      </c>
      <c r="C155" t="s">
        <v>1805</v>
      </c>
      <c r="D155" t="s">
        <v>1836</v>
      </c>
      <c r="E155" t="s">
        <v>1837</v>
      </c>
      <c r="I155" t="str">
        <f t="shared" si="7"/>
        <v>#1b998b</v>
      </c>
      <c r="J155" t="str">
        <f t="shared" si="8"/>
        <v>dd2aec40a5df6122b494dde62c3caeea,#1b998b,Sordariomycetes</v>
      </c>
    </row>
    <row r="156" spans="1:10" x14ac:dyDescent="0.25">
      <c r="A156" t="s">
        <v>1353</v>
      </c>
      <c r="B156" t="s">
        <v>1815</v>
      </c>
      <c r="C156" t="s">
        <v>1805</v>
      </c>
      <c r="D156" t="s">
        <v>1836</v>
      </c>
      <c r="E156" t="s">
        <v>1869</v>
      </c>
      <c r="F156" t="s">
        <v>1988</v>
      </c>
      <c r="I156" t="str">
        <f t="shared" si="7"/>
        <v>#1b998b</v>
      </c>
      <c r="J156" t="str">
        <f t="shared" si="8"/>
        <v>b7cfd16c7b365b056d35dbd352d5a720,#1b998b,Sordariomycetes</v>
      </c>
    </row>
    <row r="157" spans="1:10" x14ac:dyDescent="0.25">
      <c r="A157" t="s">
        <v>1389</v>
      </c>
      <c r="B157" t="s">
        <v>1815</v>
      </c>
      <c r="C157" t="s">
        <v>1805</v>
      </c>
      <c r="D157" t="s">
        <v>1836</v>
      </c>
      <c r="E157" t="s">
        <v>1837</v>
      </c>
      <c r="F157" t="s">
        <v>2068</v>
      </c>
      <c r="G157" t="s">
        <v>2069</v>
      </c>
      <c r="I157" t="str">
        <f t="shared" si="7"/>
        <v>#1b998b</v>
      </c>
      <c r="J157" t="str">
        <f t="shared" si="8"/>
        <v>12375de0a965391e2eac8a9a7971999c,#1b998b,Sordariomycetes</v>
      </c>
    </row>
    <row r="158" spans="1:10" x14ac:dyDescent="0.25">
      <c r="A158" t="s">
        <v>1073</v>
      </c>
      <c r="B158" t="s">
        <v>1815</v>
      </c>
      <c r="C158" t="s">
        <v>1805</v>
      </c>
      <c r="D158" t="s">
        <v>1836</v>
      </c>
      <c r="E158" t="s">
        <v>1869</v>
      </c>
      <c r="F158" t="s">
        <v>1870</v>
      </c>
      <c r="G158" t="s">
        <v>1871</v>
      </c>
      <c r="I158" t="str">
        <f t="shared" si="7"/>
        <v>#1b998b</v>
      </c>
      <c r="J158" t="str">
        <f t="shared" si="8"/>
        <v>702f712e65c34ad678f975a2da869e6f,#1b998b,Sordariomycetes</v>
      </c>
    </row>
    <row r="159" spans="1:10" x14ac:dyDescent="0.25">
      <c r="A159" t="s">
        <v>1260</v>
      </c>
      <c r="B159" t="s">
        <v>1815</v>
      </c>
      <c r="C159" t="s">
        <v>1805</v>
      </c>
      <c r="D159" t="s">
        <v>1836</v>
      </c>
      <c r="E159" t="s">
        <v>1837</v>
      </c>
      <c r="F159" t="s">
        <v>1838</v>
      </c>
      <c r="G159" t="s">
        <v>1908</v>
      </c>
      <c r="I159" t="str">
        <f t="shared" si="7"/>
        <v>#1b998b</v>
      </c>
      <c r="J159" t="str">
        <f t="shared" si="8"/>
        <v>9d32f0228a8abfd743722afbf34a2ed7,#1b998b,Sordariomycetes</v>
      </c>
    </row>
    <row r="160" spans="1:10" x14ac:dyDescent="0.25">
      <c r="A160" t="s">
        <v>1331</v>
      </c>
      <c r="B160" t="s">
        <v>1815</v>
      </c>
      <c r="C160" t="s">
        <v>1805</v>
      </c>
      <c r="D160" t="s">
        <v>1905</v>
      </c>
      <c r="E160" t="s">
        <v>1906</v>
      </c>
      <c r="F160" t="s">
        <v>1907</v>
      </c>
      <c r="G160" t="s">
        <v>2028</v>
      </c>
      <c r="I160" t="str">
        <f t="shared" si="7"/>
        <v>#1b998b</v>
      </c>
      <c r="J160" t="str">
        <f t="shared" si="8"/>
        <v>887aa2acd0951d8c15251169f3a9b842,#1b998b,Sordariomycetes</v>
      </c>
    </row>
    <row r="161" spans="1:10" x14ac:dyDescent="0.25">
      <c r="A161" t="s">
        <v>1236</v>
      </c>
      <c r="B161" t="s">
        <v>1815</v>
      </c>
      <c r="C161" t="s">
        <v>1805</v>
      </c>
      <c r="D161" t="s">
        <v>1996</v>
      </c>
      <c r="E161" t="s">
        <v>1997</v>
      </c>
      <c r="F161" t="s">
        <v>1998</v>
      </c>
      <c r="G161" t="s">
        <v>1999</v>
      </c>
      <c r="I161" t="str">
        <f t="shared" si="7"/>
        <v>#1b998b</v>
      </c>
      <c r="J161" t="str">
        <f t="shared" si="8"/>
        <v>007c30a938ad57cd27088fe51290a459,#1b998b,Sordariomycetes</v>
      </c>
    </row>
    <row r="162" spans="1:10" x14ac:dyDescent="0.25">
      <c r="A162" t="s">
        <v>980</v>
      </c>
      <c r="B162" t="s">
        <v>1815</v>
      </c>
      <c r="C162" t="s">
        <v>1805</v>
      </c>
      <c r="D162" t="s">
        <v>1836</v>
      </c>
      <c r="E162" t="s">
        <v>1837</v>
      </c>
      <c r="F162" t="s">
        <v>1838</v>
      </c>
      <c r="I162" t="str">
        <f t="shared" si="7"/>
        <v>#1b998b</v>
      </c>
      <c r="J162" t="str">
        <f t="shared" si="8"/>
        <v>1152e22b5b7e8a9569f068d82de2de1e,#1b998b,Sordariomycetes</v>
      </c>
    </row>
    <row r="163" spans="1:10" x14ac:dyDescent="0.25">
      <c r="A163" t="s">
        <v>1063</v>
      </c>
      <c r="B163" t="s">
        <v>1815</v>
      </c>
      <c r="C163" t="s">
        <v>1805</v>
      </c>
      <c r="D163" t="s">
        <v>1861</v>
      </c>
      <c r="E163" t="s">
        <v>1862</v>
      </c>
      <c r="F163" t="s">
        <v>1937</v>
      </c>
      <c r="G163" t="s">
        <v>2020</v>
      </c>
      <c r="I163" t="str">
        <f t="shared" si="7"/>
        <v>#1b998b</v>
      </c>
      <c r="J163" t="str">
        <f t="shared" si="8"/>
        <v>709b138c5e00f76325f7eee532b1435e,#1b998b,Sordariomycetes</v>
      </c>
    </row>
    <row r="164" spans="1:10" x14ac:dyDescent="0.25">
      <c r="A164" t="s">
        <v>1301</v>
      </c>
      <c r="B164" t="s">
        <v>1815</v>
      </c>
      <c r="C164" t="s">
        <v>1805</v>
      </c>
      <c r="D164" t="s">
        <v>1939</v>
      </c>
      <c r="E164" t="s">
        <v>2018</v>
      </c>
      <c r="F164" t="s">
        <v>2019</v>
      </c>
      <c r="I164" t="str">
        <f t="shared" si="7"/>
        <v>#1b998b</v>
      </c>
      <c r="J164" t="str">
        <f t="shared" si="8"/>
        <v>3311724ab5381fdb5743667b34e66dc1,#1b998b,Sordariomycetes</v>
      </c>
    </row>
    <row r="165" spans="1:10" x14ac:dyDescent="0.25">
      <c r="A165" t="s">
        <v>1388</v>
      </c>
      <c r="B165" t="s">
        <v>1815</v>
      </c>
      <c r="C165" t="s">
        <v>1805</v>
      </c>
      <c r="D165" t="s">
        <v>1836</v>
      </c>
      <c r="E165" t="s">
        <v>1869</v>
      </c>
      <c r="F165" t="s">
        <v>1870</v>
      </c>
      <c r="G165" t="s">
        <v>2034</v>
      </c>
      <c r="I165" t="str">
        <f t="shared" si="7"/>
        <v>#1b998b</v>
      </c>
      <c r="J165" t="str">
        <f t="shared" si="8"/>
        <v>91890cee208ac187055c054fb0c40076,#1b998b,Sordariomycetes</v>
      </c>
    </row>
    <row r="166" spans="1:10" x14ac:dyDescent="0.25">
      <c r="A166" t="s">
        <v>1184</v>
      </c>
      <c r="B166" t="s">
        <v>1815</v>
      </c>
      <c r="C166" t="s">
        <v>1805</v>
      </c>
      <c r="D166" t="s">
        <v>1836</v>
      </c>
      <c r="E166" t="s">
        <v>1837</v>
      </c>
      <c r="F166" t="s">
        <v>1838</v>
      </c>
      <c r="G166" t="s">
        <v>1872</v>
      </c>
      <c r="I166" t="str">
        <f t="shared" si="7"/>
        <v>#1b998b</v>
      </c>
      <c r="J166" t="str">
        <f t="shared" si="8"/>
        <v>d1b4336ceda518f059c0ecb51c580909,#1b998b,Sordariomycetes</v>
      </c>
    </row>
    <row r="167" spans="1:10" x14ac:dyDescent="0.25">
      <c r="A167" t="s">
        <v>1020</v>
      </c>
      <c r="B167" t="s">
        <v>1815</v>
      </c>
      <c r="C167" t="s">
        <v>1805</v>
      </c>
      <c r="D167" t="s">
        <v>1861</v>
      </c>
      <c r="E167" t="s">
        <v>1862</v>
      </c>
      <c r="F167" t="s">
        <v>1937</v>
      </c>
      <c r="G167" t="s">
        <v>1938</v>
      </c>
      <c r="I167" t="str">
        <f t="shared" si="7"/>
        <v>#1b998b</v>
      </c>
      <c r="J167" t="str">
        <f t="shared" si="8"/>
        <v>7b713729084509bfdbcc2fe15acde55a,#1b998b,Sordariomycetes</v>
      </c>
    </row>
    <row r="168" spans="1:10" x14ac:dyDescent="0.25">
      <c r="A168" s="8" t="s">
        <v>1245</v>
      </c>
      <c r="B168" t="s">
        <v>1815</v>
      </c>
      <c r="C168" t="s">
        <v>1805</v>
      </c>
      <c r="D168" t="s">
        <v>1939</v>
      </c>
      <c r="E168" t="s">
        <v>1940</v>
      </c>
      <c r="F168" t="s">
        <v>2032</v>
      </c>
      <c r="G168" t="s">
        <v>2033</v>
      </c>
      <c r="I168" t="str">
        <f t="shared" si="7"/>
        <v>#1b998b</v>
      </c>
      <c r="J168" t="str">
        <f t="shared" si="8"/>
        <v>26451520693e598cc01e73bc1812d4de,#1b998b,Sordariomycetes</v>
      </c>
    </row>
    <row r="169" spans="1:10" x14ac:dyDescent="0.25">
      <c r="A169" t="s">
        <v>1344</v>
      </c>
      <c r="B169" t="s">
        <v>1815</v>
      </c>
      <c r="C169" t="s">
        <v>1805</v>
      </c>
      <c r="D169" t="s">
        <v>1939</v>
      </c>
      <c r="E169" t="s">
        <v>1940</v>
      </c>
      <c r="F169" t="s">
        <v>2029</v>
      </c>
      <c r="G169" t="s">
        <v>2030</v>
      </c>
      <c r="I169" t="str">
        <f t="shared" si="7"/>
        <v>#1b998b</v>
      </c>
      <c r="J169" t="str">
        <f t="shared" si="8"/>
        <v>715dd70201774676393db778324944ad,#1b998b,Sordariomycetes</v>
      </c>
    </row>
    <row r="170" spans="1:10" x14ac:dyDescent="0.25">
      <c r="A170" t="s">
        <v>1238</v>
      </c>
      <c r="B170" t="s">
        <v>1815</v>
      </c>
      <c r="C170" t="s">
        <v>1805</v>
      </c>
      <c r="D170" t="s">
        <v>1836</v>
      </c>
      <c r="E170" t="s">
        <v>1982</v>
      </c>
      <c r="F170" t="s">
        <v>1983</v>
      </c>
      <c r="G170" t="s">
        <v>1748</v>
      </c>
      <c r="I170" t="str">
        <f t="shared" si="7"/>
        <v>#1b998b</v>
      </c>
      <c r="J170" t="str">
        <f t="shared" si="8"/>
        <v>6f2a1ffc3f976b97fb7d6648e8f3fe68,#1b998b,Sordariomycetes</v>
      </c>
    </row>
    <row r="171" spans="1:10" x14ac:dyDescent="0.25">
      <c r="A171" t="s">
        <v>1170</v>
      </c>
      <c r="B171" t="s">
        <v>1815</v>
      </c>
      <c r="C171" t="s">
        <v>1805</v>
      </c>
      <c r="I171" t="str">
        <f t="shared" si="7"/>
        <v>#1b998b</v>
      </c>
      <c r="J171" t="str">
        <f t="shared" si="8"/>
        <v>d8de1bd30a45d032d39909716c372830,#1b998b,Sordariomycetes</v>
      </c>
    </row>
    <row r="172" spans="1:10" x14ac:dyDescent="0.25">
      <c r="A172" t="s">
        <v>1046</v>
      </c>
      <c r="B172" t="s">
        <v>1815</v>
      </c>
      <c r="C172" t="s">
        <v>1805</v>
      </c>
      <c r="D172" t="s">
        <v>1836</v>
      </c>
      <c r="E172" t="s">
        <v>2031</v>
      </c>
      <c r="I172" t="str">
        <f t="shared" si="7"/>
        <v>#1b998b</v>
      </c>
      <c r="J172" t="str">
        <f t="shared" si="8"/>
        <v>1472ea0b75771d3fb1de7cdf229c723b,#1b998b,Sordariomycetes</v>
      </c>
    </row>
    <row r="173" spans="1:10" x14ac:dyDescent="0.25">
      <c r="A173" t="s">
        <v>1317</v>
      </c>
      <c r="B173" t="s">
        <v>1815</v>
      </c>
      <c r="C173" t="s">
        <v>1805</v>
      </c>
      <c r="D173" t="s">
        <v>1939</v>
      </c>
      <c r="E173" t="s">
        <v>1940</v>
      </c>
      <c r="F173" t="s">
        <v>2047</v>
      </c>
      <c r="G173" t="s">
        <v>2048</v>
      </c>
      <c r="I173" t="str">
        <f t="shared" si="7"/>
        <v>#1b998b</v>
      </c>
      <c r="J173" t="str">
        <f t="shared" si="8"/>
        <v>a11c0e7171f913308b28c73e84551a2e,#1b998b,Sordariomycetes</v>
      </c>
    </row>
    <row r="174" spans="1:10" x14ac:dyDescent="0.25">
      <c r="A174" t="s">
        <v>1102</v>
      </c>
      <c r="B174" t="s">
        <v>1815</v>
      </c>
      <c r="C174" t="s">
        <v>1805</v>
      </c>
      <c r="D174" t="s">
        <v>1905</v>
      </c>
      <c r="E174" t="s">
        <v>1906</v>
      </c>
      <c r="F174" t="s">
        <v>1907</v>
      </c>
      <c r="G174" t="s">
        <v>2041</v>
      </c>
      <c r="I174" t="str">
        <f t="shared" si="7"/>
        <v>#1b998b</v>
      </c>
      <c r="J174" t="str">
        <f t="shared" si="8"/>
        <v>0f6fcd080deef9bcf94b431fca379d9e,#1b998b,Sordariomycetes</v>
      </c>
    </row>
    <row r="175" spans="1:10" x14ac:dyDescent="0.25">
      <c r="A175" t="s">
        <v>1217</v>
      </c>
      <c r="B175" t="s">
        <v>1815</v>
      </c>
      <c r="C175" t="s">
        <v>1805</v>
      </c>
      <c r="D175" t="s">
        <v>1939</v>
      </c>
      <c r="E175" t="s">
        <v>1940</v>
      </c>
      <c r="F175" t="s">
        <v>1941</v>
      </c>
      <c r="G175" t="s">
        <v>2059</v>
      </c>
      <c r="I175" t="str">
        <f t="shared" si="7"/>
        <v>#1b998b</v>
      </c>
      <c r="J175" t="str">
        <f t="shared" si="8"/>
        <v>18a08abc8f9248ff27d4b719db57ddff,#1b998b,Sordariomycetes</v>
      </c>
    </row>
    <row r="176" spans="1:10" x14ac:dyDescent="0.25">
      <c r="A176" t="s">
        <v>1367</v>
      </c>
      <c r="B176" t="s">
        <v>1815</v>
      </c>
      <c r="C176" t="s">
        <v>1805</v>
      </c>
      <c r="D176" t="s">
        <v>1861</v>
      </c>
      <c r="E176" t="s">
        <v>2043</v>
      </c>
      <c r="F176" t="s">
        <v>2044</v>
      </c>
      <c r="G176" t="s">
        <v>2045</v>
      </c>
      <c r="I176" t="str">
        <f t="shared" si="7"/>
        <v>#1b998b</v>
      </c>
      <c r="J176" t="str">
        <f t="shared" si="8"/>
        <v>6ca012254e115bd30af0270d4157161d,#1b998b,Sordariomycetes</v>
      </c>
    </row>
    <row r="177" spans="1:10" x14ac:dyDescent="0.25">
      <c r="A177" t="s">
        <v>1075</v>
      </c>
      <c r="B177" t="s">
        <v>1815</v>
      </c>
      <c r="C177" t="s">
        <v>1805</v>
      </c>
      <c r="D177" t="s">
        <v>1947</v>
      </c>
      <c r="E177" t="s">
        <v>2007</v>
      </c>
      <c r="F177" t="s">
        <v>2008</v>
      </c>
      <c r="G177" t="s">
        <v>1748</v>
      </c>
      <c r="I177" t="str">
        <f t="shared" si="7"/>
        <v>#1b998b</v>
      </c>
      <c r="J177" t="str">
        <f t="shared" si="8"/>
        <v>d469bc35f678f00e8750ebe26b249ab4,#1b998b,Sordariomycetes</v>
      </c>
    </row>
    <row r="178" spans="1:10" x14ac:dyDescent="0.25">
      <c r="A178" t="s">
        <v>1145</v>
      </c>
      <c r="B178" t="s">
        <v>1815</v>
      </c>
      <c r="C178" t="s">
        <v>1805</v>
      </c>
      <c r="D178" t="s">
        <v>1861</v>
      </c>
      <c r="E178" t="s">
        <v>1862</v>
      </c>
      <c r="F178" t="s">
        <v>2054</v>
      </c>
      <c r="G178" t="s">
        <v>2055</v>
      </c>
      <c r="I178" t="str">
        <f t="shared" si="7"/>
        <v>#1b998b</v>
      </c>
      <c r="J178" t="str">
        <f t="shared" si="8"/>
        <v>e273c1f542261fd93a2f9894bb077159,#1b998b,Sordariomycetes</v>
      </c>
    </row>
    <row r="179" spans="1:10" x14ac:dyDescent="0.25">
      <c r="A179" t="s">
        <v>978</v>
      </c>
      <c r="B179" t="s">
        <v>1815</v>
      </c>
      <c r="C179" t="s">
        <v>1805</v>
      </c>
      <c r="D179" t="s">
        <v>1836</v>
      </c>
      <c r="E179" t="s">
        <v>1869</v>
      </c>
      <c r="F179" t="s">
        <v>1913</v>
      </c>
      <c r="G179" t="s">
        <v>1914</v>
      </c>
      <c r="I179" t="str">
        <f t="shared" si="7"/>
        <v>#1b998b</v>
      </c>
      <c r="J179" t="str">
        <f t="shared" si="8"/>
        <v>5796e178d06042efd2b635b26b4e8a4e,#1b998b,Sordariomycetes</v>
      </c>
    </row>
    <row r="180" spans="1:10" x14ac:dyDescent="0.25">
      <c r="A180" t="s">
        <v>1232</v>
      </c>
      <c r="B180" t="s">
        <v>1815</v>
      </c>
      <c r="C180" t="s">
        <v>1805</v>
      </c>
      <c r="D180" t="s">
        <v>1861</v>
      </c>
      <c r="E180" t="s">
        <v>2043</v>
      </c>
      <c r="F180" t="s">
        <v>2044</v>
      </c>
      <c r="G180" t="s">
        <v>2049</v>
      </c>
      <c r="I180" t="str">
        <f t="shared" si="7"/>
        <v>#1b998b</v>
      </c>
      <c r="J180" t="str">
        <f t="shared" si="8"/>
        <v>ea75bafcbefde93b4d57838a97140bec,#1b998b,Sordariomycetes</v>
      </c>
    </row>
    <row r="181" spans="1:10" x14ac:dyDescent="0.25">
      <c r="A181" t="s">
        <v>1186</v>
      </c>
      <c r="B181" t="s">
        <v>1815</v>
      </c>
      <c r="C181" t="s">
        <v>1805</v>
      </c>
      <c r="D181" t="s">
        <v>1947</v>
      </c>
      <c r="E181" t="s">
        <v>1948</v>
      </c>
      <c r="F181" t="s">
        <v>1949</v>
      </c>
      <c r="G181" t="s">
        <v>1987</v>
      </c>
      <c r="I181" t="str">
        <f t="shared" si="7"/>
        <v>#1b998b</v>
      </c>
      <c r="J181" t="str">
        <f t="shared" si="8"/>
        <v>13f28613e90acca9270f8ccbd5ee4735,#1b998b,Sordariomycetes</v>
      </c>
    </row>
    <row r="182" spans="1:10" x14ac:dyDescent="0.25">
      <c r="A182" t="s">
        <v>1006</v>
      </c>
      <c r="B182" t="s">
        <v>1815</v>
      </c>
      <c r="C182" t="s">
        <v>1805</v>
      </c>
      <c r="D182" t="s">
        <v>2013</v>
      </c>
      <c r="E182" t="s">
        <v>2014</v>
      </c>
      <c r="F182" t="s">
        <v>2056</v>
      </c>
      <c r="G182" t="s">
        <v>2057</v>
      </c>
      <c r="I182" t="str">
        <f t="shared" si="7"/>
        <v>#1b998b</v>
      </c>
      <c r="J182" t="str">
        <f t="shared" si="8"/>
        <v>000938b53289095df4f003962a4265ba,#1b998b,Sordariomycetes</v>
      </c>
    </row>
    <row r="183" spans="1:10" x14ac:dyDescent="0.25">
      <c r="A183" t="s">
        <v>1044</v>
      </c>
      <c r="B183" t="s">
        <v>1815</v>
      </c>
      <c r="C183" t="s">
        <v>1805</v>
      </c>
      <c r="D183" t="s">
        <v>1836</v>
      </c>
      <c r="E183" t="s">
        <v>1869</v>
      </c>
      <c r="F183" t="s">
        <v>1870</v>
      </c>
      <c r="G183" t="s">
        <v>1946</v>
      </c>
      <c r="I183" t="str">
        <f t="shared" si="7"/>
        <v>#1b998b</v>
      </c>
      <c r="J183" t="str">
        <f t="shared" si="8"/>
        <v>b09656839dddd620b1383fe105b78714,#1b998b,Sordariomycetes</v>
      </c>
    </row>
    <row r="184" spans="1:10" x14ac:dyDescent="0.25">
      <c r="A184" t="s">
        <v>1240</v>
      </c>
      <c r="B184" t="s">
        <v>1815</v>
      </c>
      <c r="C184" t="s">
        <v>1805</v>
      </c>
      <c r="D184" t="s">
        <v>1836</v>
      </c>
      <c r="E184" t="s">
        <v>1869</v>
      </c>
      <c r="F184" t="s">
        <v>1870</v>
      </c>
      <c r="G184" t="s">
        <v>2034</v>
      </c>
      <c r="I184" t="str">
        <f t="shared" si="7"/>
        <v>#1b998b</v>
      </c>
      <c r="J184" t="str">
        <f t="shared" si="8"/>
        <v>ed17a52aa660cbb5f4266c72a2715114,#1b998b,Sordariomycetes</v>
      </c>
    </row>
    <row r="185" spans="1:10" x14ac:dyDescent="0.25">
      <c r="A185" t="s">
        <v>1267</v>
      </c>
      <c r="B185" t="s">
        <v>1744</v>
      </c>
      <c r="C185" t="s">
        <v>1809</v>
      </c>
      <c r="D185" t="s">
        <v>1865</v>
      </c>
      <c r="E185" t="s">
        <v>1866</v>
      </c>
      <c r="F185" t="s">
        <v>1867</v>
      </c>
      <c r="G185" t="s">
        <v>1868</v>
      </c>
      <c r="I185" t="str">
        <f t="shared" si="7"/>
        <v>#c27ba0</v>
      </c>
      <c r="J185" t="str">
        <f t="shared" si="8"/>
        <v>c428505de626eebc8a143383ae6b4e0a,#c27ba0,Tremellomycetes</v>
      </c>
    </row>
    <row r="186" spans="1:10" x14ac:dyDescent="0.25">
      <c r="A186" t="s">
        <v>1147</v>
      </c>
      <c r="B186" t="s">
        <v>1744</v>
      </c>
      <c r="C186" t="s">
        <v>1809</v>
      </c>
      <c r="D186" t="s">
        <v>1844</v>
      </c>
      <c r="E186" t="s">
        <v>1845</v>
      </c>
      <c r="F186" t="s">
        <v>1846</v>
      </c>
      <c r="I186" t="str">
        <f t="shared" si="7"/>
        <v>#c27ba0</v>
      </c>
      <c r="J186" t="str">
        <f t="shared" si="8"/>
        <v>bb6adf961bb11e5a62042e8ee6c8a78b,#c27ba0,Tremellomycetes</v>
      </c>
    </row>
    <row r="187" spans="1:10" x14ac:dyDescent="0.25">
      <c r="A187" t="s">
        <v>1058</v>
      </c>
      <c r="B187" t="s">
        <v>1744</v>
      </c>
      <c r="C187" t="s">
        <v>1809</v>
      </c>
      <c r="D187" t="s">
        <v>1844</v>
      </c>
      <c r="E187" t="s">
        <v>1845</v>
      </c>
      <c r="F187" t="s">
        <v>1846</v>
      </c>
      <c r="G187" t="s">
        <v>1847</v>
      </c>
      <c r="I187" t="str">
        <f t="shared" si="7"/>
        <v>#c27ba0</v>
      </c>
      <c r="J187" t="str">
        <f t="shared" si="8"/>
        <v>9cb70bb11026f31a7d7afd6ccace254d,#c27ba0,Tremellomycetes</v>
      </c>
    </row>
    <row r="188" spans="1:10" x14ac:dyDescent="0.25">
      <c r="A188" t="s">
        <v>1338</v>
      </c>
      <c r="B188" t="s">
        <v>1744</v>
      </c>
      <c r="C188" t="s">
        <v>1809</v>
      </c>
      <c r="D188" t="s">
        <v>1865</v>
      </c>
      <c r="E188" t="s">
        <v>1866</v>
      </c>
      <c r="F188" t="s">
        <v>1867</v>
      </c>
      <c r="G188" t="s">
        <v>1868</v>
      </c>
      <c r="I188" t="str">
        <f t="shared" si="7"/>
        <v>#c27ba0</v>
      </c>
      <c r="J188" t="str">
        <f t="shared" si="8"/>
        <v>80b1774a4f6a293738c881d1753cec64,#c27ba0,Tremellomycetes</v>
      </c>
    </row>
    <row r="189" spans="1:10" x14ac:dyDescent="0.25">
      <c r="A189" t="s">
        <v>1247</v>
      </c>
      <c r="B189" t="s">
        <v>1744</v>
      </c>
      <c r="C189" t="s">
        <v>1809</v>
      </c>
      <c r="D189" t="s">
        <v>1844</v>
      </c>
      <c r="E189" t="s">
        <v>1845</v>
      </c>
      <c r="F189" t="s">
        <v>1846</v>
      </c>
      <c r="G189" t="s">
        <v>1847</v>
      </c>
      <c r="I189" t="str">
        <f t="shared" si="7"/>
        <v>#c27ba0</v>
      </c>
      <c r="J189" t="str">
        <f t="shared" si="8"/>
        <v>7c56aa37c5568be80be1b61600a8da6a,#c27ba0,Tremellomycetes</v>
      </c>
    </row>
    <row r="190" spans="1:10" x14ac:dyDescent="0.25">
      <c r="A190" t="s">
        <v>1272</v>
      </c>
      <c r="B190" t="s">
        <v>1744</v>
      </c>
      <c r="C190" t="s">
        <v>1809</v>
      </c>
      <c r="D190" t="s">
        <v>1844</v>
      </c>
      <c r="E190" t="s">
        <v>1845</v>
      </c>
      <c r="F190" t="s">
        <v>1846</v>
      </c>
      <c r="G190" t="s">
        <v>1847</v>
      </c>
      <c r="I190" t="str">
        <f t="shared" si="7"/>
        <v>#c27ba0</v>
      </c>
      <c r="J190" t="str">
        <f t="shared" si="8"/>
        <v>99f79248fe5f906cfc23e6a591eae823,#c27ba0,Tremellomycetes</v>
      </c>
    </row>
    <row r="191" spans="1:10" x14ac:dyDescent="0.25">
      <c r="A191" t="s">
        <v>1151</v>
      </c>
      <c r="B191" t="s">
        <v>1744</v>
      </c>
      <c r="C191" t="s">
        <v>1809</v>
      </c>
      <c r="D191" t="s">
        <v>1875</v>
      </c>
      <c r="E191" t="s">
        <v>1876</v>
      </c>
      <c r="F191" t="s">
        <v>1877</v>
      </c>
      <c r="I191" t="str">
        <f t="shared" si="7"/>
        <v>#c27ba0</v>
      </c>
      <c r="J191" t="str">
        <f t="shared" si="8"/>
        <v>2d1cf4fd5b17455677cce6b70a59a7af,#c27ba0,Tremellomycetes</v>
      </c>
    </row>
    <row r="192" spans="1:10" x14ac:dyDescent="0.25">
      <c r="A192" t="s">
        <v>1067</v>
      </c>
      <c r="B192" t="s">
        <v>1744</v>
      </c>
      <c r="C192" t="s">
        <v>1809</v>
      </c>
      <c r="D192" t="s">
        <v>1844</v>
      </c>
      <c r="E192" t="s">
        <v>1879</v>
      </c>
      <c r="F192" t="s">
        <v>1880</v>
      </c>
      <c r="G192" t="s">
        <v>1881</v>
      </c>
      <c r="I192" t="str">
        <f t="shared" si="7"/>
        <v>#c27ba0</v>
      </c>
      <c r="J192" t="str">
        <f t="shared" si="8"/>
        <v>155071cd488404a72e4d28af744e41ae,#c27ba0,Tremellomycetes</v>
      </c>
    </row>
    <row r="193" spans="1:10" x14ac:dyDescent="0.25">
      <c r="A193" t="s">
        <v>1277</v>
      </c>
      <c r="B193" t="s">
        <v>1744</v>
      </c>
      <c r="C193" t="s">
        <v>1809</v>
      </c>
      <c r="D193" t="s">
        <v>1844</v>
      </c>
      <c r="E193" t="s">
        <v>1845</v>
      </c>
      <c r="F193" t="s">
        <v>1846</v>
      </c>
      <c r="G193" t="s">
        <v>1887</v>
      </c>
      <c r="I193" t="str">
        <f t="shared" si="7"/>
        <v>#c27ba0</v>
      </c>
      <c r="J193" t="str">
        <f t="shared" si="8"/>
        <v>01005373797d8032419a4ffbbf16ddd5,#c27ba0,Tremellomycetes</v>
      </c>
    </row>
    <row r="194" spans="1:10" x14ac:dyDescent="0.25">
      <c r="A194" t="s">
        <v>1106</v>
      </c>
      <c r="B194" t="s">
        <v>1744</v>
      </c>
      <c r="C194" t="s">
        <v>1809</v>
      </c>
      <c r="D194" t="s">
        <v>1844</v>
      </c>
      <c r="E194" t="s">
        <v>1845</v>
      </c>
      <c r="F194" t="s">
        <v>1846</v>
      </c>
      <c r="G194" t="s">
        <v>1847</v>
      </c>
      <c r="I194" t="str">
        <f t="shared" ref="I194:I237" si="9">VLOOKUP(C194,K:L,2,FALSE)</f>
        <v>#c27ba0</v>
      </c>
      <c r="J194" t="str">
        <f t="shared" ref="J194:J257" si="10">A194&amp;","&amp;I194&amp;","&amp;C194</f>
        <v>efe39bbcab1a4bfe40c448558d94552d,#c27ba0,Tremellomycetes</v>
      </c>
    </row>
    <row r="195" spans="1:10" x14ac:dyDescent="0.25">
      <c r="A195" t="s">
        <v>1363</v>
      </c>
      <c r="B195" t="s">
        <v>1744</v>
      </c>
      <c r="C195" t="s">
        <v>1809</v>
      </c>
      <c r="D195" t="s">
        <v>1875</v>
      </c>
      <c r="E195" t="s">
        <v>1876</v>
      </c>
      <c r="F195" t="s">
        <v>1877</v>
      </c>
      <c r="G195" t="s">
        <v>1748</v>
      </c>
      <c r="I195" t="str">
        <f t="shared" si="9"/>
        <v>#c27ba0</v>
      </c>
      <c r="J195" t="str">
        <f t="shared" si="10"/>
        <v>88f8bb24c3fd04cab0d548c2cea24bb1,#c27ba0,Tremellomycetes</v>
      </c>
    </row>
    <row r="196" spans="1:10" x14ac:dyDescent="0.25">
      <c r="A196" t="s">
        <v>1340</v>
      </c>
      <c r="B196" t="s">
        <v>1744</v>
      </c>
      <c r="C196" t="s">
        <v>1809</v>
      </c>
      <c r="D196" t="s">
        <v>1875</v>
      </c>
      <c r="E196" t="s">
        <v>1942</v>
      </c>
      <c r="F196" t="s">
        <v>1943</v>
      </c>
      <c r="G196" t="s">
        <v>2070</v>
      </c>
      <c r="I196" t="str">
        <f t="shared" si="9"/>
        <v>#c27ba0</v>
      </c>
      <c r="J196" t="str">
        <f t="shared" si="10"/>
        <v>5b2514bd9e5c14bd8f3438125f0a34d5,#c27ba0,Tremellomycetes</v>
      </c>
    </row>
    <row r="197" spans="1:10" x14ac:dyDescent="0.25">
      <c r="A197" t="s">
        <v>1397</v>
      </c>
      <c r="B197" t="s">
        <v>1744</v>
      </c>
      <c r="C197" t="s">
        <v>1809</v>
      </c>
      <c r="D197" t="s">
        <v>1875</v>
      </c>
      <c r="E197" t="s">
        <v>1876</v>
      </c>
      <c r="F197" t="s">
        <v>1877</v>
      </c>
      <c r="G197" t="s">
        <v>1917</v>
      </c>
      <c r="I197" t="str">
        <f t="shared" si="9"/>
        <v>#c27ba0</v>
      </c>
      <c r="J197" t="str">
        <f t="shared" si="10"/>
        <v>973236358f89e396328d80cb0e01dfaf,#c27ba0,Tremellomycetes</v>
      </c>
    </row>
    <row r="198" spans="1:10" x14ac:dyDescent="0.25">
      <c r="A198" t="s">
        <v>1361</v>
      </c>
      <c r="B198" t="s">
        <v>1744</v>
      </c>
      <c r="C198" t="s">
        <v>1809</v>
      </c>
      <c r="D198" t="s">
        <v>1844</v>
      </c>
      <c r="E198" t="s">
        <v>1928</v>
      </c>
      <c r="F198" t="s">
        <v>1929</v>
      </c>
      <c r="I198" t="str">
        <f t="shared" si="9"/>
        <v>#c27ba0</v>
      </c>
      <c r="J198" t="str">
        <f t="shared" si="10"/>
        <v>1008c2d2d393c7d6c29000c503546978,#c27ba0,Tremellomycetes</v>
      </c>
    </row>
    <row r="199" spans="1:10" x14ac:dyDescent="0.25">
      <c r="A199" t="s">
        <v>1342</v>
      </c>
      <c r="B199" t="s">
        <v>1744</v>
      </c>
      <c r="C199" t="s">
        <v>1809</v>
      </c>
      <c r="D199" t="s">
        <v>1875</v>
      </c>
      <c r="E199" t="s">
        <v>1876</v>
      </c>
      <c r="F199" t="s">
        <v>1877</v>
      </c>
      <c r="G199" t="s">
        <v>1748</v>
      </c>
      <c r="I199" t="str">
        <f t="shared" si="9"/>
        <v>#c27ba0</v>
      </c>
      <c r="J199" t="str">
        <f t="shared" si="10"/>
        <v>9613c2dc163e4f605e92537dc7f792f8,#c27ba0,Tremellomycetes</v>
      </c>
    </row>
    <row r="200" spans="1:10" x14ac:dyDescent="0.25">
      <c r="A200" t="s">
        <v>1369</v>
      </c>
      <c r="B200" t="s">
        <v>1744</v>
      </c>
      <c r="C200" t="s">
        <v>1809</v>
      </c>
      <c r="D200" t="s">
        <v>1865</v>
      </c>
      <c r="E200" t="s">
        <v>1866</v>
      </c>
      <c r="F200" t="s">
        <v>1867</v>
      </c>
      <c r="G200" t="s">
        <v>1915</v>
      </c>
      <c r="I200" t="str">
        <f t="shared" si="9"/>
        <v>#c27ba0</v>
      </c>
      <c r="J200" t="str">
        <f t="shared" si="10"/>
        <v>ef0aa4b2853061c2856b8e26345fab5b,#c27ba0,Tremellomycetes</v>
      </c>
    </row>
    <row r="201" spans="1:10" x14ac:dyDescent="0.25">
      <c r="A201" t="s">
        <v>1088</v>
      </c>
      <c r="B201" t="s">
        <v>1744</v>
      </c>
      <c r="C201" t="s">
        <v>1809</v>
      </c>
      <c r="D201" t="s">
        <v>1892</v>
      </c>
      <c r="E201" t="s">
        <v>1893</v>
      </c>
      <c r="F201" t="s">
        <v>1894</v>
      </c>
      <c r="G201" t="s">
        <v>1895</v>
      </c>
      <c r="I201" t="str">
        <f t="shared" si="9"/>
        <v>#c27ba0</v>
      </c>
      <c r="J201" t="str">
        <f t="shared" si="10"/>
        <v>50c0c1f16caf01cb13e63c6aa28a1c4d,#c27ba0,Tremellomycetes</v>
      </c>
    </row>
    <row r="202" spans="1:10" x14ac:dyDescent="0.25">
      <c r="A202" t="s">
        <v>1258</v>
      </c>
      <c r="B202" t="s">
        <v>1744</v>
      </c>
      <c r="C202" t="s">
        <v>1809</v>
      </c>
      <c r="D202" t="s">
        <v>1875</v>
      </c>
      <c r="E202" t="s">
        <v>1876</v>
      </c>
      <c r="F202" t="s">
        <v>1877</v>
      </c>
      <c r="G202" t="s">
        <v>1748</v>
      </c>
      <c r="I202" t="str">
        <f t="shared" si="9"/>
        <v>#c27ba0</v>
      </c>
      <c r="J202" t="str">
        <f t="shared" si="10"/>
        <v>3b7158ba0db085089e4de39798a28398,#c27ba0,Tremellomycetes</v>
      </c>
    </row>
    <row r="203" spans="1:10" x14ac:dyDescent="0.25">
      <c r="A203" t="s">
        <v>1118</v>
      </c>
      <c r="B203" t="s">
        <v>1744</v>
      </c>
      <c r="C203" t="s">
        <v>1809</v>
      </c>
      <c r="D203" t="s">
        <v>1865</v>
      </c>
      <c r="E203" t="s">
        <v>1920</v>
      </c>
      <c r="F203" t="s">
        <v>1921</v>
      </c>
      <c r="G203" t="s">
        <v>1922</v>
      </c>
      <c r="I203" t="str">
        <f t="shared" si="9"/>
        <v>#c27ba0</v>
      </c>
      <c r="J203" t="str">
        <f t="shared" si="10"/>
        <v>bee59d963a25b8812d16d9106ceeca5e,#c27ba0,Tremellomycetes</v>
      </c>
    </row>
    <row r="204" spans="1:10" x14ac:dyDescent="0.25">
      <c r="A204" t="s">
        <v>1182</v>
      </c>
      <c r="B204" t="s">
        <v>1744</v>
      </c>
      <c r="C204" t="s">
        <v>1809</v>
      </c>
      <c r="D204" t="s">
        <v>1844</v>
      </c>
      <c r="E204" t="s">
        <v>1845</v>
      </c>
      <c r="F204" t="s">
        <v>2009</v>
      </c>
      <c r="G204" t="s">
        <v>2010</v>
      </c>
      <c r="I204" t="str">
        <f t="shared" si="9"/>
        <v>#c27ba0</v>
      </c>
      <c r="J204" t="str">
        <f t="shared" si="10"/>
        <v>24ad2f478287f8c889de1d9576ed0f71,#c27ba0,Tremellomycetes</v>
      </c>
    </row>
    <row r="205" spans="1:10" x14ac:dyDescent="0.25">
      <c r="A205" t="s">
        <v>1048</v>
      </c>
      <c r="B205" t="s">
        <v>1744</v>
      </c>
      <c r="C205" t="s">
        <v>1809</v>
      </c>
      <c r="D205" t="s">
        <v>1844</v>
      </c>
      <c r="E205" t="s">
        <v>1845</v>
      </c>
      <c r="F205" t="s">
        <v>2009</v>
      </c>
      <c r="G205" t="s">
        <v>2010</v>
      </c>
      <c r="I205" t="str">
        <f t="shared" si="9"/>
        <v>#c27ba0</v>
      </c>
      <c r="J205" t="str">
        <f t="shared" si="10"/>
        <v>8a198777a8d0943e28406a96776e9336,#c27ba0,Tremellomycetes</v>
      </c>
    </row>
    <row r="206" spans="1:10" x14ac:dyDescent="0.25">
      <c r="A206" t="s">
        <v>1305</v>
      </c>
      <c r="B206" t="s">
        <v>1744</v>
      </c>
      <c r="C206" t="s">
        <v>1809</v>
      </c>
      <c r="D206" t="s">
        <v>1844</v>
      </c>
      <c r="E206" t="s">
        <v>1845</v>
      </c>
      <c r="F206" t="s">
        <v>1846</v>
      </c>
      <c r="G206" t="s">
        <v>1927</v>
      </c>
      <c r="I206" t="str">
        <f t="shared" si="9"/>
        <v>#c27ba0</v>
      </c>
      <c r="J206" t="str">
        <f t="shared" si="10"/>
        <v>1d96a1af6326497d812c28c9a0d766b3,#c27ba0,Tremellomycetes</v>
      </c>
    </row>
    <row r="207" spans="1:10" x14ac:dyDescent="0.25">
      <c r="A207" t="s">
        <v>1180</v>
      </c>
      <c r="B207" t="s">
        <v>1744</v>
      </c>
      <c r="C207" t="s">
        <v>1809</v>
      </c>
      <c r="D207" t="s">
        <v>1844</v>
      </c>
      <c r="E207" t="s">
        <v>1845</v>
      </c>
      <c r="F207" t="s">
        <v>2009</v>
      </c>
      <c r="G207" t="s">
        <v>2011</v>
      </c>
      <c r="I207" t="str">
        <f t="shared" si="9"/>
        <v>#c27ba0</v>
      </c>
      <c r="J207" t="str">
        <f t="shared" si="10"/>
        <v>17f843ae642568b9d2a5a1c45dbcc086,#c27ba0,Tremellomycetes</v>
      </c>
    </row>
    <row r="208" spans="1:10" x14ac:dyDescent="0.25">
      <c r="A208" t="s">
        <v>1206</v>
      </c>
      <c r="B208" t="s">
        <v>1744</v>
      </c>
      <c r="C208" t="s">
        <v>1809</v>
      </c>
      <c r="D208" t="s">
        <v>1844</v>
      </c>
      <c r="E208" t="s">
        <v>1845</v>
      </c>
      <c r="F208" t="s">
        <v>2009</v>
      </c>
      <c r="G208" t="s">
        <v>1748</v>
      </c>
      <c r="I208" t="str">
        <f t="shared" si="9"/>
        <v>#c27ba0</v>
      </c>
      <c r="J208" t="str">
        <f t="shared" si="10"/>
        <v>2ddf7ef0dc6973555ae548771cc3c0c1,#c27ba0,Tremellomycetes</v>
      </c>
    </row>
    <row r="209" spans="1:10" x14ac:dyDescent="0.25">
      <c r="A209" t="s">
        <v>1041</v>
      </c>
      <c r="B209" t="s">
        <v>1744</v>
      </c>
      <c r="C209" t="s">
        <v>1809</v>
      </c>
      <c r="D209" t="s">
        <v>1844</v>
      </c>
      <c r="E209" t="s">
        <v>1845</v>
      </c>
      <c r="F209" t="s">
        <v>1909</v>
      </c>
      <c r="G209" t="s">
        <v>1748</v>
      </c>
      <c r="I209" t="str">
        <f t="shared" si="9"/>
        <v>#c27ba0</v>
      </c>
      <c r="J209" t="str">
        <f t="shared" si="10"/>
        <v>a6d7971316cb137f1b0be6df5f40e601,#c27ba0,Tremellomycetes</v>
      </c>
    </row>
    <row r="210" spans="1:10" x14ac:dyDescent="0.25">
      <c r="A210" t="s">
        <v>1054</v>
      </c>
      <c r="B210" t="s">
        <v>1744</v>
      </c>
      <c r="C210" t="s">
        <v>1809</v>
      </c>
      <c r="D210" t="s">
        <v>1977</v>
      </c>
      <c r="E210" t="s">
        <v>1978</v>
      </c>
      <c r="F210" t="s">
        <v>2071</v>
      </c>
      <c r="G210" t="s">
        <v>2072</v>
      </c>
      <c r="I210" t="str">
        <f t="shared" si="9"/>
        <v>#c27ba0</v>
      </c>
      <c r="J210" t="str">
        <f t="shared" si="10"/>
        <v>2ceb59e42491a15dd188c9378e3f3992,#c27ba0,Tremellomycetes</v>
      </c>
    </row>
    <row r="211" spans="1:10" x14ac:dyDescent="0.25">
      <c r="A211" t="s">
        <v>1096</v>
      </c>
      <c r="B211" t="s">
        <v>1744</v>
      </c>
      <c r="C211" t="s">
        <v>1809</v>
      </c>
      <c r="D211" t="s">
        <v>1865</v>
      </c>
      <c r="E211" t="s">
        <v>1866</v>
      </c>
      <c r="F211" t="s">
        <v>1867</v>
      </c>
      <c r="G211" t="s">
        <v>1915</v>
      </c>
      <c r="I211" t="str">
        <f t="shared" si="9"/>
        <v>#c27ba0</v>
      </c>
      <c r="J211" t="str">
        <f t="shared" si="10"/>
        <v>c1e57eeed9dac10cdba66d42c1a077ea,#c27ba0,Tremellomycetes</v>
      </c>
    </row>
    <row r="212" spans="1:10" x14ac:dyDescent="0.25">
      <c r="A212" t="s">
        <v>996</v>
      </c>
      <c r="B212" t="s">
        <v>1744</v>
      </c>
      <c r="C212" t="s">
        <v>1809</v>
      </c>
      <c r="D212" t="s">
        <v>1844</v>
      </c>
      <c r="E212" t="s">
        <v>1928</v>
      </c>
      <c r="F212" t="s">
        <v>1929</v>
      </c>
      <c r="G212" t="s">
        <v>1930</v>
      </c>
      <c r="I212" t="str">
        <f t="shared" si="9"/>
        <v>#c27ba0</v>
      </c>
      <c r="J212" t="str">
        <f t="shared" si="10"/>
        <v>de40fee0b91b78847634271edf3a6fdc,#c27ba0,Tremellomycetes</v>
      </c>
    </row>
    <row r="213" spans="1:10" x14ac:dyDescent="0.25">
      <c r="A213" t="s">
        <v>1307</v>
      </c>
      <c r="B213" t="s">
        <v>1744</v>
      </c>
      <c r="C213" t="s">
        <v>1809</v>
      </c>
      <c r="D213" t="s">
        <v>1844</v>
      </c>
      <c r="E213" t="s">
        <v>1845</v>
      </c>
      <c r="F213" t="s">
        <v>1909</v>
      </c>
      <c r="G213" t="s">
        <v>1951</v>
      </c>
      <c r="I213" t="str">
        <f t="shared" si="9"/>
        <v>#c27ba0</v>
      </c>
      <c r="J213" t="str">
        <f t="shared" si="10"/>
        <v>1dbd9c879e6726b9a2c4b38d20774bb4,#c27ba0,Tremellomycetes</v>
      </c>
    </row>
    <row r="214" spans="1:10" x14ac:dyDescent="0.25">
      <c r="A214" t="s">
        <v>1292</v>
      </c>
      <c r="B214" t="s">
        <v>1744</v>
      </c>
      <c r="C214" t="s">
        <v>1809</v>
      </c>
      <c r="D214" t="s">
        <v>1844</v>
      </c>
      <c r="E214" t="s">
        <v>1845</v>
      </c>
      <c r="F214" t="s">
        <v>1846</v>
      </c>
      <c r="G214" t="s">
        <v>1927</v>
      </c>
      <c r="I214" t="str">
        <f t="shared" si="9"/>
        <v>#c27ba0</v>
      </c>
      <c r="J214" t="str">
        <f t="shared" si="10"/>
        <v>6763296c3bbb3b73657e63849f6230f4,#c27ba0,Tremellomycetes</v>
      </c>
    </row>
    <row r="215" spans="1:10" x14ac:dyDescent="0.25">
      <c r="A215" s="8" t="s">
        <v>1128</v>
      </c>
      <c r="B215" t="s">
        <v>1744</v>
      </c>
      <c r="C215" t="s">
        <v>1809</v>
      </c>
      <c r="D215" t="s">
        <v>1844</v>
      </c>
      <c r="E215" t="s">
        <v>1928</v>
      </c>
      <c r="F215" t="s">
        <v>1929</v>
      </c>
      <c r="G215" t="s">
        <v>1957</v>
      </c>
      <c r="I215" t="str">
        <f t="shared" si="9"/>
        <v>#c27ba0</v>
      </c>
      <c r="J215" t="str">
        <f t="shared" si="10"/>
        <v>182779e768c8ddbd48e7504aeaffb85d,#c27ba0,Tremellomycetes</v>
      </c>
    </row>
    <row r="216" spans="1:10" x14ac:dyDescent="0.25">
      <c r="A216" t="s">
        <v>1333</v>
      </c>
      <c r="B216" t="s">
        <v>1744</v>
      </c>
      <c r="C216" t="s">
        <v>1809</v>
      </c>
      <c r="D216" t="s">
        <v>1844</v>
      </c>
      <c r="E216" t="s">
        <v>1984</v>
      </c>
      <c r="F216" t="s">
        <v>1985</v>
      </c>
      <c r="G216" t="s">
        <v>1986</v>
      </c>
      <c r="I216" t="str">
        <f t="shared" si="9"/>
        <v>#c27ba0</v>
      </c>
      <c r="J216" t="str">
        <f t="shared" si="10"/>
        <v>0591dc24fcacc2135571b408a26f11a5,#c27ba0,Tremellomycetes</v>
      </c>
    </row>
    <row r="217" spans="1:10" x14ac:dyDescent="0.25">
      <c r="A217" t="s">
        <v>1225</v>
      </c>
      <c r="B217" t="s">
        <v>1744</v>
      </c>
      <c r="C217" t="s">
        <v>1809</v>
      </c>
      <c r="D217" t="s">
        <v>1844</v>
      </c>
      <c r="E217" t="s">
        <v>1845</v>
      </c>
      <c r="F217" t="s">
        <v>1846</v>
      </c>
      <c r="G217" t="s">
        <v>1965</v>
      </c>
      <c r="I217" t="str">
        <f t="shared" si="9"/>
        <v>#c27ba0</v>
      </c>
      <c r="J217" t="str">
        <f t="shared" si="10"/>
        <v>0951752b54e065112e8c25f19a63d863,#c27ba0,Tremellomycetes</v>
      </c>
    </row>
    <row r="218" spans="1:10" x14ac:dyDescent="0.25">
      <c r="A218" t="s">
        <v>1393</v>
      </c>
      <c r="B218" t="s">
        <v>1744</v>
      </c>
      <c r="C218" t="s">
        <v>1809</v>
      </c>
      <c r="D218" t="s">
        <v>1875</v>
      </c>
      <c r="E218" t="s">
        <v>1876</v>
      </c>
      <c r="F218" t="s">
        <v>1877</v>
      </c>
      <c r="G218" t="s">
        <v>1912</v>
      </c>
      <c r="I218" t="str">
        <f t="shared" si="9"/>
        <v>#c27ba0</v>
      </c>
      <c r="J218" t="str">
        <f t="shared" si="10"/>
        <v>467251a63ef19dbc8e98d095883fa430,#c27ba0,Tremellomycetes</v>
      </c>
    </row>
    <row r="219" spans="1:10" x14ac:dyDescent="0.25">
      <c r="A219" t="s">
        <v>1313</v>
      </c>
      <c r="B219" t="s">
        <v>1744</v>
      </c>
      <c r="C219" t="s">
        <v>1809</v>
      </c>
      <c r="D219" t="s">
        <v>1844</v>
      </c>
      <c r="E219" t="s">
        <v>1845</v>
      </c>
      <c r="F219" t="s">
        <v>2009</v>
      </c>
      <c r="G219" t="s">
        <v>2046</v>
      </c>
      <c r="I219" t="str">
        <f t="shared" si="9"/>
        <v>#c27ba0</v>
      </c>
      <c r="J219" t="str">
        <f t="shared" si="10"/>
        <v>97ba9b0c7da2bd7498460706bac9fdc9,#c27ba0,Tremellomycetes</v>
      </c>
    </row>
    <row r="220" spans="1:10" x14ac:dyDescent="0.25">
      <c r="A220" t="s">
        <v>1383</v>
      </c>
      <c r="B220" t="s">
        <v>1744</v>
      </c>
      <c r="C220" t="s">
        <v>1809</v>
      </c>
      <c r="D220" t="s">
        <v>1844</v>
      </c>
      <c r="E220" t="s">
        <v>1845</v>
      </c>
      <c r="F220" t="s">
        <v>1846</v>
      </c>
      <c r="G220" t="s">
        <v>1974</v>
      </c>
      <c r="I220" t="str">
        <f t="shared" si="9"/>
        <v>#c27ba0</v>
      </c>
      <c r="J220" t="str">
        <f t="shared" si="10"/>
        <v>71bc29b6817201b7ac7dfe4e54b485d8,#c27ba0,Tremellomycetes</v>
      </c>
    </row>
    <row r="221" spans="1:10" x14ac:dyDescent="0.25">
      <c r="A221" t="s">
        <v>1060</v>
      </c>
      <c r="B221" t="s">
        <v>1744</v>
      </c>
      <c r="C221" t="s">
        <v>1809</v>
      </c>
      <c r="D221" t="s">
        <v>1844</v>
      </c>
      <c r="E221" t="s">
        <v>1845</v>
      </c>
      <c r="F221" t="s">
        <v>1846</v>
      </c>
      <c r="G221" t="s">
        <v>1847</v>
      </c>
      <c r="I221" t="str">
        <f t="shared" si="9"/>
        <v>#c27ba0</v>
      </c>
      <c r="J221" t="str">
        <f t="shared" si="10"/>
        <v>33bc0388344c86b704770f533039a725,#c27ba0,Tremellomycetes</v>
      </c>
    </row>
    <row r="222" spans="1:10" x14ac:dyDescent="0.25">
      <c r="A222" t="s">
        <v>1037</v>
      </c>
      <c r="B222" t="s">
        <v>1744</v>
      </c>
      <c r="C222" t="s">
        <v>1809</v>
      </c>
      <c r="D222" t="s">
        <v>1875</v>
      </c>
      <c r="E222" t="s">
        <v>1876</v>
      </c>
      <c r="F222" t="s">
        <v>1877</v>
      </c>
      <c r="G222" t="s">
        <v>1748</v>
      </c>
      <c r="I222" t="str">
        <f t="shared" si="9"/>
        <v>#c27ba0</v>
      </c>
      <c r="J222" t="str">
        <f t="shared" si="10"/>
        <v>f4354d2413b963fdeb924df7d03fa365,#c27ba0,Tremellomycetes</v>
      </c>
    </row>
    <row r="223" spans="1:10" x14ac:dyDescent="0.25">
      <c r="A223" t="s">
        <v>1157</v>
      </c>
      <c r="B223" t="s">
        <v>1744</v>
      </c>
      <c r="C223" t="s">
        <v>1809</v>
      </c>
      <c r="D223" t="s">
        <v>1844</v>
      </c>
      <c r="E223" t="s">
        <v>1845</v>
      </c>
      <c r="F223" t="s">
        <v>1909</v>
      </c>
      <c r="I223" t="str">
        <f t="shared" si="9"/>
        <v>#c27ba0</v>
      </c>
      <c r="J223" t="str">
        <f t="shared" si="10"/>
        <v>4d9f2a880665d043d4b80e70108c0d3f,#c27ba0,Tremellomycetes</v>
      </c>
    </row>
    <row r="224" spans="1:10" x14ac:dyDescent="0.25">
      <c r="A224" t="s">
        <v>1215</v>
      </c>
      <c r="B224" t="s">
        <v>1744</v>
      </c>
      <c r="C224" t="s">
        <v>1809</v>
      </c>
      <c r="D224" t="s">
        <v>1844</v>
      </c>
      <c r="E224" t="s">
        <v>1845</v>
      </c>
      <c r="F224" t="s">
        <v>2009</v>
      </c>
      <c r="G224" t="s">
        <v>2046</v>
      </c>
      <c r="I224" t="str">
        <f t="shared" si="9"/>
        <v>#c27ba0</v>
      </c>
      <c r="J224" t="str">
        <f t="shared" si="10"/>
        <v>d043b17ef3b5433ae465f870bbaf05fd,#c27ba0,Tremellomycetes</v>
      </c>
    </row>
    <row r="225" spans="1:10" x14ac:dyDescent="0.25">
      <c r="A225" t="s">
        <v>1329</v>
      </c>
      <c r="B225" t="s">
        <v>1744</v>
      </c>
      <c r="C225" t="s">
        <v>1809</v>
      </c>
      <c r="D225" t="s">
        <v>1844</v>
      </c>
      <c r="E225" t="s">
        <v>1845</v>
      </c>
      <c r="F225" t="s">
        <v>2009</v>
      </c>
      <c r="G225" t="s">
        <v>1748</v>
      </c>
      <c r="I225" t="str">
        <f t="shared" si="9"/>
        <v>#c27ba0</v>
      </c>
      <c r="J225" t="str">
        <f t="shared" si="10"/>
        <v>b74b7108570927d1fcb3f0514a39f03e,#c27ba0,Tremellomycetes</v>
      </c>
    </row>
    <row r="226" spans="1:10" x14ac:dyDescent="0.25">
      <c r="A226" t="s">
        <v>1065</v>
      </c>
      <c r="B226" t="s">
        <v>1744</v>
      </c>
      <c r="C226" t="s">
        <v>1809</v>
      </c>
      <c r="D226" t="s">
        <v>1844</v>
      </c>
      <c r="I226" t="str">
        <f t="shared" si="9"/>
        <v>#c27ba0</v>
      </c>
      <c r="J226" t="str">
        <f t="shared" si="10"/>
        <v>a2c35ac361ac21b8ff2ee3dd6d3a9743,#c27ba0,Tremellomycetes</v>
      </c>
    </row>
    <row r="227" spans="1:10" x14ac:dyDescent="0.25">
      <c r="A227" t="s">
        <v>1286</v>
      </c>
      <c r="B227" t="s">
        <v>1744</v>
      </c>
      <c r="C227" t="s">
        <v>1809</v>
      </c>
      <c r="D227" t="s">
        <v>1875</v>
      </c>
      <c r="E227" t="s">
        <v>1876</v>
      </c>
      <c r="F227" t="s">
        <v>1877</v>
      </c>
      <c r="G227" t="s">
        <v>1917</v>
      </c>
      <c r="I227" t="str">
        <f t="shared" si="9"/>
        <v>#c27ba0</v>
      </c>
      <c r="J227" t="str">
        <f t="shared" si="10"/>
        <v>b889bccfb18967db187746f108d0661c,#c27ba0,Tremellomycetes</v>
      </c>
    </row>
    <row r="228" spans="1:10" x14ac:dyDescent="0.25">
      <c r="A228" t="s">
        <v>1135</v>
      </c>
      <c r="B228" t="s">
        <v>1744</v>
      </c>
      <c r="C228" t="s">
        <v>1809</v>
      </c>
      <c r="D228" t="s">
        <v>1844</v>
      </c>
      <c r="E228" t="s">
        <v>1845</v>
      </c>
      <c r="F228" t="s">
        <v>2009</v>
      </c>
      <c r="G228" t="s">
        <v>2050</v>
      </c>
      <c r="I228" t="str">
        <f t="shared" si="9"/>
        <v>#c27ba0</v>
      </c>
      <c r="J228" t="str">
        <f t="shared" si="10"/>
        <v>8e7f8fb59596f6085e90c3480735f00a,#c27ba0,Tremellomycetes</v>
      </c>
    </row>
    <row r="229" spans="1:10" x14ac:dyDescent="0.25">
      <c r="A229" t="s">
        <v>1278</v>
      </c>
      <c r="B229" t="s">
        <v>1744</v>
      </c>
      <c r="C229" t="s">
        <v>1809</v>
      </c>
      <c r="D229" t="s">
        <v>1844</v>
      </c>
      <c r="E229" t="s">
        <v>1845</v>
      </c>
      <c r="F229" t="s">
        <v>1846</v>
      </c>
      <c r="G229" t="s">
        <v>1887</v>
      </c>
      <c r="I229" t="str">
        <f t="shared" si="9"/>
        <v>#c27ba0</v>
      </c>
      <c r="J229" t="str">
        <f t="shared" si="10"/>
        <v>db3f3e4f2de5bf727a8bf2811e4ce29a,#c27ba0,Tremellomycetes</v>
      </c>
    </row>
    <row r="230" spans="1:10" x14ac:dyDescent="0.25">
      <c r="A230" t="s">
        <v>1385</v>
      </c>
      <c r="B230" t="s">
        <v>1744</v>
      </c>
      <c r="C230" t="s">
        <v>1809</v>
      </c>
      <c r="D230" t="s">
        <v>1844</v>
      </c>
      <c r="E230" t="s">
        <v>1845</v>
      </c>
      <c r="F230" t="s">
        <v>1846</v>
      </c>
      <c r="G230" t="s">
        <v>1974</v>
      </c>
      <c r="I230" t="str">
        <f t="shared" si="9"/>
        <v>#c27ba0</v>
      </c>
      <c r="J230" t="str">
        <f t="shared" si="10"/>
        <v>7e1b7648ae904f899ada5e066391f006,#c27ba0,Tremellomycetes</v>
      </c>
    </row>
    <row r="231" spans="1:10" x14ac:dyDescent="0.25">
      <c r="A231" t="s">
        <v>1122</v>
      </c>
      <c r="B231" t="s">
        <v>1815</v>
      </c>
      <c r="C231" t="s">
        <v>1729</v>
      </c>
      <c r="D231" t="s">
        <v>1729</v>
      </c>
      <c r="F231" t="s">
        <v>1935</v>
      </c>
      <c r="G231" t="s">
        <v>1936</v>
      </c>
      <c r="I231" t="str">
        <f t="shared" si="9"/>
        <v>#ffffff</v>
      </c>
      <c r="J231" t="str">
        <f t="shared" si="10"/>
        <v>954369da332d83577997eb8280ef643b,#ffffff,Unclassified</v>
      </c>
    </row>
    <row r="232" spans="1:10" x14ac:dyDescent="0.25">
      <c r="A232" t="s">
        <v>1352</v>
      </c>
      <c r="B232" t="s">
        <v>1744</v>
      </c>
      <c r="C232" t="s">
        <v>1729</v>
      </c>
      <c r="I232" t="str">
        <f t="shared" si="9"/>
        <v>#ffffff</v>
      </c>
      <c r="J232" t="str">
        <f t="shared" si="10"/>
        <v>6d276e10fcbc7f9570c1f873b127c607,#ffffff,Unclassified</v>
      </c>
    </row>
    <row r="233" spans="1:10" x14ac:dyDescent="0.25">
      <c r="A233" t="s">
        <v>1113</v>
      </c>
      <c r="C233" t="s">
        <v>1729</v>
      </c>
      <c r="I233" t="str">
        <f t="shared" si="9"/>
        <v>#ffffff</v>
      </c>
      <c r="J233" t="str">
        <f t="shared" si="10"/>
        <v>65f072859c79aa8092b730a684b76425,#ffffff,Unclassified</v>
      </c>
    </row>
    <row r="234" spans="1:10" x14ac:dyDescent="0.25">
      <c r="A234" t="s">
        <v>1294</v>
      </c>
      <c r="B234" t="s">
        <v>1815</v>
      </c>
      <c r="C234" t="s">
        <v>1729</v>
      </c>
      <c r="I234" t="str">
        <f t="shared" si="9"/>
        <v>#ffffff</v>
      </c>
      <c r="J234" t="str">
        <f t="shared" si="10"/>
        <v>1ebc8c91763fd623aabd57ec2948c68c,#ffffff,Unclassified</v>
      </c>
    </row>
    <row r="235" spans="1:10" x14ac:dyDescent="0.25">
      <c r="A235" t="s">
        <v>990</v>
      </c>
      <c r="B235" t="s">
        <v>1815</v>
      </c>
      <c r="C235" t="s">
        <v>1729</v>
      </c>
      <c r="I235" t="str">
        <f t="shared" si="9"/>
        <v>#ffffff</v>
      </c>
      <c r="J235" t="str">
        <f t="shared" si="10"/>
        <v>1959ee05d7da0815c5eef120a8cdb97c,#ffffff,Unclassified</v>
      </c>
    </row>
    <row r="236" spans="1:10" x14ac:dyDescent="0.25">
      <c r="A236" t="s">
        <v>998</v>
      </c>
      <c r="B236" t="s">
        <v>1744</v>
      </c>
      <c r="C236" t="s">
        <v>1828</v>
      </c>
      <c r="D236" t="s">
        <v>1888</v>
      </c>
      <c r="E236" t="s">
        <v>1889</v>
      </c>
      <c r="F236" t="s">
        <v>1890</v>
      </c>
      <c r="G236" t="s">
        <v>1891</v>
      </c>
      <c r="I236" t="str">
        <f t="shared" si="9"/>
        <v>#808000</v>
      </c>
      <c r="J236" t="str">
        <f t="shared" si="10"/>
        <v>86ae5287d51c0952090e216c7a5e4c15,#808000,Wallemiomycetes</v>
      </c>
    </row>
    <row r="237" spans="1:10" x14ac:dyDescent="0.25">
      <c r="A237" t="s">
        <v>1298</v>
      </c>
      <c r="B237" t="s">
        <v>1744</v>
      </c>
      <c r="C237" t="s">
        <v>1828</v>
      </c>
      <c r="D237" t="s">
        <v>1888</v>
      </c>
      <c r="E237" t="s">
        <v>1889</v>
      </c>
      <c r="F237" t="s">
        <v>1890</v>
      </c>
      <c r="G237" t="s">
        <v>1891</v>
      </c>
      <c r="I237" t="str">
        <f t="shared" si="9"/>
        <v>#808000</v>
      </c>
      <c r="J237" t="str">
        <f t="shared" si="10"/>
        <v>ac7db209e3bb15648a3570c0e9508fd7,#808000,Wallemiomycetes</v>
      </c>
    </row>
  </sheetData>
  <sortState xmlns:xlrd2="http://schemas.microsoft.com/office/spreadsheetml/2017/richdata2" ref="A2:J237">
    <sortCondition ref="C2:C23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25CB9-4DBC-1D46-AF57-8794992526AE}">
  <dimension ref="A1:G23"/>
  <sheetViews>
    <sheetView workbookViewId="0">
      <selection activeCell="F16" sqref="F2:F16"/>
    </sheetView>
  </sheetViews>
  <sheetFormatPr baseColWidth="10" defaultRowHeight="12.5" x14ac:dyDescent="0.25"/>
  <cols>
    <col min="1" max="1" width="125" customWidth="1"/>
    <col min="6" max="6" width="31.1796875" customWidth="1"/>
  </cols>
  <sheetData>
    <row r="1" spans="1:7" x14ac:dyDescent="0.25">
      <c r="A1" t="s">
        <v>1413</v>
      </c>
      <c r="B1" t="s">
        <v>1414</v>
      </c>
    </row>
    <row r="2" spans="1:7" x14ac:dyDescent="0.25">
      <c r="A2" t="s">
        <v>144</v>
      </c>
      <c r="B2" t="s">
        <v>145</v>
      </c>
      <c r="C2" t="s">
        <v>1415</v>
      </c>
      <c r="D2" t="s">
        <v>1416</v>
      </c>
      <c r="E2" t="s">
        <v>114</v>
      </c>
      <c r="F2" t="s">
        <v>1417</v>
      </c>
      <c r="G2" t="s">
        <v>125</v>
      </c>
    </row>
    <row r="3" spans="1:7" x14ac:dyDescent="0.25">
      <c r="A3" t="s">
        <v>144</v>
      </c>
      <c r="B3" t="s">
        <v>145</v>
      </c>
      <c r="C3" t="s">
        <v>1415</v>
      </c>
      <c r="D3" t="s">
        <v>1416</v>
      </c>
      <c r="E3" t="s">
        <v>114</v>
      </c>
      <c r="F3" t="s">
        <v>1418</v>
      </c>
      <c r="G3" t="s">
        <v>1419</v>
      </c>
    </row>
    <row r="4" spans="1:7" x14ac:dyDescent="0.25">
      <c r="A4" t="s">
        <v>144</v>
      </c>
      <c r="B4" t="s">
        <v>145</v>
      </c>
      <c r="C4" t="s">
        <v>1415</v>
      </c>
      <c r="D4" t="s">
        <v>1420</v>
      </c>
      <c r="E4" t="s">
        <v>102</v>
      </c>
      <c r="F4" t="s">
        <v>1421</v>
      </c>
      <c r="G4" t="s">
        <v>1422</v>
      </c>
    </row>
    <row r="5" spans="1:7" x14ac:dyDescent="0.25">
      <c r="A5" t="s">
        <v>144</v>
      </c>
      <c r="B5" t="s">
        <v>145</v>
      </c>
      <c r="C5" t="s">
        <v>1415</v>
      </c>
      <c r="D5" t="s">
        <v>1420</v>
      </c>
      <c r="E5" t="s">
        <v>110</v>
      </c>
      <c r="F5" t="s">
        <v>1423</v>
      </c>
      <c r="G5" t="s">
        <v>1424</v>
      </c>
    </row>
    <row r="6" spans="1:7" x14ac:dyDescent="0.25">
      <c r="A6" t="s">
        <v>144</v>
      </c>
      <c r="B6" t="s">
        <v>145</v>
      </c>
      <c r="C6" t="s">
        <v>146</v>
      </c>
      <c r="D6" t="s">
        <v>1425</v>
      </c>
      <c r="E6" t="s">
        <v>111</v>
      </c>
      <c r="F6" t="s">
        <v>1426</v>
      </c>
      <c r="G6" t="s">
        <v>1427</v>
      </c>
    </row>
    <row r="7" spans="1:7" x14ac:dyDescent="0.25">
      <c r="A7" t="s">
        <v>144</v>
      </c>
      <c r="B7" t="s">
        <v>145</v>
      </c>
      <c r="C7" t="s">
        <v>146</v>
      </c>
      <c r="D7" t="s">
        <v>1425</v>
      </c>
      <c r="E7" t="s">
        <v>111</v>
      </c>
      <c r="F7" t="s">
        <v>1428</v>
      </c>
      <c r="G7" t="s">
        <v>1429</v>
      </c>
    </row>
    <row r="8" spans="1:7" x14ac:dyDescent="0.25">
      <c r="A8" t="s">
        <v>144</v>
      </c>
      <c r="B8" t="s">
        <v>145</v>
      </c>
      <c r="C8" t="s">
        <v>146</v>
      </c>
      <c r="D8" t="s">
        <v>1425</v>
      </c>
      <c r="E8" t="s">
        <v>111</v>
      </c>
      <c r="F8" t="s">
        <v>1431</v>
      </c>
      <c r="G8" t="s">
        <v>1427</v>
      </c>
    </row>
    <row r="9" spans="1:7" x14ac:dyDescent="0.25">
      <c r="A9" t="s">
        <v>144</v>
      </c>
      <c r="B9" t="s">
        <v>145</v>
      </c>
      <c r="C9" t="s">
        <v>146</v>
      </c>
      <c r="D9" t="s">
        <v>1430</v>
      </c>
      <c r="E9" t="s">
        <v>113</v>
      </c>
      <c r="F9" t="s">
        <v>1435</v>
      </c>
      <c r="G9" t="s">
        <v>1432</v>
      </c>
    </row>
    <row r="10" spans="1:7" x14ac:dyDescent="0.25">
      <c r="A10" t="s">
        <v>144</v>
      </c>
      <c r="B10" t="s">
        <v>180</v>
      </c>
      <c r="C10" t="s">
        <v>1433</v>
      </c>
      <c r="D10" t="s">
        <v>1434</v>
      </c>
      <c r="E10" t="s">
        <v>119</v>
      </c>
      <c r="F10" t="s">
        <v>1437</v>
      </c>
      <c r="G10" t="s">
        <v>1436</v>
      </c>
    </row>
    <row r="11" spans="1:7" x14ac:dyDescent="0.25">
      <c r="A11" t="s">
        <v>144</v>
      </c>
      <c r="B11" t="s">
        <v>145</v>
      </c>
      <c r="C11" t="s">
        <v>146</v>
      </c>
      <c r="D11" t="s">
        <v>1430</v>
      </c>
      <c r="E11" t="s">
        <v>113</v>
      </c>
      <c r="F11" t="s">
        <v>1441</v>
      </c>
      <c r="G11" t="s">
        <v>1438</v>
      </c>
    </row>
    <row r="12" spans="1:7" x14ac:dyDescent="0.25">
      <c r="A12" t="s">
        <v>144</v>
      </c>
      <c r="B12" t="s">
        <v>180</v>
      </c>
      <c r="C12" t="s">
        <v>1439</v>
      </c>
      <c r="D12" t="s">
        <v>1440</v>
      </c>
      <c r="E12" t="s">
        <v>100</v>
      </c>
      <c r="F12" t="s">
        <v>1446</v>
      </c>
      <c r="G12" t="s">
        <v>1442</v>
      </c>
    </row>
    <row r="13" spans="1:7" x14ac:dyDescent="0.25">
      <c r="A13" t="s">
        <v>144</v>
      </c>
      <c r="B13" t="s">
        <v>145</v>
      </c>
      <c r="C13" t="s">
        <v>1415</v>
      </c>
      <c r="D13" t="s">
        <v>1420</v>
      </c>
      <c r="E13" t="s">
        <v>102</v>
      </c>
      <c r="F13" t="s">
        <v>1449</v>
      </c>
      <c r="G13" t="s">
        <v>1443</v>
      </c>
    </row>
    <row r="14" spans="1:7" x14ac:dyDescent="0.25">
      <c r="A14" t="s">
        <v>144</v>
      </c>
      <c r="B14" t="s">
        <v>145</v>
      </c>
      <c r="C14" t="s">
        <v>1444</v>
      </c>
      <c r="D14" t="s">
        <v>1445</v>
      </c>
      <c r="E14" t="s">
        <v>98</v>
      </c>
      <c r="F14" t="s">
        <v>1452</v>
      </c>
      <c r="G14" t="s">
        <v>1447</v>
      </c>
    </row>
    <row r="15" spans="1:7" x14ac:dyDescent="0.25">
      <c r="A15" t="s">
        <v>144</v>
      </c>
      <c r="B15" t="s">
        <v>145</v>
      </c>
      <c r="C15" t="s">
        <v>146</v>
      </c>
      <c r="D15" t="s">
        <v>1430</v>
      </c>
      <c r="E15" t="s">
        <v>113</v>
      </c>
      <c r="F15" t="s">
        <v>1454</v>
      </c>
      <c r="G15" t="s">
        <v>1432</v>
      </c>
    </row>
    <row r="16" spans="1:7" x14ac:dyDescent="0.25">
      <c r="A16" t="s">
        <v>144</v>
      </c>
      <c r="B16" t="s">
        <v>145</v>
      </c>
      <c r="C16" t="s">
        <v>1415</v>
      </c>
      <c r="D16" t="s">
        <v>1448</v>
      </c>
      <c r="E16" t="s">
        <v>99</v>
      </c>
      <c r="F16" t="s">
        <v>1457</v>
      </c>
      <c r="G16" t="s">
        <v>1450</v>
      </c>
    </row>
    <row r="17" spans="1:7" x14ac:dyDescent="0.25">
      <c r="A17" t="s">
        <v>144</v>
      </c>
      <c r="B17" t="s">
        <v>145</v>
      </c>
      <c r="C17" t="s">
        <v>1415</v>
      </c>
      <c r="D17" t="s">
        <v>1420</v>
      </c>
      <c r="E17" t="s">
        <v>102</v>
      </c>
      <c r="G17" t="s">
        <v>1451</v>
      </c>
    </row>
    <row r="18" spans="1:7" x14ac:dyDescent="0.25">
      <c r="A18" t="s">
        <v>144</v>
      </c>
      <c r="B18" t="s">
        <v>145</v>
      </c>
      <c r="C18" t="s">
        <v>146</v>
      </c>
      <c r="D18" t="s">
        <v>1425</v>
      </c>
      <c r="E18" t="s">
        <v>108</v>
      </c>
      <c r="G18" t="s">
        <v>1453</v>
      </c>
    </row>
    <row r="19" spans="1:7" x14ac:dyDescent="0.25">
      <c r="A19" t="s">
        <v>144</v>
      </c>
      <c r="B19" t="s">
        <v>145</v>
      </c>
      <c r="C19" t="s">
        <v>1444</v>
      </c>
      <c r="D19" t="s">
        <v>1445</v>
      </c>
      <c r="E19" t="s">
        <v>98</v>
      </c>
      <c r="G19" t="s">
        <v>1455</v>
      </c>
    </row>
    <row r="20" spans="1:7" x14ac:dyDescent="0.25">
      <c r="A20" t="s">
        <v>144</v>
      </c>
      <c r="B20" t="s">
        <v>145</v>
      </c>
      <c r="C20" t="s">
        <v>1444</v>
      </c>
      <c r="D20" t="s">
        <v>1445</v>
      </c>
      <c r="E20" t="s">
        <v>98</v>
      </c>
      <c r="G20" t="s">
        <v>1456</v>
      </c>
    </row>
    <row r="21" spans="1:7" x14ac:dyDescent="0.25">
      <c r="A21" t="s">
        <v>144</v>
      </c>
      <c r="B21" t="s">
        <v>145</v>
      </c>
      <c r="C21" t="s">
        <v>146</v>
      </c>
      <c r="D21" t="s">
        <v>1430</v>
      </c>
      <c r="E21" t="s">
        <v>113</v>
      </c>
      <c r="G21" t="s">
        <v>1458</v>
      </c>
    </row>
    <row r="22" spans="1:7" x14ac:dyDescent="0.25">
      <c r="A22" t="s">
        <v>144</v>
      </c>
      <c r="B22" t="s">
        <v>145</v>
      </c>
      <c r="C22" t="s">
        <v>1444</v>
      </c>
      <c r="D22" t="s">
        <v>1445</v>
      </c>
      <c r="E22" t="s">
        <v>98</v>
      </c>
      <c r="G22" t="s">
        <v>1456</v>
      </c>
    </row>
    <row r="23" spans="1:7" x14ac:dyDescent="0.25">
      <c r="A23" t="s">
        <v>144</v>
      </c>
      <c r="B23" t="s">
        <v>145</v>
      </c>
      <c r="C23" t="s">
        <v>1444</v>
      </c>
      <c r="D23" t="s">
        <v>1445</v>
      </c>
      <c r="E23" t="s">
        <v>98</v>
      </c>
      <c r="G23" t="s">
        <v>1459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0"/>
  <sheetViews>
    <sheetView zoomScaleNormal="100" workbookViewId="0">
      <pane ySplit="1" topLeftCell="A2" activePane="bottomLeft" state="frozen"/>
      <selection pane="bottomLeft" activeCell="G27" sqref="G27"/>
    </sheetView>
  </sheetViews>
  <sheetFormatPr baseColWidth="10" defaultColWidth="11.453125" defaultRowHeight="12.5" x14ac:dyDescent="0.25"/>
  <cols>
    <col min="1" max="1" width="31.36328125" style="1" customWidth="1"/>
    <col min="2" max="3" width="11.453125" style="1"/>
    <col min="4" max="4" width="30.81640625" style="1" customWidth="1"/>
    <col min="5" max="6" width="11.453125" style="1"/>
  </cols>
  <sheetData>
    <row r="1" spans="1:1024" s="5" customFormat="1" ht="13" x14ac:dyDescent="0.3">
      <c r="A1" s="2" t="s">
        <v>94</v>
      </c>
      <c r="B1" s="4">
        <v>1838</v>
      </c>
      <c r="C1" s="4" t="s">
        <v>95</v>
      </c>
      <c r="D1" s="2" t="s">
        <v>96</v>
      </c>
      <c r="E1" s="4">
        <v>797</v>
      </c>
      <c r="F1" s="4" t="s">
        <v>95</v>
      </c>
      <c r="AMI1"/>
      <c r="AMJ1"/>
    </row>
    <row r="2" spans="1:1024" ht="13" x14ac:dyDescent="0.3">
      <c r="A2" s="1" t="s">
        <v>97</v>
      </c>
      <c r="B2" s="1">
        <v>3</v>
      </c>
      <c r="C2" s="1">
        <v>0.16322089227421099</v>
      </c>
      <c r="D2" s="4"/>
      <c r="E2" s="4"/>
      <c r="F2" s="4"/>
    </row>
    <row r="3" spans="1:1024" ht="13" x14ac:dyDescent="0.3">
      <c r="A3" s="4"/>
      <c r="B3" s="4"/>
      <c r="C3" s="4"/>
      <c r="D3" s="1" t="s">
        <v>98</v>
      </c>
      <c r="E3" s="1">
        <v>38</v>
      </c>
      <c r="F3" s="1">
        <v>4.7678795483061496</v>
      </c>
    </row>
    <row r="4" spans="1:1024" ht="13" x14ac:dyDescent="0.3">
      <c r="A4" s="4"/>
      <c r="B4" s="4"/>
      <c r="C4" s="4"/>
      <c r="D4" s="1" t="s">
        <v>99</v>
      </c>
      <c r="E4" s="1">
        <v>11</v>
      </c>
      <c r="F4" s="1">
        <v>1.3801756587202001</v>
      </c>
    </row>
    <row r="5" spans="1:1024" x14ac:dyDescent="0.25">
      <c r="D5" s="1" t="s">
        <v>100</v>
      </c>
      <c r="E5" s="1">
        <v>40</v>
      </c>
      <c r="F5" s="1">
        <v>5.0188205771643704</v>
      </c>
    </row>
    <row r="6" spans="1:1024" x14ac:dyDescent="0.25">
      <c r="A6" s="1" t="s">
        <v>101</v>
      </c>
      <c r="B6" s="1">
        <v>10</v>
      </c>
      <c r="C6" s="1">
        <v>0.54406964091403698</v>
      </c>
    </row>
    <row r="7" spans="1:1024" x14ac:dyDescent="0.25">
      <c r="D7" s="1" t="s">
        <v>102</v>
      </c>
      <c r="E7" s="1">
        <v>121</v>
      </c>
      <c r="F7" s="1">
        <v>15.1819322459222</v>
      </c>
    </row>
    <row r="8" spans="1:1024" x14ac:dyDescent="0.25">
      <c r="A8" s="1" t="s">
        <v>103</v>
      </c>
      <c r="B8" s="1">
        <v>54</v>
      </c>
      <c r="C8" s="1">
        <v>2.9379760609357999</v>
      </c>
    </row>
    <row r="9" spans="1:1024" x14ac:dyDescent="0.25">
      <c r="A9" s="1" t="s">
        <v>104</v>
      </c>
      <c r="B9" s="1">
        <v>42</v>
      </c>
      <c r="C9" s="1">
        <v>2.2850924918389599</v>
      </c>
    </row>
    <row r="10" spans="1:1024" x14ac:dyDescent="0.25">
      <c r="A10" s="1" t="s">
        <v>105</v>
      </c>
      <c r="B10" s="1">
        <v>23</v>
      </c>
      <c r="C10" s="1">
        <v>1.2513601741022899</v>
      </c>
    </row>
    <row r="11" spans="1:1024" x14ac:dyDescent="0.25">
      <c r="A11" s="1" t="s">
        <v>106</v>
      </c>
      <c r="B11" s="1">
        <v>4</v>
      </c>
      <c r="C11" s="1">
        <v>0.21762785636561499</v>
      </c>
    </row>
    <row r="12" spans="1:1024" x14ac:dyDescent="0.25">
      <c r="A12" s="1" t="s">
        <v>107</v>
      </c>
      <c r="B12" s="1">
        <v>38</v>
      </c>
      <c r="C12" s="1">
        <v>2.0674646354733399</v>
      </c>
    </row>
    <row r="13" spans="1:1024" x14ac:dyDescent="0.25">
      <c r="D13" s="1" t="s">
        <v>108</v>
      </c>
      <c r="E13" s="1">
        <v>7</v>
      </c>
      <c r="F13" s="1">
        <v>0.87829360100376397</v>
      </c>
    </row>
    <row r="14" spans="1:1024" x14ac:dyDescent="0.25">
      <c r="A14" s="1" t="s">
        <v>109</v>
      </c>
      <c r="B14" s="1">
        <v>19</v>
      </c>
      <c r="C14" s="1">
        <v>1.03373231773667</v>
      </c>
    </row>
    <row r="15" spans="1:1024" x14ac:dyDescent="0.25">
      <c r="A15" s="1" t="s">
        <v>110</v>
      </c>
      <c r="B15" s="1">
        <v>42</v>
      </c>
      <c r="C15" s="1">
        <v>2.2850924918389599</v>
      </c>
      <c r="D15" s="1" t="s">
        <v>110</v>
      </c>
      <c r="E15" s="1">
        <v>67</v>
      </c>
      <c r="F15" s="1">
        <v>8.4065244667503105</v>
      </c>
    </row>
    <row r="16" spans="1:1024" x14ac:dyDescent="0.25">
      <c r="A16" s="1" t="s">
        <v>111</v>
      </c>
      <c r="B16" s="1">
        <v>56</v>
      </c>
      <c r="C16" s="1">
        <v>3.0467899891186101</v>
      </c>
      <c r="D16" s="1" t="s">
        <v>111</v>
      </c>
      <c r="E16" s="1">
        <v>188</v>
      </c>
      <c r="F16" s="1">
        <v>23.5884567126725</v>
      </c>
    </row>
    <row r="17" spans="1:6" x14ac:dyDescent="0.25">
      <c r="A17" s="1" t="s">
        <v>112</v>
      </c>
      <c r="B17" s="1">
        <v>31</v>
      </c>
      <c r="C17" s="1">
        <v>1.6866158868335099</v>
      </c>
    </row>
    <row r="18" spans="1:6" x14ac:dyDescent="0.25">
      <c r="A18" s="1" t="s">
        <v>113</v>
      </c>
      <c r="B18" s="1">
        <v>32</v>
      </c>
      <c r="C18" s="1">
        <v>1.7410228509249199</v>
      </c>
      <c r="D18" s="1" t="s">
        <v>113</v>
      </c>
      <c r="E18" s="1">
        <v>112</v>
      </c>
      <c r="F18" s="1">
        <v>14.0526976160602</v>
      </c>
    </row>
    <row r="19" spans="1:6" x14ac:dyDescent="0.25">
      <c r="A19" s="1" t="s">
        <v>114</v>
      </c>
      <c r="B19" s="1">
        <v>142</v>
      </c>
      <c r="C19" s="1">
        <v>7.7257889009793299</v>
      </c>
      <c r="D19" s="1" t="s">
        <v>114</v>
      </c>
      <c r="E19" s="1">
        <v>167</v>
      </c>
      <c r="F19" s="1">
        <v>20.9535759096612</v>
      </c>
    </row>
    <row r="20" spans="1:6" x14ac:dyDescent="0.25">
      <c r="A20" s="1" t="s">
        <v>115</v>
      </c>
      <c r="B20" s="1">
        <v>147</v>
      </c>
      <c r="C20" s="1">
        <v>7.9978237214363403</v>
      </c>
    </row>
    <row r="21" spans="1:6" x14ac:dyDescent="0.25">
      <c r="A21" s="1" t="s">
        <v>116</v>
      </c>
      <c r="B21" s="1">
        <v>68</v>
      </c>
      <c r="C21" s="1">
        <v>3.6996735582154501</v>
      </c>
    </row>
    <row r="22" spans="1:6" x14ac:dyDescent="0.25">
      <c r="A22" s="1" t="s">
        <v>117</v>
      </c>
      <c r="B22" s="1">
        <v>2</v>
      </c>
      <c r="C22" s="1">
        <v>0.108813928182807</v>
      </c>
    </row>
    <row r="23" spans="1:6" x14ac:dyDescent="0.25">
      <c r="A23" s="1" t="s">
        <v>118</v>
      </c>
      <c r="B23" s="1">
        <v>12</v>
      </c>
      <c r="C23" s="1">
        <v>0.65288356909684397</v>
      </c>
    </row>
    <row r="24" spans="1:6" x14ac:dyDescent="0.25">
      <c r="D24" s="1" t="s">
        <v>119</v>
      </c>
      <c r="E24" s="1">
        <v>46</v>
      </c>
      <c r="F24" s="1">
        <v>5.7716436637390203</v>
      </c>
    </row>
    <row r="25" spans="1:6" x14ac:dyDescent="0.25">
      <c r="A25" s="1" t="s">
        <v>120</v>
      </c>
      <c r="B25" s="1">
        <v>52</v>
      </c>
      <c r="C25" s="1">
        <v>2.8291621327529901</v>
      </c>
    </row>
    <row r="26" spans="1:6" x14ac:dyDescent="0.25">
      <c r="A26" s="1" t="s">
        <v>121</v>
      </c>
      <c r="B26" s="1">
        <v>23</v>
      </c>
      <c r="C26" s="1">
        <v>1.2513601741022899</v>
      </c>
    </row>
    <row r="27" spans="1:6" x14ac:dyDescent="0.25">
      <c r="A27" s="1" t="s">
        <v>122</v>
      </c>
      <c r="B27" s="1">
        <v>12</v>
      </c>
      <c r="C27" s="1">
        <v>0.65288356909684397</v>
      </c>
    </row>
    <row r="28" spans="1:6" x14ac:dyDescent="0.25">
      <c r="A28" s="1" t="s">
        <v>123</v>
      </c>
      <c r="B28" s="1">
        <v>38</v>
      </c>
      <c r="C28" s="1">
        <v>2.0674646354733399</v>
      </c>
    </row>
    <row r="29" spans="1:6" x14ac:dyDescent="0.25">
      <c r="A29" s="1" t="s">
        <v>124</v>
      </c>
      <c r="B29" s="1">
        <v>18</v>
      </c>
      <c r="C29" s="1">
        <v>0.97932535364526696</v>
      </c>
    </row>
    <row r="30" spans="1:6" x14ac:dyDescent="0.25">
      <c r="A30" s="1" t="s">
        <v>125</v>
      </c>
      <c r="B30" s="1">
        <v>970</v>
      </c>
      <c r="C30" s="1">
        <v>52.774755168661599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4"/>
  <sheetViews>
    <sheetView zoomScaleNormal="100" workbookViewId="0">
      <pane ySplit="1" topLeftCell="A11" activePane="bottomLeft" state="frozen"/>
      <selection pane="bottomLeft" activeCell="D4" sqref="D4"/>
    </sheetView>
  </sheetViews>
  <sheetFormatPr baseColWidth="10" defaultColWidth="11.453125" defaultRowHeight="12.5" x14ac:dyDescent="0.25"/>
  <cols>
    <col min="1" max="1" width="26.36328125" customWidth="1"/>
    <col min="2" max="2" width="9.453125" customWidth="1"/>
    <col min="3" max="3" width="16.453125" customWidth="1"/>
    <col min="4" max="4" width="30.81640625" customWidth="1"/>
    <col min="5" max="5" width="14.453125" customWidth="1"/>
    <col min="6" max="7" width="16.453125" customWidth="1"/>
    <col min="8" max="8" width="10.36328125" customWidth="1"/>
  </cols>
  <sheetData>
    <row r="1" spans="1:8" s="5" customFormat="1" ht="13" x14ac:dyDescent="0.3">
      <c r="A1" s="2" t="s">
        <v>126</v>
      </c>
      <c r="B1" s="4">
        <v>65</v>
      </c>
      <c r="C1" s="4" t="s">
        <v>95</v>
      </c>
      <c r="D1" s="2" t="s">
        <v>127</v>
      </c>
      <c r="E1" s="4">
        <v>129</v>
      </c>
      <c r="F1" s="4" t="s">
        <v>95</v>
      </c>
    </row>
    <row r="2" spans="1:8" x14ac:dyDescent="0.25">
      <c r="A2" s="1" t="s">
        <v>98</v>
      </c>
      <c r="B2" s="1">
        <v>6</v>
      </c>
      <c r="C2" s="6">
        <v>9.2307692307692299</v>
      </c>
      <c r="D2" s="1" t="s">
        <v>98</v>
      </c>
      <c r="E2" s="1">
        <v>12</v>
      </c>
      <c r="F2" s="6">
        <v>9.3023255813953494</v>
      </c>
    </row>
    <row r="3" spans="1:8" x14ac:dyDescent="0.25">
      <c r="A3" s="1" t="s">
        <v>99</v>
      </c>
      <c r="B3" s="1">
        <v>1</v>
      </c>
      <c r="C3" s="6">
        <v>1.5384615384615401</v>
      </c>
      <c r="D3" s="1" t="s">
        <v>99</v>
      </c>
      <c r="E3" s="1">
        <v>2</v>
      </c>
      <c r="F3" s="6">
        <v>1.55038759689923</v>
      </c>
    </row>
    <row r="4" spans="1:8" x14ac:dyDescent="0.25">
      <c r="A4" s="1" t="s">
        <v>100</v>
      </c>
      <c r="B4" s="1">
        <v>10</v>
      </c>
      <c r="C4" s="6">
        <v>15.384615384615399</v>
      </c>
      <c r="D4" s="1" t="s">
        <v>100</v>
      </c>
      <c r="E4" s="1">
        <v>1</v>
      </c>
      <c r="F4" s="6">
        <v>0.775193798449612</v>
      </c>
    </row>
    <row r="5" spans="1:8" x14ac:dyDescent="0.25">
      <c r="A5" s="1" t="s">
        <v>102</v>
      </c>
      <c r="B5" s="1">
        <v>12</v>
      </c>
      <c r="C5" s="6">
        <v>18.461538461538499</v>
      </c>
      <c r="D5" s="1" t="s">
        <v>102</v>
      </c>
      <c r="E5" s="1">
        <v>50</v>
      </c>
      <c r="F5" s="6">
        <v>38.759689922480597</v>
      </c>
    </row>
    <row r="6" spans="1:8" x14ac:dyDescent="0.25">
      <c r="A6" s="1"/>
      <c r="B6" s="1"/>
      <c r="C6" s="6"/>
      <c r="D6" s="1" t="s">
        <v>108</v>
      </c>
      <c r="E6" s="1">
        <v>1</v>
      </c>
      <c r="F6" s="6">
        <v>0.775193798449612</v>
      </c>
    </row>
    <row r="7" spans="1:8" x14ac:dyDescent="0.25">
      <c r="A7" s="1"/>
      <c r="B7" s="1"/>
      <c r="C7" s="6"/>
      <c r="D7" s="1" t="s">
        <v>110</v>
      </c>
      <c r="E7" s="1">
        <v>1</v>
      </c>
      <c r="F7" s="6">
        <v>0.775193798449612</v>
      </c>
    </row>
    <row r="8" spans="1:8" x14ac:dyDescent="0.25">
      <c r="A8" s="1" t="s">
        <v>106</v>
      </c>
      <c r="B8" s="1">
        <v>4</v>
      </c>
      <c r="C8" s="6">
        <v>6.1538461538461497</v>
      </c>
      <c r="D8" s="1"/>
      <c r="E8" s="1"/>
      <c r="F8" s="6"/>
    </row>
    <row r="9" spans="1:8" x14ac:dyDescent="0.25">
      <c r="A9" s="1" t="s">
        <v>111</v>
      </c>
      <c r="B9" s="1">
        <v>3</v>
      </c>
      <c r="C9" s="6">
        <v>4.6153846153846203</v>
      </c>
      <c r="D9" s="1" t="s">
        <v>111</v>
      </c>
      <c r="E9" s="1">
        <v>7</v>
      </c>
      <c r="F9" s="6">
        <v>5.4263565891472902</v>
      </c>
    </row>
    <row r="10" spans="1:8" x14ac:dyDescent="0.25">
      <c r="A10" s="1" t="s">
        <v>113</v>
      </c>
      <c r="B10" s="1">
        <v>5</v>
      </c>
      <c r="C10" s="6">
        <v>7.6923076923076898</v>
      </c>
      <c r="D10" s="1" t="s">
        <v>113</v>
      </c>
      <c r="E10" s="1">
        <v>10</v>
      </c>
      <c r="F10" s="6">
        <v>7.75193798449612</v>
      </c>
    </row>
    <row r="11" spans="1:8" x14ac:dyDescent="0.25">
      <c r="A11" s="1" t="s">
        <v>114</v>
      </c>
      <c r="B11" s="1">
        <v>12</v>
      </c>
      <c r="C11" s="6">
        <v>18.461538461538499</v>
      </c>
      <c r="D11" s="1" t="s">
        <v>114</v>
      </c>
      <c r="E11" s="1">
        <v>44</v>
      </c>
      <c r="F11" s="6">
        <v>34.1085271317829</v>
      </c>
    </row>
    <row r="12" spans="1:8" x14ac:dyDescent="0.25">
      <c r="A12" s="1" t="s">
        <v>128</v>
      </c>
      <c r="B12" s="1">
        <v>1</v>
      </c>
      <c r="C12" s="6">
        <v>1.5384615384615401</v>
      </c>
    </row>
    <row r="13" spans="1:8" x14ac:dyDescent="0.25">
      <c r="A13" s="1" t="s">
        <v>116</v>
      </c>
      <c r="B13" s="1">
        <v>1</v>
      </c>
      <c r="C13" s="6">
        <v>1.5384615384615401</v>
      </c>
      <c r="D13" s="1"/>
      <c r="E13" s="1"/>
      <c r="F13" s="1"/>
    </row>
    <row r="14" spans="1:8" x14ac:dyDescent="0.25">
      <c r="A14" s="1" t="s">
        <v>119</v>
      </c>
      <c r="B14" s="1">
        <v>1</v>
      </c>
      <c r="C14" s="6">
        <v>1.5384615384615401</v>
      </c>
      <c r="D14" s="1" t="s">
        <v>119</v>
      </c>
      <c r="E14" s="1">
        <v>1</v>
      </c>
      <c r="F14" s="6">
        <v>0.775193798449612</v>
      </c>
    </row>
    <row r="15" spans="1:8" x14ac:dyDescent="0.25">
      <c r="A15" s="1" t="s">
        <v>129</v>
      </c>
      <c r="B15" s="1">
        <v>3</v>
      </c>
      <c r="C15" s="6">
        <v>4.6153846153846203</v>
      </c>
      <c r="D15" s="1"/>
      <c r="E15" s="1"/>
      <c r="F15" s="1"/>
    </row>
    <row r="16" spans="1:8" x14ac:dyDescent="0.25">
      <c r="A16" s="1" t="s">
        <v>125</v>
      </c>
      <c r="B16" s="1">
        <v>6</v>
      </c>
      <c r="C16" s="6">
        <v>9.2307692307692299</v>
      </c>
      <c r="G16" s="1"/>
      <c r="H16" s="1"/>
    </row>
    <row r="17" spans="1:8" s="5" customFormat="1" ht="13" x14ac:dyDescent="0.3">
      <c r="A17"/>
      <c r="B17"/>
      <c r="C17"/>
      <c r="D17" s="1"/>
      <c r="E17" s="1"/>
      <c r="F17" s="1"/>
      <c r="G17" s="4" t="s">
        <v>130</v>
      </c>
      <c r="H17" s="4" t="s">
        <v>131</v>
      </c>
    </row>
    <row r="18" spans="1:8" ht="13" x14ac:dyDescent="0.3">
      <c r="A18" s="7" t="s">
        <v>132</v>
      </c>
      <c r="B18" s="1"/>
      <c r="C18" s="1"/>
      <c r="D18" s="4" t="s">
        <v>133</v>
      </c>
      <c r="E18" s="4" t="s">
        <v>134</v>
      </c>
      <c r="F18" s="4" t="s">
        <v>135</v>
      </c>
      <c r="G18" s="1" t="s">
        <v>136</v>
      </c>
      <c r="H18" s="1" t="s">
        <v>137</v>
      </c>
    </row>
    <row r="19" spans="1:8" ht="13" x14ac:dyDescent="0.3">
      <c r="A19" s="4" t="s">
        <v>0</v>
      </c>
      <c r="B19" s="4" t="s">
        <v>138</v>
      </c>
      <c r="C19" s="4" t="s">
        <v>139</v>
      </c>
      <c r="D19" s="1" t="s">
        <v>140</v>
      </c>
      <c r="E19" s="1" t="s">
        <v>141</v>
      </c>
      <c r="F19" s="1" t="s">
        <v>116</v>
      </c>
      <c r="G19" s="1" t="s">
        <v>142</v>
      </c>
      <c r="H19" s="1" t="s">
        <v>125</v>
      </c>
    </row>
    <row r="20" spans="1:8" x14ac:dyDescent="0.25">
      <c r="A20" s="1" t="s">
        <v>143</v>
      </c>
      <c r="B20" s="1" t="s">
        <v>144</v>
      </c>
      <c r="C20" s="1" t="s">
        <v>145</v>
      </c>
      <c r="D20" s="1" t="s">
        <v>146</v>
      </c>
      <c r="E20" s="1" t="s">
        <v>147</v>
      </c>
      <c r="F20" s="1" t="s">
        <v>129</v>
      </c>
      <c r="G20" s="1" t="s">
        <v>142</v>
      </c>
      <c r="H20" s="1" t="s">
        <v>125</v>
      </c>
    </row>
    <row r="21" spans="1:8" x14ac:dyDescent="0.25">
      <c r="A21" s="1" t="s">
        <v>148</v>
      </c>
      <c r="B21" s="1" t="s">
        <v>144</v>
      </c>
      <c r="C21" s="1" t="s">
        <v>145</v>
      </c>
      <c r="D21" s="1" t="s">
        <v>146</v>
      </c>
      <c r="E21" s="1" t="s">
        <v>147</v>
      </c>
      <c r="F21" s="1" t="s">
        <v>129</v>
      </c>
      <c r="G21" s="1" t="s">
        <v>142</v>
      </c>
      <c r="H21" s="1" t="s">
        <v>125</v>
      </c>
    </row>
    <row r="22" spans="1:8" x14ac:dyDescent="0.25">
      <c r="A22" s="1" t="s">
        <v>149</v>
      </c>
      <c r="B22" s="1" t="s">
        <v>144</v>
      </c>
      <c r="C22" s="1" t="s">
        <v>145</v>
      </c>
      <c r="D22" s="1" t="s">
        <v>146</v>
      </c>
      <c r="E22" s="1" t="s">
        <v>147</v>
      </c>
      <c r="F22" s="1" t="s">
        <v>129</v>
      </c>
      <c r="G22" s="1" t="s">
        <v>142</v>
      </c>
      <c r="H22" s="1" t="s">
        <v>125</v>
      </c>
    </row>
    <row r="23" spans="1:8" x14ac:dyDescent="0.25">
      <c r="A23" s="1" t="s">
        <v>150</v>
      </c>
      <c r="B23" s="1" t="s">
        <v>144</v>
      </c>
      <c r="C23" s="1" t="s">
        <v>145</v>
      </c>
      <c r="D23" s="1" t="s">
        <v>146</v>
      </c>
      <c r="E23" s="1" t="s">
        <v>147</v>
      </c>
      <c r="F23" s="1" t="s">
        <v>129</v>
      </c>
      <c r="G23" s="1" t="s">
        <v>142</v>
      </c>
      <c r="H23" s="1" t="s">
        <v>125</v>
      </c>
    </row>
    <row r="24" spans="1:8" x14ac:dyDescent="0.25">
      <c r="A24" s="1" t="s">
        <v>151</v>
      </c>
      <c r="B24" s="1" t="s">
        <v>144</v>
      </c>
      <c r="C24" s="1" t="s">
        <v>145</v>
      </c>
      <c r="D24" s="1" t="s">
        <v>146</v>
      </c>
      <c r="E24" s="1" t="s">
        <v>147</v>
      </c>
      <c r="F24" s="1" t="s">
        <v>129</v>
      </c>
      <c r="G24" s="1" t="s">
        <v>142</v>
      </c>
      <c r="H24" s="1" t="s">
        <v>125</v>
      </c>
    </row>
    <row r="25" spans="1:8" x14ac:dyDescent="0.25">
      <c r="A25" s="1" t="s">
        <v>152</v>
      </c>
      <c r="B25" s="1" t="s">
        <v>144</v>
      </c>
      <c r="C25" s="1" t="s">
        <v>145</v>
      </c>
      <c r="D25" s="1" t="s">
        <v>146</v>
      </c>
      <c r="E25" s="1" t="s">
        <v>147</v>
      </c>
      <c r="F25" s="1" t="s">
        <v>129</v>
      </c>
      <c r="G25" s="1" t="s">
        <v>142</v>
      </c>
      <c r="H25" s="1" t="s">
        <v>125</v>
      </c>
    </row>
    <row r="26" spans="1:8" x14ac:dyDescent="0.25">
      <c r="A26" s="1" t="s">
        <v>153</v>
      </c>
      <c r="B26" s="1" t="s">
        <v>144</v>
      </c>
      <c r="C26" s="1" t="s">
        <v>145</v>
      </c>
      <c r="D26" s="1" t="s">
        <v>146</v>
      </c>
      <c r="E26" s="1" t="s">
        <v>147</v>
      </c>
      <c r="F26" s="1" t="s">
        <v>129</v>
      </c>
      <c r="G26" s="1" t="s">
        <v>142</v>
      </c>
      <c r="H26" s="1" t="s">
        <v>125</v>
      </c>
    </row>
    <row r="27" spans="1:8" x14ac:dyDescent="0.25">
      <c r="A27" s="1" t="s">
        <v>154</v>
      </c>
      <c r="B27" s="1" t="s">
        <v>144</v>
      </c>
      <c r="C27" s="1" t="s">
        <v>145</v>
      </c>
      <c r="D27" s="1" t="s">
        <v>146</v>
      </c>
      <c r="E27" s="1" t="s">
        <v>147</v>
      </c>
      <c r="F27" s="1" t="s">
        <v>129</v>
      </c>
      <c r="G27" s="1" t="s">
        <v>142</v>
      </c>
      <c r="H27" s="1" t="s">
        <v>125</v>
      </c>
    </row>
    <row r="28" spans="1:8" x14ac:dyDescent="0.25">
      <c r="A28" s="1" t="s">
        <v>155</v>
      </c>
      <c r="B28" s="1" t="s">
        <v>144</v>
      </c>
      <c r="C28" s="1" t="s">
        <v>145</v>
      </c>
      <c r="D28" s="1" t="s">
        <v>146</v>
      </c>
      <c r="E28" s="1" t="s">
        <v>147</v>
      </c>
      <c r="F28" s="1" t="s">
        <v>129</v>
      </c>
      <c r="G28" s="1" t="s">
        <v>142</v>
      </c>
      <c r="H28" s="1" t="s">
        <v>125</v>
      </c>
    </row>
    <row r="29" spans="1:8" x14ac:dyDescent="0.25">
      <c r="A29" s="1" t="s">
        <v>156</v>
      </c>
      <c r="B29" s="1" t="s">
        <v>144</v>
      </c>
      <c r="C29" s="1" t="s">
        <v>145</v>
      </c>
      <c r="D29" s="1" t="s">
        <v>146</v>
      </c>
      <c r="E29" s="1" t="s">
        <v>147</v>
      </c>
      <c r="F29" s="1" t="s">
        <v>129</v>
      </c>
      <c r="G29" s="1" t="s">
        <v>142</v>
      </c>
      <c r="H29" s="1" t="s">
        <v>125</v>
      </c>
    </row>
    <row r="30" spans="1:8" x14ac:dyDescent="0.25">
      <c r="A30" s="1" t="s">
        <v>157</v>
      </c>
      <c r="B30" s="1" t="s">
        <v>144</v>
      </c>
      <c r="C30" s="1" t="s">
        <v>145</v>
      </c>
      <c r="D30" s="1" t="s">
        <v>146</v>
      </c>
      <c r="E30" s="1" t="s">
        <v>147</v>
      </c>
      <c r="F30" s="1" t="s">
        <v>129</v>
      </c>
      <c r="G30" s="1" t="s">
        <v>142</v>
      </c>
      <c r="H30" s="1" t="s">
        <v>125</v>
      </c>
    </row>
    <row r="31" spans="1:8" x14ac:dyDescent="0.25">
      <c r="A31" s="1" t="s">
        <v>158</v>
      </c>
      <c r="B31" s="1" t="s">
        <v>144</v>
      </c>
      <c r="C31" s="1" t="s">
        <v>145</v>
      </c>
      <c r="D31" s="1" t="s">
        <v>146</v>
      </c>
      <c r="E31" s="1" t="s">
        <v>147</v>
      </c>
      <c r="F31" s="1" t="s">
        <v>129</v>
      </c>
      <c r="G31" s="1" t="s">
        <v>142</v>
      </c>
      <c r="H31" s="1" t="s">
        <v>125</v>
      </c>
    </row>
    <row r="32" spans="1:8" x14ac:dyDescent="0.25">
      <c r="A32" s="1" t="s">
        <v>159</v>
      </c>
      <c r="B32" s="1" t="s">
        <v>144</v>
      </c>
      <c r="C32" s="1" t="s">
        <v>145</v>
      </c>
      <c r="D32" s="1" t="s">
        <v>146</v>
      </c>
      <c r="E32" s="1" t="s">
        <v>147</v>
      </c>
      <c r="F32" s="1" t="s">
        <v>129</v>
      </c>
      <c r="G32" s="1" t="s">
        <v>142</v>
      </c>
      <c r="H32" s="1" t="s">
        <v>125</v>
      </c>
    </row>
    <row r="33" spans="1:8" x14ac:dyDescent="0.25">
      <c r="A33" s="1" t="s">
        <v>160</v>
      </c>
      <c r="B33" s="1" t="s">
        <v>144</v>
      </c>
      <c r="C33" s="1" t="s">
        <v>145</v>
      </c>
      <c r="D33" s="1" t="s">
        <v>146</v>
      </c>
      <c r="E33" s="1" t="s">
        <v>147</v>
      </c>
      <c r="F33" s="1" t="s">
        <v>129</v>
      </c>
      <c r="G33" s="1" t="s">
        <v>142</v>
      </c>
      <c r="H33" s="1" t="s">
        <v>125</v>
      </c>
    </row>
    <row r="34" spans="1:8" x14ac:dyDescent="0.25">
      <c r="A34" s="1" t="s">
        <v>161</v>
      </c>
      <c r="B34" s="1" t="s">
        <v>144</v>
      </c>
      <c r="C34" s="1" t="s">
        <v>145</v>
      </c>
      <c r="D34" s="1" t="s">
        <v>146</v>
      </c>
      <c r="E34" s="1" t="s">
        <v>147</v>
      </c>
      <c r="F34" s="1" t="s">
        <v>129</v>
      </c>
      <c r="G34" s="1" t="s">
        <v>142</v>
      </c>
      <c r="H34" s="1" t="s">
        <v>125</v>
      </c>
    </row>
    <row r="35" spans="1:8" x14ac:dyDescent="0.25">
      <c r="A35" s="1" t="s">
        <v>162</v>
      </c>
      <c r="B35" s="1" t="s">
        <v>144</v>
      </c>
      <c r="C35" s="1" t="s">
        <v>145</v>
      </c>
      <c r="D35" s="1" t="s">
        <v>146</v>
      </c>
      <c r="E35" s="1" t="s">
        <v>147</v>
      </c>
      <c r="F35" s="1" t="s">
        <v>129</v>
      </c>
      <c r="G35" s="1" t="s">
        <v>142</v>
      </c>
      <c r="H35" s="1" t="s">
        <v>125</v>
      </c>
    </row>
    <row r="36" spans="1:8" x14ac:dyDescent="0.25">
      <c r="A36" s="1" t="s">
        <v>163</v>
      </c>
      <c r="B36" s="1" t="s">
        <v>144</v>
      </c>
      <c r="C36" s="1" t="s">
        <v>145</v>
      </c>
      <c r="D36" s="1" t="s">
        <v>146</v>
      </c>
      <c r="E36" s="1" t="s">
        <v>147</v>
      </c>
      <c r="F36" s="1" t="s">
        <v>129</v>
      </c>
      <c r="G36" s="1" t="s">
        <v>142</v>
      </c>
      <c r="H36" s="1" t="s">
        <v>125</v>
      </c>
    </row>
    <row r="37" spans="1:8" x14ac:dyDescent="0.25">
      <c r="A37" s="1" t="s">
        <v>164</v>
      </c>
      <c r="B37" s="1" t="s">
        <v>144</v>
      </c>
      <c r="C37" s="1" t="s">
        <v>145</v>
      </c>
      <c r="D37" s="1" t="s">
        <v>146</v>
      </c>
      <c r="E37" s="1" t="s">
        <v>147</v>
      </c>
      <c r="F37" s="1" t="s">
        <v>129</v>
      </c>
      <c r="G37" s="1" t="s">
        <v>142</v>
      </c>
      <c r="H37" s="1" t="s">
        <v>125</v>
      </c>
    </row>
    <row r="38" spans="1:8" x14ac:dyDescent="0.25">
      <c r="A38" s="1" t="s">
        <v>165</v>
      </c>
      <c r="B38" s="1" t="s">
        <v>144</v>
      </c>
      <c r="C38" s="1" t="s">
        <v>145</v>
      </c>
      <c r="D38" s="1" t="s">
        <v>146</v>
      </c>
      <c r="E38" s="1" t="s">
        <v>147</v>
      </c>
      <c r="F38" s="1" t="s">
        <v>129</v>
      </c>
      <c r="G38" s="1" t="s">
        <v>142</v>
      </c>
      <c r="H38" s="1" t="s">
        <v>125</v>
      </c>
    </row>
    <row r="39" spans="1:8" x14ac:dyDescent="0.25">
      <c r="A39" s="1" t="s">
        <v>166</v>
      </c>
      <c r="B39" s="1" t="s">
        <v>144</v>
      </c>
      <c r="C39" s="1" t="s">
        <v>145</v>
      </c>
      <c r="D39" s="1" t="s">
        <v>146</v>
      </c>
      <c r="E39" s="1" t="s">
        <v>147</v>
      </c>
      <c r="F39" s="1" t="s">
        <v>129</v>
      </c>
      <c r="G39" s="1" t="s">
        <v>142</v>
      </c>
      <c r="H39" s="1" t="s">
        <v>125</v>
      </c>
    </row>
    <row r="40" spans="1:8" x14ac:dyDescent="0.25">
      <c r="A40" s="1" t="s">
        <v>167</v>
      </c>
      <c r="B40" s="1" t="s">
        <v>144</v>
      </c>
      <c r="C40" s="1" t="s">
        <v>145</v>
      </c>
      <c r="D40" s="1" t="s">
        <v>146</v>
      </c>
      <c r="E40" s="1" t="s">
        <v>147</v>
      </c>
      <c r="F40" s="1" t="s">
        <v>129</v>
      </c>
      <c r="G40" s="1" t="s">
        <v>142</v>
      </c>
      <c r="H40" s="1" t="s">
        <v>125</v>
      </c>
    </row>
    <row r="41" spans="1:8" x14ac:dyDescent="0.25">
      <c r="A41" s="1" t="s">
        <v>168</v>
      </c>
      <c r="B41" s="1" t="s">
        <v>144</v>
      </c>
      <c r="C41" s="1" t="s">
        <v>145</v>
      </c>
      <c r="D41" s="1" t="s">
        <v>146</v>
      </c>
      <c r="E41" s="1" t="s">
        <v>147</v>
      </c>
      <c r="F41" s="1" t="s">
        <v>129</v>
      </c>
      <c r="G41" s="1" t="s">
        <v>142</v>
      </c>
      <c r="H41" s="1" t="s">
        <v>125</v>
      </c>
    </row>
    <row r="42" spans="1:8" x14ac:dyDescent="0.25">
      <c r="A42" s="1" t="s">
        <v>169</v>
      </c>
      <c r="B42" s="1" t="s">
        <v>144</v>
      </c>
      <c r="C42" s="1" t="s">
        <v>145</v>
      </c>
      <c r="D42" s="1" t="s">
        <v>146</v>
      </c>
      <c r="E42" s="1" t="s">
        <v>147</v>
      </c>
      <c r="F42" s="1" t="s">
        <v>129</v>
      </c>
      <c r="G42" s="1" t="s">
        <v>142</v>
      </c>
      <c r="H42" s="1" t="s">
        <v>125</v>
      </c>
    </row>
    <row r="43" spans="1:8" x14ac:dyDescent="0.25">
      <c r="A43" s="1" t="s">
        <v>170</v>
      </c>
      <c r="B43" s="1" t="s">
        <v>144</v>
      </c>
      <c r="C43" s="1" t="s">
        <v>145</v>
      </c>
      <c r="D43" s="1" t="s">
        <v>146</v>
      </c>
      <c r="E43" s="1" t="s">
        <v>147</v>
      </c>
      <c r="F43" s="1" t="s">
        <v>129</v>
      </c>
      <c r="G43" s="1" t="s">
        <v>142</v>
      </c>
      <c r="H43" s="1" t="s">
        <v>125</v>
      </c>
    </row>
    <row r="44" spans="1:8" x14ac:dyDescent="0.25">
      <c r="A44" s="1" t="s">
        <v>171</v>
      </c>
      <c r="B44" s="1" t="s">
        <v>144</v>
      </c>
      <c r="C44" s="1" t="s">
        <v>145</v>
      </c>
      <c r="D44" s="1" t="s">
        <v>146</v>
      </c>
      <c r="E44" s="1" t="s">
        <v>147</v>
      </c>
      <c r="F44" s="1" t="s">
        <v>129</v>
      </c>
      <c r="G44" s="1" t="s">
        <v>142</v>
      </c>
      <c r="H44" s="1" t="s">
        <v>125</v>
      </c>
    </row>
    <row r="45" spans="1:8" x14ac:dyDescent="0.25">
      <c r="A45" s="1" t="s">
        <v>172</v>
      </c>
      <c r="B45" s="1" t="s">
        <v>144</v>
      </c>
      <c r="C45" s="1" t="s">
        <v>145</v>
      </c>
      <c r="D45" s="1" t="s">
        <v>146</v>
      </c>
      <c r="E45" s="1" t="s">
        <v>147</v>
      </c>
      <c r="F45" s="1" t="s">
        <v>129</v>
      </c>
      <c r="G45" s="1" t="s">
        <v>142</v>
      </c>
      <c r="H45" s="1" t="s">
        <v>125</v>
      </c>
    </row>
    <row r="46" spans="1:8" x14ac:dyDescent="0.25">
      <c r="A46" s="1" t="s">
        <v>173</v>
      </c>
      <c r="B46" s="1" t="s">
        <v>144</v>
      </c>
      <c r="C46" s="1" t="s">
        <v>145</v>
      </c>
      <c r="D46" s="1" t="s">
        <v>146</v>
      </c>
      <c r="E46" s="1" t="s">
        <v>147</v>
      </c>
      <c r="F46" s="1" t="s">
        <v>129</v>
      </c>
      <c r="G46" s="1" t="s">
        <v>142</v>
      </c>
      <c r="H46" s="1" t="s">
        <v>125</v>
      </c>
    </row>
    <row r="47" spans="1:8" x14ac:dyDescent="0.25">
      <c r="A47" s="1" t="s">
        <v>174</v>
      </c>
      <c r="B47" s="1" t="s">
        <v>144</v>
      </c>
      <c r="C47" s="1" t="s">
        <v>145</v>
      </c>
      <c r="D47" s="1" t="s">
        <v>146</v>
      </c>
      <c r="E47" s="1" t="s">
        <v>147</v>
      </c>
      <c r="F47" s="1" t="s">
        <v>129</v>
      </c>
      <c r="G47" s="1" t="s">
        <v>142</v>
      </c>
      <c r="H47" s="1" t="s">
        <v>125</v>
      </c>
    </row>
    <row r="48" spans="1:8" x14ac:dyDescent="0.25">
      <c r="A48" s="1" t="s">
        <v>175</v>
      </c>
      <c r="B48" s="1" t="s">
        <v>144</v>
      </c>
      <c r="C48" s="1" t="s">
        <v>145</v>
      </c>
      <c r="D48" s="1" t="s">
        <v>146</v>
      </c>
      <c r="E48" s="1" t="s">
        <v>147</v>
      </c>
      <c r="F48" s="1" t="s">
        <v>129</v>
      </c>
      <c r="G48" s="1" t="s">
        <v>125</v>
      </c>
      <c r="H48" s="1" t="s">
        <v>125</v>
      </c>
    </row>
    <row r="49" spans="1:8" x14ac:dyDescent="0.25">
      <c r="A49" s="1" t="s">
        <v>176</v>
      </c>
      <c r="B49" s="1" t="s">
        <v>144</v>
      </c>
      <c r="C49" s="1" t="s">
        <v>145</v>
      </c>
      <c r="D49" s="1" t="s">
        <v>125</v>
      </c>
      <c r="E49" s="1" t="s">
        <v>125</v>
      </c>
      <c r="F49" s="1" t="s">
        <v>125</v>
      </c>
      <c r="G49" s="1" t="s">
        <v>125</v>
      </c>
      <c r="H49" s="1" t="s">
        <v>125</v>
      </c>
    </row>
    <row r="50" spans="1:8" x14ac:dyDescent="0.25">
      <c r="A50" s="1" t="s">
        <v>177</v>
      </c>
      <c r="B50" s="1" t="s">
        <v>144</v>
      </c>
      <c r="C50" s="1" t="s">
        <v>145</v>
      </c>
      <c r="D50" s="1" t="s">
        <v>178</v>
      </c>
      <c r="E50" s="1" t="s">
        <v>125</v>
      </c>
      <c r="F50" s="1" t="s">
        <v>125</v>
      </c>
      <c r="G50" s="1"/>
      <c r="H50" s="1"/>
    </row>
    <row r="51" spans="1:8" x14ac:dyDescent="0.25">
      <c r="A51" s="1" t="s">
        <v>179</v>
      </c>
      <c r="B51" s="1" t="s">
        <v>144</v>
      </c>
      <c r="C51" s="1" t="s">
        <v>180</v>
      </c>
      <c r="D51" s="1"/>
      <c r="E51" s="1"/>
      <c r="F51" s="1"/>
      <c r="G51" s="1"/>
      <c r="H51" s="1"/>
    </row>
    <row r="52" spans="1:8" x14ac:dyDescent="0.25">
      <c r="A52" s="1"/>
      <c r="B52" s="1"/>
      <c r="C52" s="1"/>
      <c r="D52" s="1"/>
      <c r="E52" s="1"/>
      <c r="F52" s="1"/>
      <c r="G52" s="1"/>
      <c r="H52" s="1"/>
    </row>
    <row r="53" spans="1:8" x14ac:dyDescent="0.25">
      <c r="A53" s="1"/>
      <c r="B53" s="1"/>
      <c r="C53" s="1"/>
      <c r="D53" s="1"/>
      <c r="E53" s="1"/>
      <c r="F53" s="1"/>
      <c r="G53" s="1"/>
      <c r="H53" s="1"/>
    </row>
    <row r="54" spans="1:8" x14ac:dyDescent="0.25">
      <c r="A54" s="1"/>
      <c r="B54" s="1"/>
      <c r="C54" s="1"/>
      <c r="D54" s="1"/>
      <c r="E54" s="1"/>
      <c r="F54" s="1"/>
      <c r="G54" s="1"/>
      <c r="H54" s="1"/>
    </row>
    <row r="55" spans="1:8" x14ac:dyDescent="0.25">
      <c r="A55" s="1"/>
      <c r="B55" s="1"/>
      <c r="C55" s="1"/>
      <c r="D55" s="1"/>
      <c r="E55" s="1"/>
      <c r="F55" s="1"/>
      <c r="G55" s="1"/>
      <c r="H55" s="1"/>
    </row>
    <row r="56" spans="1:8" x14ac:dyDescent="0.25">
      <c r="A56" s="1"/>
      <c r="B56" s="1"/>
      <c r="C56" s="1"/>
      <c r="D56" s="1"/>
      <c r="E56" s="1"/>
      <c r="F56" s="1"/>
      <c r="G56" s="1"/>
      <c r="H56" s="1"/>
    </row>
    <row r="57" spans="1:8" x14ac:dyDescent="0.25">
      <c r="A57" s="1"/>
      <c r="B57" s="1"/>
      <c r="C57" s="1"/>
      <c r="D57" s="1"/>
      <c r="E57" s="1"/>
      <c r="F57" s="1"/>
      <c r="G57" s="1"/>
      <c r="H57" s="1"/>
    </row>
    <row r="58" spans="1:8" x14ac:dyDescent="0.25">
      <c r="A58" s="1"/>
      <c r="B58" s="1"/>
      <c r="C58" s="1"/>
      <c r="D58" s="1"/>
      <c r="E58" s="1"/>
      <c r="F58" s="1"/>
      <c r="G58" s="1"/>
      <c r="H58" s="1"/>
    </row>
    <row r="59" spans="1:8" x14ac:dyDescent="0.25">
      <c r="A59" s="1"/>
      <c r="B59" s="1"/>
      <c r="C59" s="1"/>
      <c r="D59" s="1"/>
      <c r="E59" s="1"/>
      <c r="F59" s="1"/>
      <c r="G59" s="1"/>
      <c r="H59" s="1"/>
    </row>
    <row r="60" spans="1:8" x14ac:dyDescent="0.25">
      <c r="A60" s="1"/>
      <c r="B60" s="1"/>
      <c r="C60" s="1"/>
      <c r="D60" s="1"/>
      <c r="E60" s="1"/>
      <c r="F60" s="1"/>
      <c r="G60" s="1"/>
      <c r="H60" s="1"/>
    </row>
    <row r="61" spans="1:8" x14ac:dyDescent="0.25">
      <c r="A61" s="1"/>
      <c r="B61" s="1"/>
      <c r="C61" s="1"/>
      <c r="D61" s="1"/>
      <c r="E61" s="1"/>
      <c r="F61" s="1"/>
      <c r="G61" s="1"/>
      <c r="H61" s="1"/>
    </row>
    <row r="62" spans="1:8" x14ac:dyDescent="0.25">
      <c r="A62" s="1"/>
      <c r="B62" s="1"/>
      <c r="C62" s="1"/>
      <c r="D62" s="1"/>
      <c r="E62" s="1"/>
      <c r="F62" s="1"/>
      <c r="G62" s="1"/>
      <c r="H62" s="1"/>
    </row>
    <row r="63" spans="1:8" x14ac:dyDescent="0.25">
      <c r="A63" s="1"/>
      <c r="B63" s="1"/>
      <c r="C63" s="1"/>
      <c r="D63" s="1"/>
      <c r="E63" s="1"/>
      <c r="F63" s="1"/>
    </row>
    <row r="64" spans="1:8" x14ac:dyDescent="0.25">
      <c r="A64" s="1"/>
      <c r="B64" s="1"/>
      <c r="C64" s="1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BB798"/>
  <sheetViews>
    <sheetView zoomScale="70" zoomScaleNormal="70" workbookViewId="0">
      <pane ySplit="1" topLeftCell="A2" activePane="bottomLeft" state="frozen"/>
      <selection pane="bottomLeft" activeCell="B683" sqref="B683"/>
    </sheetView>
  </sheetViews>
  <sheetFormatPr baseColWidth="10" defaultColWidth="11.453125" defaultRowHeight="12.5" x14ac:dyDescent="0.25"/>
  <cols>
    <col min="1" max="1" width="8.81640625" customWidth="1"/>
    <col min="2" max="2" width="45.7265625" customWidth="1"/>
    <col min="3" max="3" width="6.36328125" customWidth="1"/>
    <col min="4" max="4" width="130.6328125" customWidth="1"/>
    <col min="5" max="5" width="14.36328125" customWidth="1"/>
    <col min="12" max="12" width="45.7265625" customWidth="1"/>
    <col min="54" max="54" width="45.453125" customWidth="1"/>
  </cols>
  <sheetData>
    <row r="1" spans="1:54" s="3" customFormat="1" ht="13" x14ac:dyDescent="0.3">
      <c r="A1" s="3" t="s">
        <v>0</v>
      </c>
      <c r="B1" s="3" t="s">
        <v>181</v>
      </c>
      <c r="C1" s="3" t="s">
        <v>182</v>
      </c>
      <c r="D1" s="3" t="s">
        <v>183</v>
      </c>
      <c r="E1" s="3" t="s">
        <v>183</v>
      </c>
      <c r="L1" s="3" t="s">
        <v>181</v>
      </c>
      <c r="BB1" s="3" t="s">
        <v>184</v>
      </c>
    </row>
    <row r="2" spans="1:54" hidden="1" x14ac:dyDescent="0.25">
      <c r="A2" t="s">
        <v>68</v>
      </c>
      <c r="B2" t="s">
        <v>245</v>
      </c>
      <c r="C2">
        <v>25</v>
      </c>
      <c r="D2" t="s">
        <v>246</v>
      </c>
      <c r="E2" t="s">
        <v>2073</v>
      </c>
      <c r="F2" t="s">
        <v>2074</v>
      </c>
      <c r="G2" t="s">
        <v>2079</v>
      </c>
      <c r="H2" t="s">
        <v>2092</v>
      </c>
      <c r="I2" t="s">
        <v>2093</v>
      </c>
      <c r="J2" t="s">
        <v>2113</v>
      </c>
      <c r="K2" t="s">
        <v>1458</v>
      </c>
      <c r="L2" t="s">
        <v>245</v>
      </c>
      <c r="BB2" t="s">
        <v>187</v>
      </c>
    </row>
    <row r="3" spans="1:54" hidden="1" x14ac:dyDescent="0.25">
      <c r="A3" t="s">
        <v>6</v>
      </c>
      <c r="B3" t="s">
        <v>245</v>
      </c>
      <c r="C3">
        <v>93</v>
      </c>
      <c r="D3" t="s">
        <v>246</v>
      </c>
      <c r="E3" t="s">
        <v>2073</v>
      </c>
      <c r="F3" t="s">
        <v>2074</v>
      </c>
      <c r="G3" t="s">
        <v>2079</v>
      </c>
      <c r="H3" t="s">
        <v>2092</v>
      </c>
      <c r="I3" t="s">
        <v>2093</v>
      </c>
      <c r="J3" t="s">
        <v>2113</v>
      </c>
      <c r="K3" t="s">
        <v>1458</v>
      </c>
      <c r="L3" t="s">
        <v>245</v>
      </c>
      <c r="BB3" t="s">
        <v>190</v>
      </c>
    </row>
    <row r="4" spans="1:54" hidden="1" x14ac:dyDescent="0.25">
      <c r="A4" t="s">
        <v>92</v>
      </c>
      <c r="B4" t="s">
        <v>245</v>
      </c>
      <c r="C4">
        <v>69</v>
      </c>
      <c r="D4" t="s">
        <v>246</v>
      </c>
      <c r="E4" t="s">
        <v>2073</v>
      </c>
      <c r="F4" t="s">
        <v>2074</v>
      </c>
      <c r="G4" t="s">
        <v>2079</v>
      </c>
      <c r="H4" t="s">
        <v>2092</v>
      </c>
      <c r="I4" t="s">
        <v>2093</v>
      </c>
      <c r="J4" t="s">
        <v>2113</v>
      </c>
      <c r="K4" t="s">
        <v>1458</v>
      </c>
      <c r="L4" t="s">
        <v>245</v>
      </c>
      <c r="BB4" t="s">
        <v>193</v>
      </c>
    </row>
    <row r="5" spans="1:54" hidden="1" x14ac:dyDescent="0.25">
      <c r="A5" t="s">
        <v>79</v>
      </c>
      <c r="B5" t="s">
        <v>226</v>
      </c>
      <c r="C5">
        <v>5</v>
      </c>
      <c r="D5" t="s">
        <v>227</v>
      </c>
      <c r="E5" t="s">
        <v>2073</v>
      </c>
      <c r="F5" t="s">
        <v>2074</v>
      </c>
      <c r="G5" t="s">
        <v>2075</v>
      </c>
      <c r="H5" t="s">
        <v>2089</v>
      </c>
      <c r="I5" t="s">
        <v>2095</v>
      </c>
      <c r="J5" t="s">
        <v>2096</v>
      </c>
      <c r="K5" t="s">
        <v>1443</v>
      </c>
      <c r="L5" t="s">
        <v>226</v>
      </c>
      <c r="BB5" t="s">
        <v>196</v>
      </c>
    </row>
    <row r="6" spans="1:54" hidden="1" x14ac:dyDescent="0.25">
      <c r="A6" t="s">
        <v>56</v>
      </c>
      <c r="B6" t="s">
        <v>226</v>
      </c>
      <c r="C6">
        <v>3</v>
      </c>
      <c r="D6" t="s">
        <v>227</v>
      </c>
      <c r="E6" t="s">
        <v>2073</v>
      </c>
      <c r="F6" t="s">
        <v>2074</v>
      </c>
      <c r="G6" t="s">
        <v>2075</v>
      </c>
      <c r="H6" t="s">
        <v>2089</v>
      </c>
      <c r="I6" t="s">
        <v>2095</v>
      </c>
      <c r="J6" t="s">
        <v>2096</v>
      </c>
      <c r="K6" t="s">
        <v>1443</v>
      </c>
      <c r="L6" t="s">
        <v>226</v>
      </c>
      <c r="BB6" t="s">
        <v>199</v>
      </c>
    </row>
    <row r="7" spans="1:54" hidden="1" x14ac:dyDescent="0.25">
      <c r="A7" t="s">
        <v>7</v>
      </c>
      <c r="B7" t="s">
        <v>226</v>
      </c>
      <c r="C7">
        <v>9</v>
      </c>
      <c r="D7" t="s">
        <v>227</v>
      </c>
      <c r="E7" t="s">
        <v>2073</v>
      </c>
      <c r="F7" t="s">
        <v>2074</v>
      </c>
      <c r="G7" t="s">
        <v>2075</v>
      </c>
      <c r="H7" t="s">
        <v>2089</v>
      </c>
      <c r="I7" t="s">
        <v>2095</v>
      </c>
      <c r="J7" t="s">
        <v>2096</v>
      </c>
      <c r="K7" t="s">
        <v>1443</v>
      </c>
      <c r="L7" t="s">
        <v>226</v>
      </c>
      <c r="BB7" t="s">
        <v>202</v>
      </c>
    </row>
    <row r="8" spans="1:54" hidden="1" x14ac:dyDescent="0.25">
      <c r="A8" t="s">
        <v>39</v>
      </c>
      <c r="B8" t="s">
        <v>226</v>
      </c>
      <c r="C8">
        <v>12</v>
      </c>
      <c r="D8" t="s">
        <v>227</v>
      </c>
      <c r="E8" t="s">
        <v>2073</v>
      </c>
      <c r="F8" t="s">
        <v>2074</v>
      </c>
      <c r="G8" t="s">
        <v>2075</v>
      </c>
      <c r="H8" t="s">
        <v>2089</v>
      </c>
      <c r="I8" t="s">
        <v>2095</v>
      </c>
      <c r="J8" t="s">
        <v>2096</v>
      </c>
      <c r="K8" t="s">
        <v>1443</v>
      </c>
      <c r="L8" t="s">
        <v>226</v>
      </c>
      <c r="BB8" t="s">
        <v>205</v>
      </c>
    </row>
    <row r="9" spans="1:54" hidden="1" x14ac:dyDescent="0.25">
      <c r="A9" t="s">
        <v>48</v>
      </c>
      <c r="B9" t="s">
        <v>226</v>
      </c>
      <c r="C9">
        <v>12</v>
      </c>
      <c r="D9" t="s">
        <v>227</v>
      </c>
      <c r="E9" t="s">
        <v>2073</v>
      </c>
      <c r="F9" t="s">
        <v>2074</v>
      </c>
      <c r="G9" t="s">
        <v>2075</v>
      </c>
      <c r="H9" t="s">
        <v>2089</v>
      </c>
      <c r="I9" t="s">
        <v>2095</v>
      </c>
      <c r="J9" t="s">
        <v>2096</v>
      </c>
      <c r="K9" t="s">
        <v>1443</v>
      </c>
      <c r="L9" t="s">
        <v>226</v>
      </c>
      <c r="BB9" t="s">
        <v>193</v>
      </c>
    </row>
    <row r="10" spans="1:54" hidden="1" x14ac:dyDescent="0.25">
      <c r="A10" t="s">
        <v>43</v>
      </c>
      <c r="B10" t="s">
        <v>226</v>
      </c>
      <c r="C10">
        <v>11</v>
      </c>
      <c r="D10" t="s">
        <v>227</v>
      </c>
      <c r="E10" t="s">
        <v>2073</v>
      </c>
      <c r="F10" t="s">
        <v>2074</v>
      </c>
      <c r="G10" t="s">
        <v>2075</v>
      </c>
      <c r="H10" t="s">
        <v>2089</v>
      </c>
      <c r="I10" t="s">
        <v>2095</v>
      </c>
      <c r="J10" t="s">
        <v>2096</v>
      </c>
      <c r="K10" t="s">
        <v>1443</v>
      </c>
      <c r="L10" t="s">
        <v>226</v>
      </c>
      <c r="BB10" t="s">
        <v>187</v>
      </c>
    </row>
    <row r="11" spans="1:54" hidden="1" x14ac:dyDescent="0.25">
      <c r="A11" t="s">
        <v>27</v>
      </c>
      <c r="B11" t="s">
        <v>226</v>
      </c>
      <c r="C11">
        <v>44</v>
      </c>
      <c r="D11" t="s">
        <v>227</v>
      </c>
      <c r="E11" t="s">
        <v>2073</v>
      </c>
      <c r="F11" t="s">
        <v>2074</v>
      </c>
      <c r="G11" t="s">
        <v>2075</v>
      </c>
      <c r="H11" t="s">
        <v>2089</v>
      </c>
      <c r="I11" t="s">
        <v>2095</v>
      </c>
      <c r="J11" t="s">
        <v>2096</v>
      </c>
      <c r="K11" t="s">
        <v>1443</v>
      </c>
      <c r="L11" t="s">
        <v>226</v>
      </c>
      <c r="BB11" t="s">
        <v>207</v>
      </c>
    </row>
    <row r="12" spans="1:54" hidden="1" x14ac:dyDescent="0.25">
      <c r="A12" t="s">
        <v>40</v>
      </c>
      <c r="B12" t="s">
        <v>226</v>
      </c>
      <c r="C12">
        <v>47</v>
      </c>
      <c r="D12" t="s">
        <v>227</v>
      </c>
      <c r="E12" t="s">
        <v>2073</v>
      </c>
      <c r="F12" t="s">
        <v>2074</v>
      </c>
      <c r="G12" t="s">
        <v>2075</v>
      </c>
      <c r="H12" t="s">
        <v>2089</v>
      </c>
      <c r="I12" t="s">
        <v>2095</v>
      </c>
      <c r="J12" t="s">
        <v>2096</v>
      </c>
      <c r="K12" t="s">
        <v>1443</v>
      </c>
      <c r="L12" t="s">
        <v>226</v>
      </c>
      <c r="BB12" t="s">
        <v>190</v>
      </c>
    </row>
    <row r="13" spans="1:54" hidden="1" x14ac:dyDescent="0.25">
      <c r="A13" t="s">
        <v>42</v>
      </c>
      <c r="B13" t="s">
        <v>226</v>
      </c>
      <c r="C13">
        <v>24</v>
      </c>
      <c r="D13" t="s">
        <v>227</v>
      </c>
      <c r="E13" t="s">
        <v>2073</v>
      </c>
      <c r="F13" t="s">
        <v>2074</v>
      </c>
      <c r="G13" t="s">
        <v>2075</v>
      </c>
      <c r="H13" t="s">
        <v>2089</v>
      </c>
      <c r="I13" t="s">
        <v>2095</v>
      </c>
      <c r="J13" t="s">
        <v>2096</v>
      </c>
      <c r="K13" t="s">
        <v>1443</v>
      </c>
      <c r="L13" t="s">
        <v>226</v>
      </c>
      <c r="BB13" t="s">
        <v>210</v>
      </c>
    </row>
    <row r="14" spans="1:54" hidden="1" x14ac:dyDescent="0.25">
      <c r="A14" t="s">
        <v>37</v>
      </c>
      <c r="B14" t="s">
        <v>226</v>
      </c>
      <c r="C14">
        <v>38</v>
      </c>
      <c r="D14" t="s">
        <v>227</v>
      </c>
      <c r="E14" t="s">
        <v>2073</v>
      </c>
      <c r="F14" t="s">
        <v>2074</v>
      </c>
      <c r="G14" t="s">
        <v>2075</v>
      </c>
      <c r="H14" t="s">
        <v>2089</v>
      </c>
      <c r="I14" t="s">
        <v>2095</v>
      </c>
      <c r="J14" t="s">
        <v>2096</v>
      </c>
      <c r="K14" t="s">
        <v>1443</v>
      </c>
      <c r="L14" t="s">
        <v>226</v>
      </c>
      <c r="BB14" t="s">
        <v>196</v>
      </c>
    </row>
    <row r="15" spans="1:54" hidden="1" x14ac:dyDescent="0.25">
      <c r="A15" t="s">
        <v>18</v>
      </c>
      <c r="B15" t="s">
        <v>226</v>
      </c>
      <c r="C15">
        <v>26</v>
      </c>
      <c r="D15" t="s">
        <v>227</v>
      </c>
      <c r="E15" t="s">
        <v>2073</v>
      </c>
      <c r="F15" t="s">
        <v>2074</v>
      </c>
      <c r="G15" t="s">
        <v>2075</v>
      </c>
      <c r="H15" t="s">
        <v>2089</v>
      </c>
      <c r="I15" t="s">
        <v>2095</v>
      </c>
      <c r="J15" t="s">
        <v>2096</v>
      </c>
      <c r="K15" t="s">
        <v>1443</v>
      </c>
      <c r="L15" t="s">
        <v>226</v>
      </c>
      <c r="BB15" t="s">
        <v>202</v>
      </c>
    </row>
    <row r="16" spans="1:54" hidden="1" x14ac:dyDescent="0.25">
      <c r="A16" t="s">
        <v>89</v>
      </c>
      <c r="B16" t="s">
        <v>226</v>
      </c>
      <c r="C16">
        <v>8</v>
      </c>
      <c r="D16" t="s">
        <v>227</v>
      </c>
      <c r="E16" t="s">
        <v>2073</v>
      </c>
      <c r="F16" t="s">
        <v>2074</v>
      </c>
      <c r="G16" t="s">
        <v>2075</v>
      </c>
      <c r="H16" t="s">
        <v>2089</v>
      </c>
      <c r="I16" t="s">
        <v>2095</v>
      </c>
      <c r="J16" t="s">
        <v>2096</v>
      </c>
      <c r="K16" t="s">
        <v>1443</v>
      </c>
      <c r="L16" t="s">
        <v>226</v>
      </c>
      <c r="BB16" t="s">
        <v>193</v>
      </c>
    </row>
    <row r="17" spans="1:54" hidden="1" x14ac:dyDescent="0.25">
      <c r="A17" t="s">
        <v>25</v>
      </c>
      <c r="B17" t="s">
        <v>226</v>
      </c>
      <c r="C17">
        <v>18</v>
      </c>
      <c r="D17" t="s">
        <v>227</v>
      </c>
      <c r="E17" t="s">
        <v>2073</v>
      </c>
      <c r="F17" t="s">
        <v>2074</v>
      </c>
      <c r="G17" t="s">
        <v>2075</v>
      </c>
      <c r="H17" t="s">
        <v>2089</v>
      </c>
      <c r="I17" t="s">
        <v>2095</v>
      </c>
      <c r="J17" t="s">
        <v>2096</v>
      </c>
      <c r="K17" t="s">
        <v>1443</v>
      </c>
      <c r="L17" t="s">
        <v>226</v>
      </c>
      <c r="BB17" t="s">
        <v>187</v>
      </c>
    </row>
    <row r="18" spans="1:54" hidden="1" x14ac:dyDescent="0.25">
      <c r="A18" t="s">
        <v>35</v>
      </c>
      <c r="B18" t="s">
        <v>226</v>
      </c>
      <c r="C18">
        <v>39</v>
      </c>
      <c r="D18" t="s">
        <v>227</v>
      </c>
      <c r="E18" t="s">
        <v>2073</v>
      </c>
      <c r="F18" t="s">
        <v>2074</v>
      </c>
      <c r="G18" t="s">
        <v>2075</v>
      </c>
      <c r="H18" t="s">
        <v>2089</v>
      </c>
      <c r="I18" t="s">
        <v>2095</v>
      </c>
      <c r="J18" t="s">
        <v>2096</v>
      </c>
      <c r="K18" t="s">
        <v>1443</v>
      </c>
      <c r="L18" t="s">
        <v>226</v>
      </c>
      <c r="BB18" t="s">
        <v>190</v>
      </c>
    </row>
    <row r="19" spans="1:54" hidden="1" x14ac:dyDescent="0.25">
      <c r="A19" t="s">
        <v>44</v>
      </c>
      <c r="B19" t="s">
        <v>226</v>
      </c>
      <c r="C19">
        <v>52</v>
      </c>
      <c r="D19" t="s">
        <v>227</v>
      </c>
      <c r="E19" t="s">
        <v>2073</v>
      </c>
      <c r="F19" t="s">
        <v>2074</v>
      </c>
      <c r="G19" t="s">
        <v>2075</v>
      </c>
      <c r="H19" t="s">
        <v>2089</v>
      </c>
      <c r="I19" t="s">
        <v>2095</v>
      </c>
      <c r="J19" t="s">
        <v>2096</v>
      </c>
      <c r="K19" t="s">
        <v>1443</v>
      </c>
      <c r="L19" t="s">
        <v>226</v>
      </c>
      <c r="BB19" t="s">
        <v>199</v>
      </c>
    </row>
    <row r="20" spans="1:54" hidden="1" x14ac:dyDescent="0.25">
      <c r="A20" t="s">
        <v>65</v>
      </c>
      <c r="B20" t="s">
        <v>226</v>
      </c>
      <c r="C20">
        <v>10</v>
      </c>
      <c r="D20" t="s">
        <v>227</v>
      </c>
      <c r="E20" t="s">
        <v>2073</v>
      </c>
      <c r="F20" t="s">
        <v>2074</v>
      </c>
      <c r="G20" t="s">
        <v>2075</v>
      </c>
      <c r="H20" t="s">
        <v>2089</v>
      </c>
      <c r="I20" t="s">
        <v>2095</v>
      </c>
      <c r="J20" t="s">
        <v>2096</v>
      </c>
      <c r="K20" t="s">
        <v>1443</v>
      </c>
      <c r="L20" t="s">
        <v>226</v>
      </c>
      <c r="BB20" t="s">
        <v>207</v>
      </c>
    </row>
    <row r="21" spans="1:54" hidden="1" x14ac:dyDescent="0.25">
      <c r="A21" t="s">
        <v>77</v>
      </c>
      <c r="B21" t="s">
        <v>226</v>
      </c>
      <c r="C21">
        <v>6</v>
      </c>
      <c r="D21" t="s">
        <v>227</v>
      </c>
      <c r="E21" t="s">
        <v>2073</v>
      </c>
      <c r="F21" t="s">
        <v>2074</v>
      </c>
      <c r="G21" t="s">
        <v>2075</v>
      </c>
      <c r="H21" t="s">
        <v>2089</v>
      </c>
      <c r="I21" t="s">
        <v>2095</v>
      </c>
      <c r="J21" t="s">
        <v>2096</v>
      </c>
      <c r="K21" t="s">
        <v>1443</v>
      </c>
      <c r="L21" t="s">
        <v>226</v>
      </c>
      <c r="BB21" t="s">
        <v>202</v>
      </c>
    </row>
    <row r="22" spans="1:54" hidden="1" x14ac:dyDescent="0.25">
      <c r="A22" t="s">
        <v>15</v>
      </c>
      <c r="B22" t="s">
        <v>226</v>
      </c>
      <c r="C22">
        <v>32</v>
      </c>
      <c r="D22" t="s">
        <v>227</v>
      </c>
      <c r="E22" t="s">
        <v>2073</v>
      </c>
      <c r="F22" t="s">
        <v>2074</v>
      </c>
      <c r="G22" t="s">
        <v>2075</v>
      </c>
      <c r="H22" t="s">
        <v>2089</v>
      </c>
      <c r="I22" t="s">
        <v>2095</v>
      </c>
      <c r="J22" t="s">
        <v>2096</v>
      </c>
      <c r="K22" t="s">
        <v>1443</v>
      </c>
      <c r="L22" t="s">
        <v>226</v>
      </c>
      <c r="BB22" t="s">
        <v>205</v>
      </c>
    </row>
    <row r="23" spans="1:54" hidden="1" x14ac:dyDescent="0.25">
      <c r="A23" t="s">
        <v>49</v>
      </c>
      <c r="B23" t="s">
        <v>226</v>
      </c>
      <c r="C23">
        <v>12</v>
      </c>
      <c r="D23" t="s">
        <v>227</v>
      </c>
      <c r="E23" t="s">
        <v>2073</v>
      </c>
      <c r="F23" t="s">
        <v>2074</v>
      </c>
      <c r="G23" t="s">
        <v>2075</v>
      </c>
      <c r="H23" t="s">
        <v>2089</v>
      </c>
      <c r="I23" t="s">
        <v>2095</v>
      </c>
      <c r="J23" t="s">
        <v>2096</v>
      </c>
      <c r="K23" t="s">
        <v>1443</v>
      </c>
      <c r="L23" t="s">
        <v>226</v>
      </c>
      <c r="BB23" t="s">
        <v>187</v>
      </c>
    </row>
    <row r="24" spans="1:54" hidden="1" x14ac:dyDescent="0.25">
      <c r="A24" t="s">
        <v>13</v>
      </c>
      <c r="B24" t="s">
        <v>226</v>
      </c>
      <c r="C24">
        <v>15</v>
      </c>
      <c r="D24" t="s">
        <v>227</v>
      </c>
      <c r="E24" t="s">
        <v>2073</v>
      </c>
      <c r="F24" t="s">
        <v>2074</v>
      </c>
      <c r="G24" t="s">
        <v>2075</v>
      </c>
      <c r="H24" t="s">
        <v>2089</v>
      </c>
      <c r="I24" t="s">
        <v>2095</v>
      </c>
      <c r="J24" t="s">
        <v>2096</v>
      </c>
      <c r="K24" t="s">
        <v>1443</v>
      </c>
      <c r="L24" t="s">
        <v>226</v>
      </c>
      <c r="BB24" t="s">
        <v>193</v>
      </c>
    </row>
    <row r="25" spans="1:54" hidden="1" x14ac:dyDescent="0.25">
      <c r="A25" t="s">
        <v>67</v>
      </c>
      <c r="B25" t="s">
        <v>226</v>
      </c>
      <c r="C25">
        <v>34</v>
      </c>
      <c r="D25" t="s">
        <v>227</v>
      </c>
      <c r="E25" t="s">
        <v>2073</v>
      </c>
      <c r="F25" t="s">
        <v>2074</v>
      </c>
      <c r="G25" t="s">
        <v>2075</v>
      </c>
      <c r="H25" t="s">
        <v>2089</v>
      </c>
      <c r="I25" t="s">
        <v>2095</v>
      </c>
      <c r="J25" t="s">
        <v>2096</v>
      </c>
      <c r="K25" t="s">
        <v>1443</v>
      </c>
      <c r="L25" t="s">
        <v>226</v>
      </c>
      <c r="BB25" t="s">
        <v>190</v>
      </c>
    </row>
    <row r="26" spans="1:54" hidden="1" x14ac:dyDescent="0.25">
      <c r="A26" t="s">
        <v>24</v>
      </c>
      <c r="B26" t="s">
        <v>226</v>
      </c>
      <c r="C26">
        <v>14</v>
      </c>
      <c r="D26" t="s">
        <v>227</v>
      </c>
      <c r="E26" t="s">
        <v>2073</v>
      </c>
      <c r="F26" t="s">
        <v>2074</v>
      </c>
      <c r="G26" t="s">
        <v>2075</v>
      </c>
      <c r="H26" t="s">
        <v>2089</v>
      </c>
      <c r="I26" t="s">
        <v>2095</v>
      </c>
      <c r="J26" t="s">
        <v>2096</v>
      </c>
      <c r="K26" t="s">
        <v>1443</v>
      </c>
      <c r="L26" t="s">
        <v>226</v>
      </c>
      <c r="BB26" t="s">
        <v>213</v>
      </c>
    </row>
    <row r="27" spans="1:54" hidden="1" x14ac:dyDescent="0.25">
      <c r="A27" t="s">
        <v>62</v>
      </c>
      <c r="B27" t="s">
        <v>226</v>
      </c>
      <c r="C27">
        <v>301</v>
      </c>
      <c r="D27" t="s">
        <v>227</v>
      </c>
      <c r="E27" t="s">
        <v>2073</v>
      </c>
      <c r="F27" t="s">
        <v>2074</v>
      </c>
      <c r="G27" t="s">
        <v>2075</v>
      </c>
      <c r="H27" t="s">
        <v>2089</v>
      </c>
      <c r="I27" t="s">
        <v>2095</v>
      </c>
      <c r="J27" t="s">
        <v>2096</v>
      </c>
      <c r="K27" t="s">
        <v>1443</v>
      </c>
      <c r="L27" t="s">
        <v>226</v>
      </c>
      <c r="BB27" t="s">
        <v>207</v>
      </c>
    </row>
    <row r="28" spans="1:54" hidden="1" x14ac:dyDescent="0.25">
      <c r="A28" t="s">
        <v>68</v>
      </c>
      <c r="B28" t="s">
        <v>226</v>
      </c>
      <c r="C28">
        <v>44</v>
      </c>
      <c r="D28" t="s">
        <v>227</v>
      </c>
      <c r="E28" t="s">
        <v>2073</v>
      </c>
      <c r="F28" t="s">
        <v>2074</v>
      </c>
      <c r="G28" t="s">
        <v>2075</v>
      </c>
      <c r="H28" t="s">
        <v>2089</v>
      </c>
      <c r="I28" t="s">
        <v>2095</v>
      </c>
      <c r="J28" t="s">
        <v>2096</v>
      </c>
      <c r="K28" t="s">
        <v>1443</v>
      </c>
      <c r="L28" t="s">
        <v>226</v>
      </c>
      <c r="BB28" t="s">
        <v>210</v>
      </c>
    </row>
    <row r="29" spans="1:54" hidden="1" x14ac:dyDescent="0.25">
      <c r="A29" t="s">
        <v>23</v>
      </c>
      <c r="B29" t="s">
        <v>226</v>
      </c>
      <c r="C29">
        <v>36</v>
      </c>
      <c r="D29" t="s">
        <v>227</v>
      </c>
      <c r="E29" t="s">
        <v>2073</v>
      </c>
      <c r="F29" t="s">
        <v>2074</v>
      </c>
      <c r="G29" t="s">
        <v>2075</v>
      </c>
      <c r="H29" t="s">
        <v>2089</v>
      </c>
      <c r="I29" t="s">
        <v>2095</v>
      </c>
      <c r="J29" t="s">
        <v>2096</v>
      </c>
      <c r="K29" t="s">
        <v>1443</v>
      </c>
      <c r="L29" t="s">
        <v>226</v>
      </c>
      <c r="BB29" t="s">
        <v>216</v>
      </c>
    </row>
    <row r="30" spans="1:54" hidden="1" x14ac:dyDescent="0.25">
      <c r="A30" t="s">
        <v>85</v>
      </c>
      <c r="B30" t="s">
        <v>226</v>
      </c>
      <c r="C30">
        <v>18</v>
      </c>
      <c r="D30" t="s">
        <v>227</v>
      </c>
      <c r="E30" t="s">
        <v>2073</v>
      </c>
      <c r="F30" t="s">
        <v>2074</v>
      </c>
      <c r="G30" t="s">
        <v>2075</v>
      </c>
      <c r="H30" t="s">
        <v>2089</v>
      </c>
      <c r="I30" t="s">
        <v>2095</v>
      </c>
      <c r="J30" t="s">
        <v>2096</v>
      </c>
      <c r="K30" t="s">
        <v>1443</v>
      </c>
      <c r="L30" t="s">
        <v>226</v>
      </c>
      <c r="BB30" t="s">
        <v>196</v>
      </c>
    </row>
    <row r="31" spans="1:54" hidden="1" x14ac:dyDescent="0.25">
      <c r="A31" t="s">
        <v>12</v>
      </c>
      <c r="B31" t="s">
        <v>226</v>
      </c>
      <c r="C31">
        <v>167</v>
      </c>
      <c r="D31" t="s">
        <v>227</v>
      </c>
      <c r="E31" t="s">
        <v>2073</v>
      </c>
      <c r="F31" t="s">
        <v>2074</v>
      </c>
      <c r="G31" t="s">
        <v>2075</v>
      </c>
      <c r="H31" t="s">
        <v>2089</v>
      </c>
      <c r="I31" t="s">
        <v>2095</v>
      </c>
      <c r="J31" t="s">
        <v>2096</v>
      </c>
      <c r="K31" t="s">
        <v>1443</v>
      </c>
      <c r="L31" t="s">
        <v>226</v>
      </c>
      <c r="BB31" t="s">
        <v>193</v>
      </c>
    </row>
    <row r="32" spans="1:54" hidden="1" x14ac:dyDescent="0.25">
      <c r="A32" t="s">
        <v>92</v>
      </c>
      <c r="B32" t="s">
        <v>226</v>
      </c>
      <c r="C32">
        <v>14</v>
      </c>
      <c r="D32" t="s">
        <v>227</v>
      </c>
      <c r="E32" t="s">
        <v>2073</v>
      </c>
      <c r="F32" t="s">
        <v>2074</v>
      </c>
      <c r="G32" t="s">
        <v>2075</v>
      </c>
      <c r="H32" t="s">
        <v>2089</v>
      </c>
      <c r="I32" t="s">
        <v>2095</v>
      </c>
      <c r="J32" t="s">
        <v>2096</v>
      </c>
      <c r="K32" t="s">
        <v>1443</v>
      </c>
      <c r="L32" t="s">
        <v>226</v>
      </c>
      <c r="BB32" t="s">
        <v>187</v>
      </c>
    </row>
    <row r="33" spans="1:54" hidden="1" x14ac:dyDescent="0.25">
      <c r="A33" t="s">
        <v>53</v>
      </c>
      <c r="B33" t="s">
        <v>226</v>
      </c>
      <c r="C33">
        <v>31</v>
      </c>
      <c r="D33" t="s">
        <v>227</v>
      </c>
      <c r="E33" t="s">
        <v>2073</v>
      </c>
      <c r="F33" t="s">
        <v>2074</v>
      </c>
      <c r="G33" t="s">
        <v>2075</v>
      </c>
      <c r="H33" t="s">
        <v>2089</v>
      </c>
      <c r="I33" t="s">
        <v>2095</v>
      </c>
      <c r="J33" t="s">
        <v>2096</v>
      </c>
      <c r="K33" t="s">
        <v>1443</v>
      </c>
      <c r="L33" t="s">
        <v>226</v>
      </c>
      <c r="BB33" t="s">
        <v>210</v>
      </c>
    </row>
    <row r="34" spans="1:54" hidden="1" x14ac:dyDescent="0.25">
      <c r="A34" t="s">
        <v>76</v>
      </c>
      <c r="B34" t="s">
        <v>226</v>
      </c>
      <c r="C34">
        <v>51</v>
      </c>
      <c r="D34" t="s">
        <v>227</v>
      </c>
      <c r="E34" t="s">
        <v>2073</v>
      </c>
      <c r="F34" t="s">
        <v>2074</v>
      </c>
      <c r="G34" t="s">
        <v>2075</v>
      </c>
      <c r="H34" t="s">
        <v>2089</v>
      </c>
      <c r="I34" t="s">
        <v>2095</v>
      </c>
      <c r="J34" t="s">
        <v>2096</v>
      </c>
      <c r="K34" t="s">
        <v>1443</v>
      </c>
      <c r="L34" t="s">
        <v>226</v>
      </c>
      <c r="BB34" t="s">
        <v>207</v>
      </c>
    </row>
    <row r="35" spans="1:54" hidden="1" x14ac:dyDescent="0.25">
      <c r="A35" t="s">
        <v>90</v>
      </c>
      <c r="B35" t="s">
        <v>226</v>
      </c>
      <c r="C35">
        <v>24</v>
      </c>
      <c r="D35" t="s">
        <v>227</v>
      </c>
      <c r="E35" t="s">
        <v>2073</v>
      </c>
      <c r="F35" t="s">
        <v>2074</v>
      </c>
      <c r="G35" t="s">
        <v>2075</v>
      </c>
      <c r="H35" t="s">
        <v>2089</v>
      </c>
      <c r="I35" t="s">
        <v>2095</v>
      </c>
      <c r="J35" t="s">
        <v>2096</v>
      </c>
      <c r="K35" t="s">
        <v>1443</v>
      </c>
      <c r="L35" t="s">
        <v>226</v>
      </c>
      <c r="BB35" t="s">
        <v>190</v>
      </c>
    </row>
    <row r="36" spans="1:54" hidden="1" x14ac:dyDescent="0.25">
      <c r="A36" t="s">
        <v>71</v>
      </c>
      <c r="B36" t="s">
        <v>226</v>
      </c>
      <c r="C36">
        <v>15</v>
      </c>
      <c r="D36" t="s">
        <v>227</v>
      </c>
      <c r="E36" t="s">
        <v>2073</v>
      </c>
      <c r="F36" t="s">
        <v>2074</v>
      </c>
      <c r="G36" t="s">
        <v>2075</v>
      </c>
      <c r="H36" t="s">
        <v>2089</v>
      </c>
      <c r="I36" t="s">
        <v>2095</v>
      </c>
      <c r="J36" t="s">
        <v>2096</v>
      </c>
      <c r="K36" t="s">
        <v>1443</v>
      </c>
      <c r="L36" t="s">
        <v>226</v>
      </c>
      <c r="BB36" t="s">
        <v>202</v>
      </c>
    </row>
    <row r="37" spans="1:54" hidden="1" x14ac:dyDescent="0.25">
      <c r="A37" t="s">
        <v>46</v>
      </c>
      <c r="B37" t="s">
        <v>240</v>
      </c>
      <c r="C37">
        <v>34</v>
      </c>
      <c r="D37" t="s">
        <v>241</v>
      </c>
      <c r="E37" t="s">
        <v>2073</v>
      </c>
      <c r="F37" t="s">
        <v>2074</v>
      </c>
      <c r="G37" t="s">
        <v>2085</v>
      </c>
      <c r="H37" t="s">
        <v>2086</v>
      </c>
      <c r="I37" t="s">
        <v>2087</v>
      </c>
      <c r="J37" t="s">
        <v>2088</v>
      </c>
      <c r="K37" t="s">
        <v>1459</v>
      </c>
      <c r="L37" t="s">
        <v>240</v>
      </c>
      <c r="BB37" t="s">
        <v>219</v>
      </c>
    </row>
    <row r="38" spans="1:54" hidden="1" x14ac:dyDescent="0.25">
      <c r="A38" t="s">
        <v>20</v>
      </c>
      <c r="B38" t="s">
        <v>240</v>
      </c>
      <c r="C38">
        <v>373</v>
      </c>
      <c r="D38" t="s">
        <v>241</v>
      </c>
      <c r="E38" t="s">
        <v>2073</v>
      </c>
      <c r="F38" t="s">
        <v>2074</v>
      </c>
      <c r="G38" t="s">
        <v>2085</v>
      </c>
      <c r="H38" t="s">
        <v>2086</v>
      </c>
      <c r="I38" t="s">
        <v>2087</v>
      </c>
      <c r="J38" t="s">
        <v>2088</v>
      </c>
      <c r="K38" t="s">
        <v>1459</v>
      </c>
      <c r="L38" t="s">
        <v>240</v>
      </c>
      <c r="BB38" t="s">
        <v>222</v>
      </c>
    </row>
    <row r="39" spans="1:54" hidden="1" x14ac:dyDescent="0.25">
      <c r="A39" t="s">
        <v>69</v>
      </c>
      <c r="B39" t="s">
        <v>188</v>
      </c>
      <c r="C39">
        <v>639</v>
      </c>
      <c r="D39" t="s">
        <v>189</v>
      </c>
      <c r="E39" t="s">
        <v>2073</v>
      </c>
      <c r="F39" t="s">
        <v>2074</v>
      </c>
      <c r="G39" t="s">
        <v>2079</v>
      </c>
      <c r="H39" t="s">
        <v>2080</v>
      </c>
      <c r="I39" t="s">
        <v>2081</v>
      </c>
      <c r="J39" t="s">
        <v>2082</v>
      </c>
      <c r="K39" t="s">
        <v>1427</v>
      </c>
      <c r="L39" t="s">
        <v>188</v>
      </c>
      <c r="BB39" t="s">
        <v>225</v>
      </c>
    </row>
    <row r="40" spans="1:54" hidden="1" x14ac:dyDescent="0.25">
      <c r="A40" t="s">
        <v>64</v>
      </c>
      <c r="B40" t="s">
        <v>188</v>
      </c>
      <c r="C40">
        <v>1057</v>
      </c>
      <c r="D40" t="s">
        <v>189</v>
      </c>
      <c r="E40" t="s">
        <v>2073</v>
      </c>
      <c r="F40" t="s">
        <v>2074</v>
      </c>
      <c r="G40" t="s">
        <v>2079</v>
      </c>
      <c r="H40" t="s">
        <v>2080</v>
      </c>
      <c r="I40" t="s">
        <v>2081</v>
      </c>
      <c r="J40" t="s">
        <v>2082</v>
      </c>
      <c r="K40" t="s">
        <v>1427</v>
      </c>
      <c r="L40" t="s">
        <v>188</v>
      </c>
      <c r="BB40" t="s">
        <v>205</v>
      </c>
    </row>
    <row r="41" spans="1:54" hidden="1" x14ac:dyDescent="0.25">
      <c r="A41" t="s">
        <v>88</v>
      </c>
      <c r="B41" t="s">
        <v>188</v>
      </c>
      <c r="C41">
        <v>661</v>
      </c>
      <c r="D41" t="s">
        <v>189</v>
      </c>
      <c r="E41" t="s">
        <v>2073</v>
      </c>
      <c r="F41" t="s">
        <v>2074</v>
      </c>
      <c r="G41" t="s">
        <v>2079</v>
      </c>
      <c r="H41" t="s">
        <v>2080</v>
      </c>
      <c r="I41" t="s">
        <v>2081</v>
      </c>
      <c r="J41" t="s">
        <v>2082</v>
      </c>
      <c r="K41" t="s">
        <v>1427</v>
      </c>
      <c r="L41" t="s">
        <v>188</v>
      </c>
      <c r="BB41" t="s">
        <v>216</v>
      </c>
    </row>
    <row r="42" spans="1:54" hidden="1" x14ac:dyDescent="0.25">
      <c r="A42" t="s">
        <v>51</v>
      </c>
      <c r="B42" t="s">
        <v>188</v>
      </c>
      <c r="C42">
        <v>1176</v>
      </c>
      <c r="D42" t="s">
        <v>189</v>
      </c>
      <c r="E42" t="s">
        <v>2073</v>
      </c>
      <c r="F42" t="s">
        <v>2074</v>
      </c>
      <c r="G42" t="s">
        <v>2079</v>
      </c>
      <c r="H42" t="s">
        <v>2080</v>
      </c>
      <c r="I42" t="s">
        <v>2081</v>
      </c>
      <c r="J42" t="s">
        <v>2082</v>
      </c>
      <c r="K42" t="s">
        <v>1427</v>
      </c>
      <c r="L42" t="s">
        <v>188</v>
      </c>
      <c r="BB42" t="s">
        <v>193</v>
      </c>
    </row>
    <row r="43" spans="1:54" hidden="1" x14ac:dyDescent="0.25">
      <c r="A43" t="s">
        <v>84</v>
      </c>
      <c r="B43" t="s">
        <v>188</v>
      </c>
      <c r="C43">
        <v>350</v>
      </c>
      <c r="D43" t="s">
        <v>189</v>
      </c>
      <c r="E43" t="s">
        <v>2073</v>
      </c>
      <c r="F43" t="s">
        <v>2074</v>
      </c>
      <c r="G43" t="s">
        <v>2079</v>
      </c>
      <c r="H43" t="s">
        <v>2080</v>
      </c>
      <c r="I43" t="s">
        <v>2081</v>
      </c>
      <c r="J43" t="s">
        <v>2082</v>
      </c>
      <c r="K43" t="s">
        <v>1427</v>
      </c>
      <c r="L43" t="s">
        <v>188</v>
      </c>
      <c r="BB43" t="s">
        <v>187</v>
      </c>
    </row>
    <row r="44" spans="1:54" hidden="1" x14ac:dyDescent="0.25">
      <c r="A44" t="s">
        <v>58</v>
      </c>
      <c r="B44" t="s">
        <v>188</v>
      </c>
      <c r="C44">
        <v>157</v>
      </c>
      <c r="D44" t="s">
        <v>189</v>
      </c>
      <c r="E44" t="s">
        <v>2073</v>
      </c>
      <c r="F44" t="s">
        <v>2074</v>
      </c>
      <c r="G44" t="s">
        <v>2079</v>
      </c>
      <c r="H44" t="s">
        <v>2080</v>
      </c>
      <c r="I44" t="s">
        <v>2081</v>
      </c>
      <c r="J44" t="s">
        <v>2082</v>
      </c>
      <c r="K44" t="s">
        <v>1427</v>
      </c>
      <c r="L44" t="s">
        <v>188</v>
      </c>
      <c r="BB44" t="s">
        <v>210</v>
      </c>
    </row>
    <row r="45" spans="1:54" hidden="1" x14ac:dyDescent="0.25">
      <c r="A45" t="s">
        <v>79</v>
      </c>
      <c r="B45" t="s">
        <v>188</v>
      </c>
      <c r="C45">
        <v>84</v>
      </c>
      <c r="D45" t="s">
        <v>189</v>
      </c>
      <c r="E45" t="s">
        <v>2073</v>
      </c>
      <c r="F45" t="s">
        <v>2074</v>
      </c>
      <c r="G45" t="s">
        <v>2079</v>
      </c>
      <c r="H45" t="s">
        <v>2080</v>
      </c>
      <c r="I45" t="s">
        <v>2081</v>
      </c>
      <c r="J45" t="s">
        <v>2082</v>
      </c>
      <c r="K45" t="s">
        <v>1427</v>
      </c>
      <c r="L45" t="s">
        <v>188</v>
      </c>
      <c r="BB45" t="s">
        <v>202</v>
      </c>
    </row>
    <row r="46" spans="1:54" hidden="1" x14ac:dyDescent="0.25">
      <c r="A46" t="s">
        <v>70</v>
      </c>
      <c r="B46" t="s">
        <v>188</v>
      </c>
      <c r="C46">
        <v>63</v>
      </c>
      <c r="D46" t="s">
        <v>189</v>
      </c>
      <c r="E46" t="s">
        <v>2073</v>
      </c>
      <c r="F46" t="s">
        <v>2074</v>
      </c>
      <c r="G46" t="s">
        <v>2079</v>
      </c>
      <c r="H46" t="s">
        <v>2080</v>
      </c>
      <c r="I46" t="s">
        <v>2081</v>
      </c>
      <c r="J46" t="s">
        <v>2082</v>
      </c>
      <c r="K46" t="s">
        <v>1427</v>
      </c>
      <c r="L46" t="s">
        <v>188</v>
      </c>
      <c r="BB46" t="s">
        <v>190</v>
      </c>
    </row>
    <row r="47" spans="1:54" hidden="1" x14ac:dyDescent="0.25">
      <c r="A47" t="s">
        <v>83</v>
      </c>
      <c r="B47" t="s">
        <v>188</v>
      </c>
      <c r="C47">
        <v>769</v>
      </c>
      <c r="D47" t="s">
        <v>189</v>
      </c>
      <c r="E47" t="s">
        <v>2073</v>
      </c>
      <c r="F47" t="s">
        <v>2074</v>
      </c>
      <c r="G47" t="s">
        <v>2079</v>
      </c>
      <c r="H47" t="s">
        <v>2080</v>
      </c>
      <c r="I47" t="s">
        <v>2081</v>
      </c>
      <c r="J47" t="s">
        <v>2082</v>
      </c>
      <c r="K47" t="s">
        <v>1427</v>
      </c>
      <c r="L47" t="s">
        <v>188</v>
      </c>
      <c r="BB47" t="s">
        <v>222</v>
      </c>
    </row>
    <row r="48" spans="1:54" hidden="1" x14ac:dyDescent="0.25">
      <c r="A48" t="s">
        <v>7</v>
      </c>
      <c r="B48" t="s">
        <v>188</v>
      </c>
      <c r="C48">
        <v>6632</v>
      </c>
      <c r="D48" t="s">
        <v>189</v>
      </c>
      <c r="E48" t="s">
        <v>2073</v>
      </c>
      <c r="F48" t="s">
        <v>2074</v>
      </c>
      <c r="G48" t="s">
        <v>2079</v>
      </c>
      <c r="H48" t="s">
        <v>2080</v>
      </c>
      <c r="I48" t="s">
        <v>2081</v>
      </c>
      <c r="J48" t="s">
        <v>2082</v>
      </c>
      <c r="K48" t="s">
        <v>1427</v>
      </c>
      <c r="L48" t="s">
        <v>188</v>
      </c>
      <c r="BB48" t="s">
        <v>207</v>
      </c>
    </row>
    <row r="49" spans="1:54" hidden="1" x14ac:dyDescent="0.25">
      <c r="A49" t="s">
        <v>8</v>
      </c>
      <c r="B49" t="s">
        <v>188</v>
      </c>
      <c r="C49">
        <v>1340</v>
      </c>
      <c r="D49" t="s">
        <v>189</v>
      </c>
      <c r="E49" t="s">
        <v>2073</v>
      </c>
      <c r="F49" t="s">
        <v>2074</v>
      </c>
      <c r="G49" t="s">
        <v>2079</v>
      </c>
      <c r="H49" t="s">
        <v>2080</v>
      </c>
      <c r="I49" t="s">
        <v>2081</v>
      </c>
      <c r="J49" t="s">
        <v>2082</v>
      </c>
      <c r="K49" t="s">
        <v>1427</v>
      </c>
      <c r="L49" t="s">
        <v>188</v>
      </c>
      <c r="BB49" t="s">
        <v>219</v>
      </c>
    </row>
    <row r="50" spans="1:54" hidden="1" x14ac:dyDescent="0.25">
      <c r="A50" t="s">
        <v>11</v>
      </c>
      <c r="B50" t="s">
        <v>188</v>
      </c>
      <c r="C50">
        <v>2461</v>
      </c>
      <c r="D50" t="s">
        <v>189</v>
      </c>
      <c r="E50" t="s">
        <v>2073</v>
      </c>
      <c r="F50" t="s">
        <v>2074</v>
      </c>
      <c r="G50" t="s">
        <v>2079</v>
      </c>
      <c r="H50" t="s">
        <v>2080</v>
      </c>
      <c r="I50" t="s">
        <v>2081</v>
      </c>
      <c r="J50" t="s">
        <v>2082</v>
      </c>
      <c r="K50" t="s">
        <v>1427</v>
      </c>
      <c r="L50" t="s">
        <v>188</v>
      </c>
      <c r="BB50" t="s">
        <v>193</v>
      </c>
    </row>
    <row r="51" spans="1:54" hidden="1" x14ac:dyDescent="0.25">
      <c r="A51" t="s">
        <v>46</v>
      </c>
      <c r="B51" t="s">
        <v>188</v>
      </c>
      <c r="C51">
        <v>1312</v>
      </c>
      <c r="D51" t="s">
        <v>189</v>
      </c>
      <c r="E51" t="s">
        <v>2073</v>
      </c>
      <c r="F51" t="s">
        <v>2074</v>
      </c>
      <c r="G51" t="s">
        <v>2079</v>
      </c>
      <c r="H51" t="s">
        <v>2080</v>
      </c>
      <c r="I51" t="s">
        <v>2081</v>
      </c>
      <c r="J51" t="s">
        <v>2082</v>
      </c>
      <c r="K51" t="s">
        <v>1427</v>
      </c>
      <c r="L51" t="s">
        <v>188</v>
      </c>
      <c r="BB51" t="s">
        <v>187</v>
      </c>
    </row>
    <row r="52" spans="1:54" hidden="1" x14ac:dyDescent="0.25">
      <c r="A52" t="s">
        <v>28</v>
      </c>
      <c r="B52" t="s">
        <v>188</v>
      </c>
      <c r="C52">
        <v>518</v>
      </c>
      <c r="D52" t="s">
        <v>189</v>
      </c>
      <c r="E52" t="s">
        <v>2073</v>
      </c>
      <c r="F52" t="s">
        <v>2074</v>
      </c>
      <c r="G52" t="s">
        <v>2079</v>
      </c>
      <c r="H52" t="s">
        <v>2080</v>
      </c>
      <c r="I52" t="s">
        <v>2081</v>
      </c>
      <c r="J52" t="s">
        <v>2082</v>
      </c>
      <c r="K52" t="s">
        <v>1427</v>
      </c>
      <c r="L52" t="s">
        <v>188</v>
      </c>
      <c r="BB52" t="s">
        <v>210</v>
      </c>
    </row>
    <row r="53" spans="1:54" hidden="1" x14ac:dyDescent="0.25">
      <c r="A53" t="s">
        <v>39</v>
      </c>
      <c r="B53" t="s">
        <v>188</v>
      </c>
      <c r="C53">
        <v>535</v>
      </c>
      <c r="D53" t="s">
        <v>189</v>
      </c>
      <c r="E53" t="s">
        <v>2073</v>
      </c>
      <c r="F53" t="s">
        <v>2074</v>
      </c>
      <c r="G53" t="s">
        <v>2079</v>
      </c>
      <c r="H53" t="s">
        <v>2080</v>
      </c>
      <c r="I53" t="s">
        <v>2081</v>
      </c>
      <c r="J53" t="s">
        <v>2082</v>
      </c>
      <c r="K53" t="s">
        <v>1427</v>
      </c>
      <c r="L53" t="s">
        <v>188</v>
      </c>
      <c r="BB53" t="s">
        <v>190</v>
      </c>
    </row>
    <row r="54" spans="1:54" hidden="1" x14ac:dyDescent="0.25">
      <c r="A54" t="s">
        <v>75</v>
      </c>
      <c r="B54" t="s">
        <v>188</v>
      </c>
      <c r="C54">
        <v>2833</v>
      </c>
      <c r="D54" t="s">
        <v>189</v>
      </c>
      <c r="E54" t="s">
        <v>2073</v>
      </c>
      <c r="F54" t="s">
        <v>2074</v>
      </c>
      <c r="G54" t="s">
        <v>2079</v>
      </c>
      <c r="H54" t="s">
        <v>2080</v>
      </c>
      <c r="I54" t="s">
        <v>2081</v>
      </c>
      <c r="J54" t="s">
        <v>2082</v>
      </c>
      <c r="K54" t="s">
        <v>1427</v>
      </c>
      <c r="L54" t="s">
        <v>188</v>
      </c>
      <c r="BB54" t="s">
        <v>207</v>
      </c>
    </row>
    <row r="55" spans="1:54" hidden="1" x14ac:dyDescent="0.25">
      <c r="A55" t="s">
        <v>50</v>
      </c>
      <c r="B55" t="s">
        <v>188</v>
      </c>
      <c r="C55">
        <v>553</v>
      </c>
      <c r="D55" t="s">
        <v>189</v>
      </c>
      <c r="E55" t="s">
        <v>2073</v>
      </c>
      <c r="F55" t="s">
        <v>2074</v>
      </c>
      <c r="G55" t="s">
        <v>2079</v>
      </c>
      <c r="H55" t="s">
        <v>2080</v>
      </c>
      <c r="I55" t="s">
        <v>2081</v>
      </c>
      <c r="J55" t="s">
        <v>2082</v>
      </c>
      <c r="K55" t="s">
        <v>1427</v>
      </c>
      <c r="L55" t="s">
        <v>188</v>
      </c>
      <c r="BB55" t="s">
        <v>219</v>
      </c>
    </row>
    <row r="56" spans="1:54" hidden="1" x14ac:dyDescent="0.25">
      <c r="A56" t="s">
        <v>48</v>
      </c>
      <c r="B56" t="s">
        <v>188</v>
      </c>
      <c r="C56">
        <v>63</v>
      </c>
      <c r="D56" t="s">
        <v>189</v>
      </c>
      <c r="E56" t="s">
        <v>2073</v>
      </c>
      <c r="F56" t="s">
        <v>2074</v>
      </c>
      <c r="G56" t="s">
        <v>2079</v>
      </c>
      <c r="H56" t="s">
        <v>2080</v>
      </c>
      <c r="I56" t="s">
        <v>2081</v>
      </c>
      <c r="J56" t="s">
        <v>2082</v>
      </c>
      <c r="K56" t="s">
        <v>1427</v>
      </c>
      <c r="L56" t="s">
        <v>188</v>
      </c>
      <c r="BB56" t="s">
        <v>202</v>
      </c>
    </row>
    <row r="57" spans="1:54" hidden="1" x14ac:dyDescent="0.25">
      <c r="A57" t="s">
        <v>43</v>
      </c>
      <c r="B57" t="s">
        <v>188</v>
      </c>
      <c r="C57">
        <v>32</v>
      </c>
      <c r="D57" t="s">
        <v>189</v>
      </c>
      <c r="E57" t="s">
        <v>2073</v>
      </c>
      <c r="F57" t="s">
        <v>2074</v>
      </c>
      <c r="G57" t="s">
        <v>2079</v>
      </c>
      <c r="H57" t="s">
        <v>2080</v>
      </c>
      <c r="I57" t="s">
        <v>2081</v>
      </c>
      <c r="J57" t="s">
        <v>2082</v>
      </c>
      <c r="K57" t="s">
        <v>1427</v>
      </c>
      <c r="L57" t="s">
        <v>188</v>
      </c>
      <c r="BB57" t="s">
        <v>222</v>
      </c>
    </row>
    <row r="58" spans="1:54" hidden="1" x14ac:dyDescent="0.25">
      <c r="A58" t="s">
        <v>27</v>
      </c>
      <c r="B58" t="s">
        <v>188</v>
      </c>
      <c r="C58">
        <v>298</v>
      </c>
      <c r="D58" t="s">
        <v>189</v>
      </c>
      <c r="E58" t="s">
        <v>2073</v>
      </c>
      <c r="F58" t="s">
        <v>2074</v>
      </c>
      <c r="G58" t="s">
        <v>2079</v>
      </c>
      <c r="H58" t="s">
        <v>2080</v>
      </c>
      <c r="I58" t="s">
        <v>2081</v>
      </c>
      <c r="J58" t="s">
        <v>2082</v>
      </c>
      <c r="K58" t="s">
        <v>1427</v>
      </c>
      <c r="L58" t="s">
        <v>188</v>
      </c>
      <c r="BB58" t="s">
        <v>228</v>
      </c>
    </row>
    <row r="59" spans="1:54" hidden="1" x14ac:dyDescent="0.25">
      <c r="A59" t="s">
        <v>78</v>
      </c>
      <c r="B59" t="s">
        <v>188</v>
      </c>
      <c r="C59">
        <v>113</v>
      </c>
      <c r="D59" t="s">
        <v>189</v>
      </c>
      <c r="E59" t="s">
        <v>2073</v>
      </c>
      <c r="F59" t="s">
        <v>2074</v>
      </c>
      <c r="G59" t="s">
        <v>2079</v>
      </c>
      <c r="H59" t="s">
        <v>2080</v>
      </c>
      <c r="I59" t="s">
        <v>2081</v>
      </c>
      <c r="J59" t="s">
        <v>2082</v>
      </c>
      <c r="K59" t="s">
        <v>1427</v>
      </c>
      <c r="L59" t="s">
        <v>188</v>
      </c>
      <c r="BB59" t="s">
        <v>205</v>
      </c>
    </row>
    <row r="60" spans="1:54" hidden="1" x14ac:dyDescent="0.25">
      <c r="A60" t="s">
        <v>86</v>
      </c>
      <c r="B60" t="s">
        <v>188</v>
      </c>
      <c r="C60">
        <v>216</v>
      </c>
      <c r="D60" t="s">
        <v>189</v>
      </c>
      <c r="E60" t="s">
        <v>2073</v>
      </c>
      <c r="F60" t="s">
        <v>2074</v>
      </c>
      <c r="G60" t="s">
        <v>2079</v>
      </c>
      <c r="H60" t="s">
        <v>2080</v>
      </c>
      <c r="I60" t="s">
        <v>2081</v>
      </c>
      <c r="J60" t="s">
        <v>2082</v>
      </c>
      <c r="K60" t="s">
        <v>1427</v>
      </c>
      <c r="L60" t="s">
        <v>188</v>
      </c>
      <c r="BB60" t="s">
        <v>187</v>
      </c>
    </row>
    <row r="61" spans="1:54" hidden="1" x14ac:dyDescent="0.25">
      <c r="A61" t="s">
        <v>40</v>
      </c>
      <c r="B61" t="s">
        <v>188</v>
      </c>
      <c r="C61">
        <v>3411</v>
      </c>
      <c r="D61" t="s">
        <v>189</v>
      </c>
      <c r="E61" t="s">
        <v>2073</v>
      </c>
      <c r="F61" t="s">
        <v>2074</v>
      </c>
      <c r="G61" t="s">
        <v>2079</v>
      </c>
      <c r="H61" t="s">
        <v>2080</v>
      </c>
      <c r="I61" t="s">
        <v>2081</v>
      </c>
      <c r="J61" t="s">
        <v>2082</v>
      </c>
      <c r="K61" t="s">
        <v>1427</v>
      </c>
      <c r="L61" t="s">
        <v>188</v>
      </c>
      <c r="BB61" t="s">
        <v>231</v>
      </c>
    </row>
    <row r="62" spans="1:54" hidden="1" x14ac:dyDescent="0.25">
      <c r="A62" t="s">
        <v>34</v>
      </c>
      <c r="B62" t="s">
        <v>188</v>
      </c>
      <c r="C62">
        <v>2776</v>
      </c>
      <c r="D62" t="s">
        <v>189</v>
      </c>
      <c r="E62" t="s">
        <v>2073</v>
      </c>
      <c r="F62" t="s">
        <v>2074</v>
      </c>
      <c r="G62" t="s">
        <v>2079</v>
      </c>
      <c r="H62" t="s">
        <v>2080</v>
      </c>
      <c r="I62" t="s">
        <v>2081</v>
      </c>
      <c r="J62" t="s">
        <v>2082</v>
      </c>
      <c r="K62" t="s">
        <v>1427</v>
      </c>
      <c r="L62" t="s">
        <v>188</v>
      </c>
      <c r="BB62" t="s">
        <v>205</v>
      </c>
    </row>
    <row r="63" spans="1:54" hidden="1" x14ac:dyDescent="0.25">
      <c r="A63" t="s">
        <v>42</v>
      </c>
      <c r="B63" t="s">
        <v>188</v>
      </c>
      <c r="C63">
        <v>2508</v>
      </c>
      <c r="D63" t="s">
        <v>189</v>
      </c>
      <c r="E63" t="s">
        <v>2073</v>
      </c>
      <c r="F63" t="s">
        <v>2074</v>
      </c>
      <c r="G63" t="s">
        <v>2079</v>
      </c>
      <c r="H63" t="s">
        <v>2080</v>
      </c>
      <c r="I63" t="s">
        <v>2081</v>
      </c>
      <c r="J63" t="s">
        <v>2082</v>
      </c>
      <c r="K63" t="s">
        <v>1427</v>
      </c>
      <c r="L63" t="s">
        <v>188</v>
      </c>
      <c r="BB63" t="s">
        <v>207</v>
      </c>
    </row>
    <row r="64" spans="1:54" hidden="1" x14ac:dyDescent="0.25">
      <c r="A64" t="s">
        <v>80</v>
      </c>
      <c r="B64" t="s">
        <v>188</v>
      </c>
      <c r="C64">
        <v>2</v>
      </c>
      <c r="D64" t="s">
        <v>189</v>
      </c>
      <c r="E64" t="s">
        <v>2073</v>
      </c>
      <c r="F64" t="s">
        <v>2074</v>
      </c>
      <c r="G64" t="s">
        <v>2079</v>
      </c>
      <c r="H64" t="s">
        <v>2080</v>
      </c>
      <c r="I64" t="s">
        <v>2081</v>
      </c>
      <c r="J64" t="s">
        <v>2082</v>
      </c>
      <c r="K64" t="s">
        <v>1427</v>
      </c>
      <c r="L64" t="s">
        <v>188</v>
      </c>
      <c r="BB64" t="s">
        <v>193</v>
      </c>
    </row>
    <row r="65" spans="1:54" hidden="1" x14ac:dyDescent="0.25">
      <c r="A65" t="s">
        <v>37</v>
      </c>
      <c r="B65" t="s">
        <v>188</v>
      </c>
      <c r="C65">
        <v>201</v>
      </c>
      <c r="D65" t="s">
        <v>189</v>
      </c>
      <c r="E65" t="s">
        <v>2073</v>
      </c>
      <c r="F65" t="s">
        <v>2074</v>
      </c>
      <c r="G65" t="s">
        <v>2079</v>
      </c>
      <c r="H65" t="s">
        <v>2080</v>
      </c>
      <c r="I65" t="s">
        <v>2081</v>
      </c>
      <c r="J65" t="s">
        <v>2082</v>
      </c>
      <c r="K65" t="s">
        <v>1427</v>
      </c>
      <c r="L65" t="s">
        <v>188</v>
      </c>
      <c r="BB65" t="s">
        <v>216</v>
      </c>
    </row>
    <row r="66" spans="1:54" hidden="1" x14ac:dyDescent="0.25">
      <c r="A66" t="s">
        <v>18</v>
      </c>
      <c r="B66" t="s">
        <v>188</v>
      </c>
      <c r="C66">
        <v>911</v>
      </c>
      <c r="D66" t="s">
        <v>189</v>
      </c>
      <c r="E66" t="s">
        <v>2073</v>
      </c>
      <c r="F66" t="s">
        <v>2074</v>
      </c>
      <c r="G66" t="s">
        <v>2079</v>
      </c>
      <c r="H66" t="s">
        <v>2080</v>
      </c>
      <c r="I66" t="s">
        <v>2081</v>
      </c>
      <c r="J66" t="s">
        <v>2082</v>
      </c>
      <c r="K66" t="s">
        <v>1427</v>
      </c>
      <c r="L66" t="s">
        <v>188</v>
      </c>
      <c r="BB66" t="s">
        <v>210</v>
      </c>
    </row>
    <row r="67" spans="1:54" hidden="1" x14ac:dyDescent="0.25">
      <c r="A67" t="s">
        <v>89</v>
      </c>
      <c r="B67" t="s">
        <v>188</v>
      </c>
      <c r="C67">
        <v>219</v>
      </c>
      <c r="D67" t="s">
        <v>189</v>
      </c>
      <c r="E67" t="s">
        <v>2073</v>
      </c>
      <c r="F67" t="s">
        <v>2074</v>
      </c>
      <c r="G67" t="s">
        <v>2079</v>
      </c>
      <c r="H67" t="s">
        <v>2080</v>
      </c>
      <c r="I67" t="s">
        <v>2081</v>
      </c>
      <c r="J67" t="s">
        <v>2082</v>
      </c>
      <c r="K67" t="s">
        <v>1427</v>
      </c>
      <c r="L67" t="s">
        <v>188</v>
      </c>
      <c r="BB67" t="s">
        <v>233</v>
      </c>
    </row>
    <row r="68" spans="1:54" hidden="1" x14ac:dyDescent="0.25">
      <c r="A68" t="s">
        <v>87</v>
      </c>
      <c r="B68" t="s">
        <v>188</v>
      </c>
      <c r="C68">
        <v>2785</v>
      </c>
      <c r="D68" t="s">
        <v>189</v>
      </c>
      <c r="E68" t="s">
        <v>2073</v>
      </c>
      <c r="F68" t="s">
        <v>2074</v>
      </c>
      <c r="G68" t="s">
        <v>2079</v>
      </c>
      <c r="H68" t="s">
        <v>2080</v>
      </c>
      <c r="I68" t="s">
        <v>2081</v>
      </c>
      <c r="J68" t="s">
        <v>2082</v>
      </c>
      <c r="K68" t="s">
        <v>1427</v>
      </c>
      <c r="L68" t="s">
        <v>188</v>
      </c>
      <c r="BB68" t="s">
        <v>228</v>
      </c>
    </row>
    <row r="69" spans="1:54" hidden="1" x14ac:dyDescent="0.25">
      <c r="A69" t="s">
        <v>93</v>
      </c>
      <c r="B69" t="s">
        <v>188</v>
      </c>
      <c r="C69">
        <v>126</v>
      </c>
      <c r="D69" t="s">
        <v>189</v>
      </c>
      <c r="E69" t="s">
        <v>2073</v>
      </c>
      <c r="F69" t="s">
        <v>2074</v>
      </c>
      <c r="G69" t="s">
        <v>2079</v>
      </c>
      <c r="H69" t="s">
        <v>2080</v>
      </c>
      <c r="I69" t="s">
        <v>2081</v>
      </c>
      <c r="J69" t="s">
        <v>2082</v>
      </c>
      <c r="K69" t="s">
        <v>1427</v>
      </c>
      <c r="L69" t="s">
        <v>188</v>
      </c>
      <c r="BB69" t="s">
        <v>236</v>
      </c>
    </row>
    <row r="70" spans="1:54" hidden="1" x14ac:dyDescent="0.25">
      <c r="A70" t="s">
        <v>20</v>
      </c>
      <c r="B70" t="s">
        <v>188</v>
      </c>
      <c r="C70">
        <v>146</v>
      </c>
      <c r="D70" t="s">
        <v>189</v>
      </c>
      <c r="E70" t="s">
        <v>2073</v>
      </c>
      <c r="F70" t="s">
        <v>2074</v>
      </c>
      <c r="G70" t="s">
        <v>2079</v>
      </c>
      <c r="H70" t="s">
        <v>2080</v>
      </c>
      <c r="I70" t="s">
        <v>2081</v>
      </c>
      <c r="J70" t="s">
        <v>2082</v>
      </c>
      <c r="K70" t="s">
        <v>1427</v>
      </c>
      <c r="L70" t="s">
        <v>188</v>
      </c>
      <c r="BB70" t="s">
        <v>187</v>
      </c>
    </row>
    <row r="71" spans="1:54" hidden="1" x14ac:dyDescent="0.25">
      <c r="A71" t="s">
        <v>17</v>
      </c>
      <c r="B71" t="s">
        <v>188</v>
      </c>
      <c r="C71">
        <v>175</v>
      </c>
      <c r="D71" t="s">
        <v>189</v>
      </c>
      <c r="E71" t="s">
        <v>2073</v>
      </c>
      <c r="F71" t="s">
        <v>2074</v>
      </c>
      <c r="G71" t="s">
        <v>2079</v>
      </c>
      <c r="H71" t="s">
        <v>2080</v>
      </c>
      <c r="I71" t="s">
        <v>2081</v>
      </c>
      <c r="J71" t="s">
        <v>2082</v>
      </c>
      <c r="K71" t="s">
        <v>1427</v>
      </c>
      <c r="L71" t="s">
        <v>188</v>
      </c>
      <c r="BB71" t="s">
        <v>193</v>
      </c>
    </row>
    <row r="72" spans="1:54" hidden="1" x14ac:dyDescent="0.25">
      <c r="A72" t="s">
        <v>66</v>
      </c>
      <c r="B72" t="s">
        <v>188</v>
      </c>
      <c r="C72">
        <v>972</v>
      </c>
      <c r="D72" t="s">
        <v>189</v>
      </c>
      <c r="E72" t="s">
        <v>2073</v>
      </c>
      <c r="F72" t="s">
        <v>2074</v>
      </c>
      <c r="G72" t="s">
        <v>2079</v>
      </c>
      <c r="H72" t="s">
        <v>2080</v>
      </c>
      <c r="I72" t="s">
        <v>2081</v>
      </c>
      <c r="J72" t="s">
        <v>2082</v>
      </c>
      <c r="K72" t="s">
        <v>1427</v>
      </c>
      <c r="L72" t="s">
        <v>188</v>
      </c>
      <c r="BB72" t="s">
        <v>216</v>
      </c>
    </row>
    <row r="73" spans="1:54" hidden="1" x14ac:dyDescent="0.25">
      <c r="A73" t="s">
        <v>9</v>
      </c>
      <c r="B73" t="s">
        <v>188</v>
      </c>
      <c r="C73">
        <v>300</v>
      </c>
      <c r="D73" t="s">
        <v>189</v>
      </c>
      <c r="E73" t="s">
        <v>2073</v>
      </c>
      <c r="F73" t="s">
        <v>2074</v>
      </c>
      <c r="G73" t="s">
        <v>2079</v>
      </c>
      <c r="H73" t="s">
        <v>2080</v>
      </c>
      <c r="I73" t="s">
        <v>2081</v>
      </c>
      <c r="J73" t="s">
        <v>2082</v>
      </c>
      <c r="K73" t="s">
        <v>1427</v>
      </c>
      <c r="L73" t="s">
        <v>188</v>
      </c>
      <c r="BB73" t="s">
        <v>210</v>
      </c>
    </row>
    <row r="74" spans="1:54" hidden="1" x14ac:dyDescent="0.25">
      <c r="A74" t="s">
        <v>29</v>
      </c>
      <c r="B74" t="s">
        <v>188</v>
      </c>
      <c r="C74">
        <v>63</v>
      </c>
      <c r="D74" t="s">
        <v>189</v>
      </c>
      <c r="E74" t="s">
        <v>2073</v>
      </c>
      <c r="F74" t="s">
        <v>2074</v>
      </c>
      <c r="G74" t="s">
        <v>2079</v>
      </c>
      <c r="H74" t="s">
        <v>2080</v>
      </c>
      <c r="I74" t="s">
        <v>2081</v>
      </c>
      <c r="J74" t="s">
        <v>2082</v>
      </c>
      <c r="K74" t="s">
        <v>1427</v>
      </c>
      <c r="L74" t="s">
        <v>188</v>
      </c>
      <c r="BB74" t="s">
        <v>205</v>
      </c>
    </row>
    <row r="75" spans="1:54" hidden="1" x14ac:dyDescent="0.25">
      <c r="A75" t="s">
        <v>81</v>
      </c>
      <c r="B75" t="s">
        <v>188</v>
      </c>
      <c r="C75">
        <v>1310</v>
      </c>
      <c r="D75" t="s">
        <v>189</v>
      </c>
      <c r="E75" t="s">
        <v>2073</v>
      </c>
      <c r="F75" t="s">
        <v>2074</v>
      </c>
      <c r="G75" t="s">
        <v>2079</v>
      </c>
      <c r="H75" t="s">
        <v>2080</v>
      </c>
      <c r="I75" t="s">
        <v>2081</v>
      </c>
      <c r="J75" t="s">
        <v>2082</v>
      </c>
      <c r="K75" t="s">
        <v>1427</v>
      </c>
      <c r="L75" t="s">
        <v>188</v>
      </c>
      <c r="BB75" t="s">
        <v>207</v>
      </c>
    </row>
    <row r="76" spans="1:54" hidden="1" x14ac:dyDescent="0.25">
      <c r="A76" t="s">
        <v>32</v>
      </c>
      <c r="B76" t="s">
        <v>188</v>
      </c>
      <c r="C76">
        <v>2070</v>
      </c>
      <c r="D76" t="s">
        <v>189</v>
      </c>
      <c r="E76" t="s">
        <v>2073</v>
      </c>
      <c r="F76" t="s">
        <v>2074</v>
      </c>
      <c r="G76" t="s">
        <v>2079</v>
      </c>
      <c r="H76" t="s">
        <v>2080</v>
      </c>
      <c r="I76" t="s">
        <v>2081</v>
      </c>
      <c r="J76" t="s">
        <v>2082</v>
      </c>
      <c r="K76" t="s">
        <v>1427</v>
      </c>
      <c r="L76" t="s">
        <v>188</v>
      </c>
      <c r="BB76" t="s">
        <v>202</v>
      </c>
    </row>
    <row r="77" spans="1:54" hidden="1" x14ac:dyDescent="0.25">
      <c r="A77" t="s">
        <v>65</v>
      </c>
      <c r="B77" t="s">
        <v>188</v>
      </c>
      <c r="C77">
        <v>2814</v>
      </c>
      <c r="D77" t="s">
        <v>189</v>
      </c>
      <c r="E77" t="s">
        <v>2073</v>
      </c>
      <c r="F77" t="s">
        <v>2074</v>
      </c>
      <c r="G77" t="s">
        <v>2079</v>
      </c>
      <c r="H77" t="s">
        <v>2080</v>
      </c>
      <c r="I77" t="s">
        <v>2081</v>
      </c>
      <c r="J77" t="s">
        <v>2082</v>
      </c>
      <c r="K77" t="s">
        <v>1427</v>
      </c>
      <c r="L77" t="s">
        <v>188</v>
      </c>
      <c r="BB77" t="s">
        <v>219</v>
      </c>
    </row>
    <row r="78" spans="1:54" hidden="1" x14ac:dyDescent="0.25">
      <c r="A78" t="s">
        <v>59</v>
      </c>
      <c r="B78" t="s">
        <v>188</v>
      </c>
      <c r="C78">
        <v>2384</v>
      </c>
      <c r="D78" t="s">
        <v>189</v>
      </c>
      <c r="E78" t="s">
        <v>2073</v>
      </c>
      <c r="F78" t="s">
        <v>2074</v>
      </c>
      <c r="G78" t="s">
        <v>2079</v>
      </c>
      <c r="H78" t="s">
        <v>2080</v>
      </c>
      <c r="I78" t="s">
        <v>2081</v>
      </c>
      <c r="J78" t="s">
        <v>2082</v>
      </c>
      <c r="K78" t="s">
        <v>1427</v>
      </c>
      <c r="L78" t="s">
        <v>188</v>
      </c>
      <c r="BB78" t="s">
        <v>222</v>
      </c>
    </row>
    <row r="79" spans="1:54" hidden="1" x14ac:dyDescent="0.25">
      <c r="A79" t="s">
        <v>77</v>
      </c>
      <c r="B79" t="s">
        <v>188</v>
      </c>
      <c r="C79">
        <v>12</v>
      </c>
      <c r="D79" t="s">
        <v>189</v>
      </c>
      <c r="E79" t="s">
        <v>2073</v>
      </c>
      <c r="F79" t="s">
        <v>2074</v>
      </c>
      <c r="G79" t="s">
        <v>2079</v>
      </c>
      <c r="H79" t="s">
        <v>2080</v>
      </c>
      <c r="I79" t="s">
        <v>2081</v>
      </c>
      <c r="J79" t="s">
        <v>2082</v>
      </c>
      <c r="K79" t="s">
        <v>1427</v>
      </c>
      <c r="L79" t="s">
        <v>188</v>
      </c>
      <c r="BB79" t="s">
        <v>187</v>
      </c>
    </row>
    <row r="80" spans="1:54" hidden="1" x14ac:dyDescent="0.25">
      <c r="A80" t="s">
        <v>45</v>
      </c>
      <c r="B80" t="s">
        <v>188</v>
      </c>
      <c r="C80">
        <v>30</v>
      </c>
      <c r="D80" t="s">
        <v>189</v>
      </c>
      <c r="E80" t="s">
        <v>2073</v>
      </c>
      <c r="F80" t="s">
        <v>2074</v>
      </c>
      <c r="G80" t="s">
        <v>2079</v>
      </c>
      <c r="H80" t="s">
        <v>2080</v>
      </c>
      <c r="I80" t="s">
        <v>2081</v>
      </c>
      <c r="J80" t="s">
        <v>2082</v>
      </c>
      <c r="K80" t="s">
        <v>1427</v>
      </c>
      <c r="L80" t="s">
        <v>188</v>
      </c>
      <c r="BB80" t="s">
        <v>193</v>
      </c>
    </row>
    <row r="81" spans="1:54" hidden="1" x14ac:dyDescent="0.25">
      <c r="A81" t="s">
        <v>15</v>
      </c>
      <c r="B81" t="s">
        <v>188</v>
      </c>
      <c r="C81">
        <v>233</v>
      </c>
      <c r="D81" t="s">
        <v>189</v>
      </c>
      <c r="E81" t="s">
        <v>2073</v>
      </c>
      <c r="F81" t="s">
        <v>2074</v>
      </c>
      <c r="G81" t="s">
        <v>2079</v>
      </c>
      <c r="H81" t="s">
        <v>2080</v>
      </c>
      <c r="I81" t="s">
        <v>2081</v>
      </c>
      <c r="J81" t="s">
        <v>2082</v>
      </c>
      <c r="K81" t="s">
        <v>1427</v>
      </c>
      <c r="L81" t="s">
        <v>188</v>
      </c>
      <c r="BB81" t="s">
        <v>216</v>
      </c>
    </row>
    <row r="82" spans="1:54" hidden="1" x14ac:dyDescent="0.25">
      <c r="A82" t="s">
        <v>49</v>
      </c>
      <c r="B82" t="s">
        <v>188</v>
      </c>
      <c r="C82">
        <v>1751</v>
      </c>
      <c r="D82" t="s">
        <v>189</v>
      </c>
      <c r="E82" t="s">
        <v>2073</v>
      </c>
      <c r="F82" t="s">
        <v>2074</v>
      </c>
      <c r="G82" t="s">
        <v>2079</v>
      </c>
      <c r="H82" t="s">
        <v>2080</v>
      </c>
      <c r="I82" t="s">
        <v>2081</v>
      </c>
      <c r="J82" t="s">
        <v>2082</v>
      </c>
      <c r="K82" t="s">
        <v>1427</v>
      </c>
      <c r="L82" t="s">
        <v>188</v>
      </c>
      <c r="BB82" t="s">
        <v>210</v>
      </c>
    </row>
    <row r="83" spans="1:54" hidden="1" x14ac:dyDescent="0.25">
      <c r="A83" t="s">
        <v>54</v>
      </c>
      <c r="B83" t="s">
        <v>188</v>
      </c>
      <c r="C83">
        <v>850</v>
      </c>
      <c r="D83" t="s">
        <v>189</v>
      </c>
      <c r="E83" t="s">
        <v>2073</v>
      </c>
      <c r="F83" t="s">
        <v>2074</v>
      </c>
      <c r="G83" t="s">
        <v>2079</v>
      </c>
      <c r="H83" t="s">
        <v>2080</v>
      </c>
      <c r="I83" t="s">
        <v>2081</v>
      </c>
      <c r="J83" t="s">
        <v>2082</v>
      </c>
      <c r="K83" t="s">
        <v>1427</v>
      </c>
      <c r="L83" t="s">
        <v>188</v>
      </c>
      <c r="BB83" t="s">
        <v>205</v>
      </c>
    </row>
    <row r="84" spans="1:54" hidden="1" x14ac:dyDescent="0.25">
      <c r="A84" t="s">
        <v>41</v>
      </c>
      <c r="B84" t="s">
        <v>188</v>
      </c>
      <c r="C84">
        <v>1134</v>
      </c>
      <c r="D84" t="s">
        <v>189</v>
      </c>
      <c r="E84" t="s">
        <v>2073</v>
      </c>
      <c r="F84" t="s">
        <v>2074</v>
      </c>
      <c r="G84" t="s">
        <v>2079</v>
      </c>
      <c r="H84" t="s">
        <v>2080</v>
      </c>
      <c r="I84" t="s">
        <v>2081</v>
      </c>
      <c r="J84" t="s">
        <v>2082</v>
      </c>
      <c r="K84" t="s">
        <v>1427</v>
      </c>
      <c r="L84" t="s">
        <v>188</v>
      </c>
      <c r="BB84" t="s">
        <v>190</v>
      </c>
    </row>
    <row r="85" spans="1:54" hidden="1" x14ac:dyDescent="0.25">
      <c r="A85" t="s">
        <v>72</v>
      </c>
      <c r="B85" t="s">
        <v>188</v>
      </c>
      <c r="C85">
        <v>2010</v>
      </c>
      <c r="D85" t="s">
        <v>189</v>
      </c>
      <c r="E85" t="s">
        <v>2073</v>
      </c>
      <c r="F85" t="s">
        <v>2074</v>
      </c>
      <c r="G85" t="s">
        <v>2079</v>
      </c>
      <c r="H85" t="s">
        <v>2080</v>
      </c>
      <c r="I85" t="s">
        <v>2081</v>
      </c>
      <c r="J85" t="s">
        <v>2082</v>
      </c>
      <c r="K85" t="s">
        <v>1427</v>
      </c>
      <c r="L85" t="s">
        <v>188</v>
      </c>
      <c r="BB85" t="s">
        <v>202</v>
      </c>
    </row>
    <row r="86" spans="1:54" hidden="1" x14ac:dyDescent="0.25">
      <c r="A86" t="s">
        <v>26</v>
      </c>
      <c r="B86" t="s">
        <v>188</v>
      </c>
      <c r="C86">
        <v>4179</v>
      </c>
      <c r="D86" t="s">
        <v>189</v>
      </c>
      <c r="E86" t="s">
        <v>2073</v>
      </c>
      <c r="F86" t="s">
        <v>2074</v>
      </c>
      <c r="G86" t="s">
        <v>2079</v>
      </c>
      <c r="H86" t="s">
        <v>2080</v>
      </c>
      <c r="I86" t="s">
        <v>2081</v>
      </c>
      <c r="J86" t="s">
        <v>2082</v>
      </c>
      <c r="K86" t="s">
        <v>1427</v>
      </c>
      <c r="L86" t="s">
        <v>188</v>
      </c>
      <c r="BB86" t="s">
        <v>233</v>
      </c>
    </row>
    <row r="87" spans="1:54" hidden="1" x14ac:dyDescent="0.25">
      <c r="A87" t="s">
        <v>55</v>
      </c>
      <c r="B87" t="s">
        <v>188</v>
      </c>
      <c r="C87">
        <v>500</v>
      </c>
      <c r="D87" t="s">
        <v>189</v>
      </c>
      <c r="E87" t="s">
        <v>2073</v>
      </c>
      <c r="F87" t="s">
        <v>2074</v>
      </c>
      <c r="G87" t="s">
        <v>2079</v>
      </c>
      <c r="H87" t="s">
        <v>2080</v>
      </c>
      <c r="I87" t="s">
        <v>2081</v>
      </c>
      <c r="J87" t="s">
        <v>2082</v>
      </c>
      <c r="K87" t="s">
        <v>1427</v>
      </c>
      <c r="L87" t="s">
        <v>188</v>
      </c>
      <c r="BB87" t="s">
        <v>222</v>
      </c>
    </row>
    <row r="88" spans="1:54" hidden="1" x14ac:dyDescent="0.25">
      <c r="A88" t="s">
        <v>47</v>
      </c>
      <c r="B88" t="s">
        <v>188</v>
      </c>
      <c r="C88">
        <v>382</v>
      </c>
      <c r="D88" t="s">
        <v>189</v>
      </c>
      <c r="E88" t="s">
        <v>2073</v>
      </c>
      <c r="F88" t="s">
        <v>2074</v>
      </c>
      <c r="G88" t="s">
        <v>2079</v>
      </c>
      <c r="H88" t="s">
        <v>2080</v>
      </c>
      <c r="I88" t="s">
        <v>2081</v>
      </c>
      <c r="J88" t="s">
        <v>2082</v>
      </c>
      <c r="K88" t="s">
        <v>1427</v>
      </c>
      <c r="L88" t="s">
        <v>188</v>
      </c>
      <c r="BB88" t="s">
        <v>219</v>
      </c>
    </row>
    <row r="89" spans="1:54" hidden="1" x14ac:dyDescent="0.25">
      <c r="A89" t="s">
        <v>62</v>
      </c>
      <c r="B89" t="s">
        <v>188</v>
      </c>
      <c r="C89">
        <v>457</v>
      </c>
      <c r="D89" t="s">
        <v>189</v>
      </c>
      <c r="E89" t="s">
        <v>2073</v>
      </c>
      <c r="F89" t="s">
        <v>2074</v>
      </c>
      <c r="G89" t="s">
        <v>2079</v>
      </c>
      <c r="H89" t="s">
        <v>2080</v>
      </c>
      <c r="I89" t="s">
        <v>2081</v>
      </c>
      <c r="J89" t="s">
        <v>2082</v>
      </c>
      <c r="K89" t="s">
        <v>1427</v>
      </c>
      <c r="L89" t="s">
        <v>188</v>
      </c>
      <c r="BB89" t="s">
        <v>187</v>
      </c>
    </row>
    <row r="90" spans="1:54" hidden="1" x14ac:dyDescent="0.25">
      <c r="A90" t="s">
        <v>57</v>
      </c>
      <c r="B90" t="s">
        <v>188</v>
      </c>
      <c r="C90">
        <v>341</v>
      </c>
      <c r="D90" t="s">
        <v>189</v>
      </c>
      <c r="E90" t="s">
        <v>2073</v>
      </c>
      <c r="F90" t="s">
        <v>2074</v>
      </c>
      <c r="G90" t="s">
        <v>2079</v>
      </c>
      <c r="H90" t="s">
        <v>2080</v>
      </c>
      <c r="I90" t="s">
        <v>2081</v>
      </c>
      <c r="J90" t="s">
        <v>2082</v>
      </c>
      <c r="K90" t="s">
        <v>1427</v>
      </c>
      <c r="L90" t="s">
        <v>188</v>
      </c>
      <c r="BB90" t="s">
        <v>193</v>
      </c>
    </row>
    <row r="91" spans="1:54" hidden="1" x14ac:dyDescent="0.25">
      <c r="A91" t="s">
        <v>68</v>
      </c>
      <c r="B91" t="s">
        <v>188</v>
      </c>
      <c r="C91">
        <v>528</v>
      </c>
      <c r="D91" t="s">
        <v>189</v>
      </c>
      <c r="E91" t="s">
        <v>2073</v>
      </c>
      <c r="F91" t="s">
        <v>2074</v>
      </c>
      <c r="G91" t="s">
        <v>2079</v>
      </c>
      <c r="H91" t="s">
        <v>2080</v>
      </c>
      <c r="I91" t="s">
        <v>2081</v>
      </c>
      <c r="J91" t="s">
        <v>2082</v>
      </c>
      <c r="K91" t="s">
        <v>1427</v>
      </c>
      <c r="L91" t="s">
        <v>188</v>
      </c>
      <c r="BB91" t="s">
        <v>216</v>
      </c>
    </row>
    <row r="92" spans="1:54" hidden="1" x14ac:dyDescent="0.25">
      <c r="A92" t="s">
        <v>73</v>
      </c>
      <c r="B92" t="s">
        <v>188</v>
      </c>
      <c r="C92">
        <v>109</v>
      </c>
      <c r="D92" t="s">
        <v>189</v>
      </c>
      <c r="E92" t="s">
        <v>2073</v>
      </c>
      <c r="F92" t="s">
        <v>2074</v>
      </c>
      <c r="G92" t="s">
        <v>2079</v>
      </c>
      <c r="H92" t="s">
        <v>2080</v>
      </c>
      <c r="I92" t="s">
        <v>2081</v>
      </c>
      <c r="J92" t="s">
        <v>2082</v>
      </c>
      <c r="K92" t="s">
        <v>1427</v>
      </c>
      <c r="L92" t="s">
        <v>188</v>
      </c>
      <c r="BB92" t="s">
        <v>190</v>
      </c>
    </row>
    <row r="93" spans="1:54" hidden="1" x14ac:dyDescent="0.25">
      <c r="A93" t="s">
        <v>36</v>
      </c>
      <c r="B93" t="s">
        <v>188</v>
      </c>
      <c r="C93">
        <v>187</v>
      </c>
      <c r="D93" t="s">
        <v>189</v>
      </c>
      <c r="E93" t="s">
        <v>2073</v>
      </c>
      <c r="F93" t="s">
        <v>2074</v>
      </c>
      <c r="G93" t="s">
        <v>2079</v>
      </c>
      <c r="H93" t="s">
        <v>2080</v>
      </c>
      <c r="I93" t="s">
        <v>2081</v>
      </c>
      <c r="J93" t="s">
        <v>2082</v>
      </c>
      <c r="K93" t="s">
        <v>1427</v>
      </c>
      <c r="L93" t="s">
        <v>188</v>
      </c>
      <c r="BB93" t="s">
        <v>210</v>
      </c>
    </row>
    <row r="94" spans="1:54" hidden="1" x14ac:dyDescent="0.25">
      <c r="A94" t="s">
        <v>60</v>
      </c>
      <c r="B94" t="s">
        <v>188</v>
      </c>
      <c r="C94">
        <v>597</v>
      </c>
      <c r="D94" t="s">
        <v>189</v>
      </c>
      <c r="E94" t="s">
        <v>2073</v>
      </c>
      <c r="F94" t="s">
        <v>2074</v>
      </c>
      <c r="G94" t="s">
        <v>2079</v>
      </c>
      <c r="H94" t="s">
        <v>2080</v>
      </c>
      <c r="I94" t="s">
        <v>2081</v>
      </c>
      <c r="J94" t="s">
        <v>2082</v>
      </c>
      <c r="K94" t="s">
        <v>1427</v>
      </c>
      <c r="L94" t="s">
        <v>188</v>
      </c>
      <c r="BB94" t="s">
        <v>205</v>
      </c>
    </row>
    <row r="95" spans="1:54" hidden="1" x14ac:dyDescent="0.25">
      <c r="A95" t="s">
        <v>91</v>
      </c>
      <c r="B95" t="s">
        <v>188</v>
      </c>
      <c r="C95">
        <v>419</v>
      </c>
      <c r="D95" t="s">
        <v>189</v>
      </c>
      <c r="E95" t="s">
        <v>2073</v>
      </c>
      <c r="F95" t="s">
        <v>2074</v>
      </c>
      <c r="G95" t="s">
        <v>2079</v>
      </c>
      <c r="H95" t="s">
        <v>2080</v>
      </c>
      <c r="I95" t="s">
        <v>2081</v>
      </c>
      <c r="J95" t="s">
        <v>2082</v>
      </c>
      <c r="K95" t="s">
        <v>1427</v>
      </c>
      <c r="L95" t="s">
        <v>188</v>
      </c>
      <c r="BB95" t="s">
        <v>202</v>
      </c>
    </row>
    <row r="96" spans="1:54" hidden="1" x14ac:dyDescent="0.25">
      <c r="A96" t="s">
        <v>23</v>
      </c>
      <c r="B96" t="s">
        <v>188</v>
      </c>
      <c r="C96">
        <v>22</v>
      </c>
      <c r="D96" t="s">
        <v>189</v>
      </c>
      <c r="E96" t="s">
        <v>2073</v>
      </c>
      <c r="F96" t="s">
        <v>2074</v>
      </c>
      <c r="G96" t="s">
        <v>2079</v>
      </c>
      <c r="H96" t="s">
        <v>2080</v>
      </c>
      <c r="I96" t="s">
        <v>2081</v>
      </c>
      <c r="J96" t="s">
        <v>2082</v>
      </c>
      <c r="K96" t="s">
        <v>1427</v>
      </c>
      <c r="L96" t="s">
        <v>188</v>
      </c>
      <c r="BB96" t="s">
        <v>196</v>
      </c>
    </row>
    <row r="97" spans="1:54" hidden="1" x14ac:dyDescent="0.25">
      <c r="A97" t="s">
        <v>6</v>
      </c>
      <c r="B97" t="s">
        <v>188</v>
      </c>
      <c r="C97">
        <v>822</v>
      </c>
      <c r="D97" t="s">
        <v>189</v>
      </c>
      <c r="E97" t="s">
        <v>2073</v>
      </c>
      <c r="F97" t="s">
        <v>2074</v>
      </c>
      <c r="G97" t="s">
        <v>2079</v>
      </c>
      <c r="H97" t="s">
        <v>2080</v>
      </c>
      <c r="I97" t="s">
        <v>2081</v>
      </c>
      <c r="J97" t="s">
        <v>2082</v>
      </c>
      <c r="K97" t="s">
        <v>1427</v>
      </c>
      <c r="L97" t="s">
        <v>188</v>
      </c>
      <c r="BB97" t="s">
        <v>219</v>
      </c>
    </row>
    <row r="98" spans="1:54" hidden="1" x14ac:dyDescent="0.25">
      <c r="A98" t="s">
        <v>12</v>
      </c>
      <c r="B98" t="s">
        <v>188</v>
      </c>
      <c r="C98">
        <v>241</v>
      </c>
      <c r="D98" t="s">
        <v>189</v>
      </c>
      <c r="E98" t="s">
        <v>2073</v>
      </c>
      <c r="F98" t="s">
        <v>2074</v>
      </c>
      <c r="G98" t="s">
        <v>2079</v>
      </c>
      <c r="H98" t="s">
        <v>2080</v>
      </c>
      <c r="I98" t="s">
        <v>2081</v>
      </c>
      <c r="J98" t="s">
        <v>2082</v>
      </c>
      <c r="K98" t="s">
        <v>1427</v>
      </c>
      <c r="L98" t="s">
        <v>188</v>
      </c>
      <c r="BB98" t="s">
        <v>222</v>
      </c>
    </row>
    <row r="99" spans="1:54" hidden="1" x14ac:dyDescent="0.25">
      <c r="A99" t="s">
        <v>92</v>
      </c>
      <c r="B99" t="s">
        <v>188</v>
      </c>
      <c r="C99">
        <v>384</v>
      </c>
      <c r="D99" t="s">
        <v>189</v>
      </c>
      <c r="E99" t="s">
        <v>2073</v>
      </c>
      <c r="F99" t="s">
        <v>2074</v>
      </c>
      <c r="G99" t="s">
        <v>2079</v>
      </c>
      <c r="H99" t="s">
        <v>2080</v>
      </c>
      <c r="I99" t="s">
        <v>2081</v>
      </c>
      <c r="J99" t="s">
        <v>2082</v>
      </c>
      <c r="K99" t="s">
        <v>1427</v>
      </c>
      <c r="L99" t="s">
        <v>188</v>
      </c>
      <c r="BB99" t="s">
        <v>193</v>
      </c>
    </row>
    <row r="100" spans="1:54" hidden="1" x14ac:dyDescent="0.25">
      <c r="A100" t="s">
        <v>53</v>
      </c>
      <c r="B100" t="s">
        <v>188</v>
      </c>
      <c r="C100">
        <v>1583</v>
      </c>
      <c r="D100" t="s">
        <v>189</v>
      </c>
      <c r="E100" t="s">
        <v>2073</v>
      </c>
      <c r="F100" t="s">
        <v>2074</v>
      </c>
      <c r="G100" t="s">
        <v>2079</v>
      </c>
      <c r="H100" t="s">
        <v>2080</v>
      </c>
      <c r="I100" t="s">
        <v>2081</v>
      </c>
      <c r="J100" t="s">
        <v>2082</v>
      </c>
      <c r="K100" t="s">
        <v>1427</v>
      </c>
      <c r="L100" t="s">
        <v>188</v>
      </c>
      <c r="BB100" t="s">
        <v>190</v>
      </c>
    </row>
    <row r="101" spans="1:54" hidden="1" x14ac:dyDescent="0.25">
      <c r="A101" t="s">
        <v>76</v>
      </c>
      <c r="B101" t="s">
        <v>188</v>
      </c>
      <c r="C101">
        <v>2060</v>
      </c>
      <c r="D101" t="s">
        <v>189</v>
      </c>
      <c r="E101" t="s">
        <v>2073</v>
      </c>
      <c r="F101" t="s">
        <v>2074</v>
      </c>
      <c r="G101" t="s">
        <v>2079</v>
      </c>
      <c r="H101" t="s">
        <v>2080</v>
      </c>
      <c r="I101" t="s">
        <v>2081</v>
      </c>
      <c r="J101" t="s">
        <v>2082</v>
      </c>
      <c r="K101" t="s">
        <v>1427</v>
      </c>
      <c r="L101" t="s">
        <v>188</v>
      </c>
      <c r="BB101" t="s">
        <v>207</v>
      </c>
    </row>
    <row r="102" spans="1:54" hidden="1" x14ac:dyDescent="0.25">
      <c r="A102" t="s">
        <v>90</v>
      </c>
      <c r="B102" t="s">
        <v>188</v>
      </c>
      <c r="C102">
        <v>1740</v>
      </c>
      <c r="D102" t="s">
        <v>189</v>
      </c>
      <c r="E102" t="s">
        <v>2073</v>
      </c>
      <c r="F102" t="s">
        <v>2074</v>
      </c>
      <c r="G102" t="s">
        <v>2079</v>
      </c>
      <c r="H102" t="s">
        <v>2080</v>
      </c>
      <c r="I102" t="s">
        <v>2081</v>
      </c>
      <c r="J102" t="s">
        <v>2082</v>
      </c>
      <c r="K102" t="s">
        <v>1427</v>
      </c>
      <c r="L102" t="s">
        <v>188</v>
      </c>
      <c r="BB102" t="s">
        <v>187</v>
      </c>
    </row>
    <row r="103" spans="1:54" hidden="1" x14ac:dyDescent="0.25">
      <c r="A103" t="s">
        <v>71</v>
      </c>
      <c r="B103" t="s">
        <v>188</v>
      </c>
      <c r="C103">
        <v>9</v>
      </c>
      <c r="D103" t="s">
        <v>189</v>
      </c>
      <c r="E103" t="s">
        <v>2073</v>
      </c>
      <c r="F103" t="s">
        <v>2074</v>
      </c>
      <c r="G103" t="s">
        <v>2079</v>
      </c>
      <c r="H103" t="s">
        <v>2080</v>
      </c>
      <c r="I103" t="s">
        <v>2081</v>
      </c>
      <c r="J103" t="s">
        <v>2082</v>
      </c>
      <c r="K103" t="s">
        <v>1427</v>
      </c>
      <c r="L103" t="s">
        <v>188</v>
      </c>
      <c r="BB103" t="s">
        <v>196</v>
      </c>
    </row>
    <row r="104" spans="1:54" hidden="1" x14ac:dyDescent="0.25">
      <c r="A104" t="s">
        <v>16</v>
      </c>
      <c r="B104" t="s">
        <v>188</v>
      </c>
      <c r="C104">
        <v>83</v>
      </c>
      <c r="D104" t="s">
        <v>189</v>
      </c>
      <c r="E104" t="s">
        <v>2073</v>
      </c>
      <c r="F104" t="s">
        <v>2074</v>
      </c>
      <c r="G104" t="s">
        <v>2079</v>
      </c>
      <c r="H104" t="s">
        <v>2080</v>
      </c>
      <c r="I104" t="s">
        <v>2081</v>
      </c>
      <c r="J104" t="s">
        <v>2082</v>
      </c>
      <c r="K104" t="s">
        <v>1427</v>
      </c>
      <c r="L104" t="s">
        <v>188</v>
      </c>
      <c r="BB104" t="s">
        <v>202</v>
      </c>
    </row>
    <row r="105" spans="1:54" hidden="1" x14ac:dyDescent="0.25">
      <c r="A105" t="s">
        <v>82</v>
      </c>
      <c r="B105" t="s">
        <v>188</v>
      </c>
      <c r="C105">
        <v>73</v>
      </c>
      <c r="D105" t="s">
        <v>189</v>
      </c>
      <c r="E105" t="s">
        <v>2073</v>
      </c>
      <c r="F105" t="s">
        <v>2074</v>
      </c>
      <c r="G105" t="s">
        <v>2079</v>
      </c>
      <c r="H105" t="s">
        <v>2080</v>
      </c>
      <c r="I105" t="s">
        <v>2081</v>
      </c>
      <c r="J105" t="s">
        <v>2082</v>
      </c>
      <c r="K105" t="s">
        <v>1427</v>
      </c>
      <c r="L105" t="s">
        <v>188</v>
      </c>
      <c r="BB105" t="s">
        <v>199</v>
      </c>
    </row>
    <row r="106" spans="1:54" hidden="1" x14ac:dyDescent="0.25">
      <c r="A106" t="s">
        <v>38</v>
      </c>
      <c r="B106" t="s">
        <v>188</v>
      </c>
      <c r="C106">
        <v>56</v>
      </c>
      <c r="D106" t="s">
        <v>189</v>
      </c>
      <c r="E106" t="s">
        <v>2073</v>
      </c>
      <c r="F106" t="s">
        <v>2074</v>
      </c>
      <c r="G106" t="s">
        <v>2079</v>
      </c>
      <c r="H106" t="s">
        <v>2080</v>
      </c>
      <c r="I106" t="s">
        <v>2081</v>
      </c>
      <c r="J106" t="s">
        <v>2082</v>
      </c>
      <c r="K106" t="s">
        <v>1427</v>
      </c>
      <c r="L106" t="s">
        <v>188</v>
      </c>
      <c r="BB106" t="s">
        <v>210</v>
      </c>
    </row>
    <row r="107" spans="1:54" hidden="1" x14ac:dyDescent="0.25">
      <c r="A107" t="s">
        <v>69</v>
      </c>
      <c r="B107" t="s">
        <v>200</v>
      </c>
      <c r="C107">
        <v>15</v>
      </c>
      <c r="D107" t="s">
        <v>201</v>
      </c>
      <c r="E107" t="s">
        <v>2073</v>
      </c>
      <c r="F107" t="s">
        <v>2074</v>
      </c>
      <c r="G107" t="s">
        <v>2075</v>
      </c>
      <c r="H107" t="s">
        <v>2089</v>
      </c>
      <c r="I107" t="s">
        <v>2090</v>
      </c>
      <c r="J107" t="s">
        <v>2091</v>
      </c>
      <c r="K107" t="s">
        <v>1424</v>
      </c>
      <c r="L107" t="s">
        <v>200</v>
      </c>
      <c r="BB107" t="s">
        <v>228</v>
      </c>
    </row>
    <row r="108" spans="1:54" hidden="1" x14ac:dyDescent="0.25">
      <c r="A108" t="s">
        <v>64</v>
      </c>
      <c r="B108" t="s">
        <v>200</v>
      </c>
      <c r="C108">
        <v>27</v>
      </c>
      <c r="D108" t="s">
        <v>201</v>
      </c>
      <c r="E108" t="s">
        <v>2073</v>
      </c>
      <c r="F108" t="s">
        <v>2074</v>
      </c>
      <c r="G108" t="s">
        <v>2075</v>
      </c>
      <c r="H108" t="s">
        <v>2089</v>
      </c>
      <c r="I108" t="s">
        <v>2090</v>
      </c>
      <c r="J108" t="s">
        <v>2091</v>
      </c>
      <c r="K108" t="s">
        <v>1424</v>
      </c>
      <c r="L108" t="s">
        <v>200</v>
      </c>
      <c r="BB108" t="s">
        <v>193</v>
      </c>
    </row>
    <row r="109" spans="1:54" hidden="1" x14ac:dyDescent="0.25">
      <c r="A109" t="s">
        <v>88</v>
      </c>
      <c r="B109" t="s">
        <v>200</v>
      </c>
      <c r="C109">
        <v>118</v>
      </c>
      <c r="D109" t="s">
        <v>201</v>
      </c>
      <c r="E109" t="s">
        <v>2073</v>
      </c>
      <c r="F109" t="s">
        <v>2074</v>
      </c>
      <c r="G109" t="s">
        <v>2075</v>
      </c>
      <c r="H109" t="s">
        <v>2089</v>
      </c>
      <c r="I109" t="s">
        <v>2090</v>
      </c>
      <c r="J109" t="s">
        <v>2091</v>
      </c>
      <c r="K109" t="s">
        <v>1424</v>
      </c>
      <c r="L109" t="s">
        <v>200</v>
      </c>
      <c r="BB109" t="s">
        <v>187</v>
      </c>
    </row>
    <row r="110" spans="1:54" hidden="1" x14ac:dyDescent="0.25">
      <c r="A110" t="s">
        <v>84</v>
      </c>
      <c r="B110" t="s">
        <v>200</v>
      </c>
      <c r="C110">
        <v>135</v>
      </c>
      <c r="D110" t="s">
        <v>201</v>
      </c>
      <c r="E110" t="s">
        <v>2073</v>
      </c>
      <c r="F110" t="s">
        <v>2074</v>
      </c>
      <c r="G110" t="s">
        <v>2075</v>
      </c>
      <c r="H110" t="s">
        <v>2089</v>
      </c>
      <c r="I110" t="s">
        <v>2090</v>
      </c>
      <c r="J110" t="s">
        <v>2091</v>
      </c>
      <c r="K110" t="s">
        <v>1424</v>
      </c>
      <c r="L110" t="s">
        <v>200</v>
      </c>
      <c r="BB110" t="s">
        <v>190</v>
      </c>
    </row>
    <row r="111" spans="1:54" hidden="1" x14ac:dyDescent="0.25">
      <c r="A111" t="s">
        <v>58</v>
      </c>
      <c r="B111" t="s">
        <v>200</v>
      </c>
      <c r="C111">
        <v>308</v>
      </c>
      <c r="D111" t="s">
        <v>201</v>
      </c>
      <c r="E111" t="s">
        <v>2073</v>
      </c>
      <c r="F111" t="s">
        <v>2074</v>
      </c>
      <c r="G111" t="s">
        <v>2075</v>
      </c>
      <c r="H111" t="s">
        <v>2089</v>
      </c>
      <c r="I111" t="s">
        <v>2090</v>
      </c>
      <c r="J111" t="s">
        <v>2091</v>
      </c>
      <c r="K111" t="s">
        <v>1424</v>
      </c>
      <c r="L111" t="s">
        <v>200</v>
      </c>
      <c r="BB111" t="s">
        <v>202</v>
      </c>
    </row>
    <row r="112" spans="1:54" hidden="1" x14ac:dyDescent="0.25">
      <c r="A112" t="s">
        <v>79</v>
      </c>
      <c r="B112" t="s">
        <v>200</v>
      </c>
      <c r="C112">
        <v>29</v>
      </c>
      <c r="D112" t="s">
        <v>201</v>
      </c>
      <c r="E112" t="s">
        <v>2073</v>
      </c>
      <c r="F112" t="s">
        <v>2074</v>
      </c>
      <c r="G112" t="s">
        <v>2075</v>
      </c>
      <c r="H112" t="s">
        <v>2089</v>
      </c>
      <c r="I112" t="s">
        <v>2090</v>
      </c>
      <c r="J112" t="s">
        <v>2091</v>
      </c>
      <c r="K112" t="s">
        <v>1424</v>
      </c>
      <c r="L112" t="s">
        <v>200</v>
      </c>
      <c r="BB112" t="s">
        <v>196</v>
      </c>
    </row>
    <row r="113" spans="1:54" hidden="1" x14ac:dyDescent="0.25">
      <c r="A113" t="s">
        <v>19</v>
      </c>
      <c r="B113" t="s">
        <v>200</v>
      </c>
      <c r="C113">
        <v>35</v>
      </c>
      <c r="D113" t="s">
        <v>201</v>
      </c>
      <c r="E113" t="s">
        <v>2073</v>
      </c>
      <c r="F113" t="s">
        <v>2074</v>
      </c>
      <c r="G113" t="s">
        <v>2075</v>
      </c>
      <c r="H113" t="s">
        <v>2089</v>
      </c>
      <c r="I113" t="s">
        <v>2090</v>
      </c>
      <c r="J113" t="s">
        <v>2091</v>
      </c>
      <c r="K113" t="s">
        <v>1424</v>
      </c>
      <c r="L113" t="s">
        <v>200</v>
      </c>
      <c r="BB113" t="s">
        <v>239</v>
      </c>
    </row>
    <row r="114" spans="1:54" hidden="1" x14ac:dyDescent="0.25">
      <c r="A114" t="s">
        <v>70</v>
      </c>
      <c r="B114" t="s">
        <v>200</v>
      </c>
      <c r="C114">
        <v>49</v>
      </c>
      <c r="D114" t="s">
        <v>201</v>
      </c>
      <c r="E114" t="s">
        <v>2073</v>
      </c>
      <c r="F114" t="s">
        <v>2074</v>
      </c>
      <c r="G114" t="s">
        <v>2075</v>
      </c>
      <c r="H114" t="s">
        <v>2089</v>
      </c>
      <c r="I114" t="s">
        <v>2090</v>
      </c>
      <c r="J114" t="s">
        <v>2091</v>
      </c>
      <c r="K114" t="s">
        <v>1424</v>
      </c>
      <c r="L114" t="s">
        <v>200</v>
      </c>
      <c r="BB114" t="s">
        <v>207</v>
      </c>
    </row>
    <row r="115" spans="1:54" hidden="1" x14ac:dyDescent="0.25">
      <c r="A115" t="s">
        <v>83</v>
      </c>
      <c r="B115" t="s">
        <v>200</v>
      </c>
      <c r="C115">
        <v>87</v>
      </c>
      <c r="D115" t="s">
        <v>201</v>
      </c>
      <c r="E115" t="s">
        <v>2073</v>
      </c>
      <c r="F115" t="s">
        <v>2074</v>
      </c>
      <c r="G115" t="s">
        <v>2075</v>
      </c>
      <c r="H115" t="s">
        <v>2089</v>
      </c>
      <c r="I115" t="s">
        <v>2090</v>
      </c>
      <c r="J115" t="s">
        <v>2091</v>
      </c>
      <c r="K115" t="s">
        <v>1424</v>
      </c>
      <c r="L115" t="s">
        <v>200</v>
      </c>
      <c r="BB115" t="s">
        <v>210</v>
      </c>
    </row>
    <row r="116" spans="1:54" hidden="1" x14ac:dyDescent="0.25">
      <c r="A116" t="s">
        <v>7</v>
      </c>
      <c r="B116" t="s">
        <v>200</v>
      </c>
      <c r="C116">
        <v>33</v>
      </c>
      <c r="D116" t="s">
        <v>201</v>
      </c>
      <c r="E116" t="s">
        <v>2073</v>
      </c>
      <c r="F116" t="s">
        <v>2074</v>
      </c>
      <c r="G116" t="s">
        <v>2075</v>
      </c>
      <c r="H116" t="s">
        <v>2089</v>
      </c>
      <c r="I116" t="s">
        <v>2090</v>
      </c>
      <c r="J116" t="s">
        <v>2091</v>
      </c>
      <c r="K116" t="s">
        <v>1424</v>
      </c>
      <c r="L116" t="s">
        <v>200</v>
      </c>
      <c r="BB116" t="s">
        <v>193</v>
      </c>
    </row>
    <row r="117" spans="1:54" hidden="1" x14ac:dyDescent="0.25">
      <c r="A117" t="s">
        <v>8</v>
      </c>
      <c r="B117" t="s">
        <v>200</v>
      </c>
      <c r="C117">
        <v>776</v>
      </c>
      <c r="D117" t="s">
        <v>201</v>
      </c>
      <c r="E117" t="s">
        <v>2073</v>
      </c>
      <c r="F117" t="s">
        <v>2074</v>
      </c>
      <c r="G117" t="s">
        <v>2075</v>
      </c>
      <c r="H117" t="s">
        <v>2089</v>
      </c>
      <c r="I117" t="s">
        <v>2090</v>
      </c>
      <c r="J117" t="s">
        <v>2091</v>
      </c>
      <c r="K117" t="s">
        <v>1424</v>
      </c>
      <c r="L117" t="s">
        <v>200</v>
      </c>
      <c r="BB117" t="s">
        <v>187</v>
      </c>
    </row>
    <row r="118" spans="1:54" hidden="1" x14ac:dyDescent="0.25">
      <c r="A118" t="s">
        <v>11</v>
      </c>
      <c r="B118" t="s">
        <v>200</v>
      </c>
      <c r="C118">
        <v>54</v>
      </c>
      <c r="D118" t="s">
        <v>201</v>
      </c>
      <c r="E118" t="s">
        <v>2073</v>
      </c>
      <c r="F118" t="s">
        <v>2074</v>
      </c>
      <c r="G118" t="s">
        <v>2075</v>
      </c>
      <c r="H118" t="s">
        <v>2089</v>
      </c>
      <c r="I118" t="s">
        <v>2090</v>
      </c>
      <c r="J118" t="s">
        <v>2091</v>
      </c>
      <c r="K118" t="s">
        <v>1424</v>
      </c>
      <c r="L118" t="s">
        <v>200</v>
      </c>
      <c r="BB118" t="s">
        <v>190</v>
      </c>
    </row>
    <row r="119" spans="1:54" hidden="1" x14ac:dyDescent="0.25">
      <c r="A119" t="s">
        <v>28</v>
      </c>
      <c r="B119" t="s">
        <v>200</v>
      </c>
      <c r="C119">
        <v>167</v>
      </c>
      <c r="D119" t="s">
        <v>201</v>
      </c>
      <c r="E119" t="s">
        <v>2073</v>
      </c>
      <c r="F119" t="s">
        <v>2074</v>
      </c>
      <c r="G119" t="s">
        <v>2075</v>
      </c>
      <c r="H119" t="s">
        <v>2089</v>
      </c>
      <c r="I119" t="s">
        <v>2090</v>
      </c>
      <c r="J119" t="s">
        <v>2091</v>
      </c>
      <c r="K119" t="s">
        <v>1424</v>
      </c>
      <c r="L119" t="s">
        <v>200</v>
      </c>
      <c r="BB119" t="s">
        <v>207</v>
      </c>
    </row>
    <row r="120" spans="1:54" hidden="1" x14ac:dyDescent="0.25">
      <c r="A120" t="s">
        <v>39</v>
      </c>
      <c r="B120" t="s">
        <v>200</v>
      </c>
      <c r="C120">
        <v>284</v>
      </c>
      <c r="D120" t="s">
        <v>201</v>
      </c>
      <c r="E120" t="s">
        <v>2073</v>
      </c>
      <c r="F120" t="s">
        <v>2074</v>
      </c>
      <c r="G120" t="s">
        <v>2075</v>
      </c>
      <c r="H120" t="s">
        <v>2089</v>
      </c>
      <c r="I120" t="s">
        <v>2090</v>
      </c>
      <c r="J120" t="s">
        <v>2091</v>
      </c>
      <c r="K120" t="s">
        <v>1424</v>
      </c>
      <c r="L120" t="s">
        <v>200</v>
      </c>
      <c r="BB120" t="s">
        <v>210</v>
      </c>
    </row>
    <row r="121" spans="1:54" hidden="1" x14ac:dyDescent="0.25">
      <c r="A121" t="s">
        <v>75</v>
      </c>
      <c r="B121" t="s">
        <v>200</v>
      </c>
      <c r="C121">
        <v>111</v>
      </c>
      <c r="D121" t="s">
        <v>201</v>
      </c>
      <c r="E121" t="s">
        <v>2073</v>
      </c>
      <c r="F121" t="s">
        <v>2074</v>
      </c>
      <c r="G121" t="s">
        <v>2075</v>
      </c>
      <c r="H121" t="s">
        <v>2089</v>
      </c>
      <c r="I121" t="s">
        <v>2090</v>
      </c>
      <c r="J121" t="s">
        <v>2091</v>
      </c>
      <c r="K121" t="s">
        <v>1424</v>
      </c>
      <c r="L121" t="s">
        <v>200</v>
      </c>
      <c r="BB121" t="s">
        <v>202</v>
      </c>
    </row>
    <row r="122" spans="1:54" hidden="1" x14ac:dyDescent="0.25">
      <c r="A122" t="s">
        <v>74</v>
      </c>
      <c r="B122" t="s">
        <v>200</v>
      </c>
      <c r="C122">
        <v>20</v>
      </c>
      <c r="D122" t="s">
        <v>201</v>
      </c>
      <c r="E122" t="s">
        <v>2073</v>
      </c>
      <c r="F122" t="s">
        <v>2074</v>
      </c>
      <c r="G122" t="s">
        <v>2075</v>
      </c>
      <c r="H122" t="s">
        <v>2089</v>
      </c>
      <c r="I122" t="s">
        <v>2090</v>
      </c>
      <c r="J122" t="s">
        <v>2091</v>
      </c>
      <c r="K122" t="s">
        <v>1424</v>
      </c>
      <c r="L122" t="s">
        <v>200</v>
      </c>
      <c r="BB122" t="s">
        <v>196</v>
      </c>
    </row>
    <row r="123" spans="1:54" hidden="1" x14ac:dyDescent="0.25">
      <c r="A123" t="s">
        <v>48</v>
      </c>
      <c r="B123" t="s">
        <v>200</v>
      </c>
      <c r="C123">
        <v>56</v>
      </c>
      <c r="D123" t="s">
        <v>201</v>
      </c>
      <c r="E123" t="s">
        <v>2073</v>
      </c>
      <c r="F123" t="s">
        <v>2074</v>
      </c>
      <c r="G123" t="s">
        <v>2075</v>
      </c>
      <c r="H123" t="s">
        <v>2089</v>
      </c>
      <c r="I123" t="s">
        <v>2090</v>
      </c>
      <c r="J123" t="s">
        <v>2091</v>
      </c>
      <c r="K123" t="s">
        <v>1424</v>
      </c>
      <c r="L123" t="s">
        <v>200</v>
      </c>
      <c r="BB123" t="s">
        <v>199</v>
      </c>
    </row>
    <row r="124" spans="1:54" hidden="1" x14ac:dyDescent="0.25">
      <c r="A124" t="s">
        <v>43</v>
      </c>
      <c r="B124" t="s">
        <v>200</v>
      </c>
      <c r="C124">
        <v>25</v>
      </c>
      <c r="D124" t="s">
        <v>201</v>
      </c>
      <c r="E124" t="s">
        <v>2073</v>
      </c>
      <c r="F124" t="s">
        <v>2074</v>
      </c>
      <c r="G124" t="s">
        <v>2075</v>
      </c>
      <c r="H124" t="s">
        <v>2089</v>
      </c>
      <c r="I124" t="s">
        <v>2090</v>
      </c>
      <c r="J124" t="s">
        <v>2091</v>
      </c>
      <c r="K124" t="s">
        <v>1424</v>
      </c>
      <c r="L124" t="s">
        <v>200</v>
      </c>
      <c r="BB124" t="s">
        <v>187</v>
      </c>
    </row>
    <row r="125" spans="1:54" hidden="1" x14ac:dyDescent="0.25">
      <c r="A125" t="s">
        <v>27</v>
      </c>
      <c r="B125" t="s">
        <v>200</v>
      </c>
      <c r="C125">
        <v>131</v>
      </c>
      <c r="D125" t="s">
        <v>201</v>
      </c>
      <c r="E125" t="s">
        <v>2073</v>
      </c>
      <c r="F125" t="s">
        <v>2074</v>
      </c>
      <c r="G125" t="s">
        <v>2075</v>
      </c>
      <c r="H125" t="s">
        <v>2089</v>
      </c>
      <c r="I125" t="s">
        <v>2090</v>
      </c>
      <c r="J125" t="s">
        <v>2091</v>
      </c>
      <c r="K125" t="s">
        <v>1424</v>
      </c>
      <c r="L125" t="s">
        <v>200</v>
      </c>
      <c r="BB125" t="s">
        <v>193</v>
      </c>
    </row>
    <row r="126" spans="1:54" hidden="1" x14ac:dyDescent="0.25">
      <c r="A126" t="s">
        <v>78</v>
      </c>
      <c r="B126" t="s">
        <v>200</v>
      </c>
      <c r="C126">
        <v>70</v>
      </c>
      <c r="D126" t="s">
        <v>201</v>
      </c>
      <c r="E126" t="s">
        <v>2073</v>
      </c>
      <c r="F126" t="s">
        <v>2074</v>
      </c>
      <c r="G126" t="s">
        <v>2075</v>
      </c>
      <c r="H126" t="s">
        <v>2089</v>
      </c>
      <c r="I126" t="s">
        <v>2090</v>
      </c>
      <c r="J126" t="s">
        <v>2091</v>
      </c>
      <c r="K126" t="s">
        <v>1424</v>
      </c>
      <c r="L126" t="s">
        <v>200</v>
      </c>
      <c r="BB126" t="s">
        <v>207</v>
      </c>
    </row>
    <row r="127" spans="1:54" hidden="1" x14ac:dyDescent="0.25">
      <c r="A127" t="s">
        <v>31</v>
      </c>
      <c r="B127" t="s">
        <v>200</v>
      </c>
      <c r="C127">
        <v>11</v>
      </c>
      <c r="D127" t="s">
        <v>201</v>
      </c>
      <c r="E127" t="s">
        <v>2073</v>
      </c>
      <c r="F127" t="s">
        <v>2074</v>
      </c>
      <c r="G127" t="s">
        <v>2075</v>
      </c>
      <c r="H127" t="s">
        <v>2089</v>
      </c>
      <c r="I127" t="s">
        <v>2090</v>
      </c>
      <c r="J127" t="s">
        <v>2091</v>
      </c>
      <c r="K127" t="s">
        <v>1424</v>
      </c>
      <c r="L127" t="s">
        <v>200</v>
      </c>
      <c r="BB127" t="s">
        <v>190</v>
      </c>
    </row>
    <row r="128" spans="1:54" hidden="1" x14ac:dyDescent="0.25">
      <c r="A128" t="s">
        <v>40</v>
      </c>
      <c r="B128" t="s">
        <v>200</v>
      </c>
      <c r="C128">
        <v>1923</v>
      </c>
      <c r="D128" t="s">
        <v>201</v>
      </c>
      <c r="E128" t="s">
        <v>2073</v>
      </c>
      <c r="F128" t="s">
        <v>2074</v>
      </c>
      <c r="G128" t="s">
        <v>2075</v>
      </c>
      <c r="H128" t="s">
        <v>2089</v>
      </c>
      <c r="I128" t="s">
        <v>2090</v>
      </c>
      <c r="J128" t="s">
        <v>2091</v>
      </c>
      <c r="K128" t="s">
        <v>1424</v>
      </c>
      <c r="L128" t="s">
        <v>200</v>
      </c>
      <c r="BB128" t="s">
        <v>205</v>
      </c>
    </row>
    <row r="129" spans="1:54" hidden="1" x14ac:dyDescent="0.25">
      <c r="A129" t="s">
        <v>34</v>
      </c>
      <c r="B129" t="s">
        <v>200</v>
      </c>
      <c r="C129">
        <v>370</v>
      </c>
      <c r="D129" t="s">
        <v>201</v>
      </c>
      <c r="E129" t="s">
        <v>2073</v>
      </c>
      <c r="F129" t="s">
        <v>2074</v>
      </c>
      <c r="G129" t="s">
        <v>2075</v>
      </c>
      <c r="H129" t="s">
        <v>2089</v>
      </c>
      <c r="I129" t="s">
        <v>2090</v>
      </c>
      <c r="J129" t="s">
        <v>2091</v>
      </c>
      <c r="K129" t="s">
        <v>1424</v>
      </c>
      <c r="L129" t="s">
        <v>200</v>
      </c>
      <c r="BB129" t="s">
        <v>242</v>
      </c>
    </row>
    <row r="130" spans="1:54" hidden="1" x14ac:dyDescent="0.25">
      <c r="A130" t="s">
        <v>42</v>
      </c>
      <c r="B130" t="s">
        <v>200</v>
      </c>
      <c r="C130">
        <v>1304</v>
      </c>
      <c r="D130" t="s">
        <v>201</v>
      </c>
      <c r="E130" t="s">
        <v>2073</v>
      </c>
      <c r="F130" t="s">
        <v>2074</v>
      </c>
      <c r="G130" t="s">
        <v>2075</v>
      </c>
      <c r="H130" t="s">
        <v>2089</v>
      </c>
      <c r="I130" t="s">
        <v>2090</v>
      </c>
      <c r="J130" t="s">
        <v>2091</v>
      </c>
      <c r="K130" t="s">
        <v>1424</v>
      </c>
      <c r="L130" t="s">
        <v>200</v>
      </c>
      <c r="BB130" t="s">
        <v>210</v>
      </c>
    </row>
    <row r="131" spans="1:54" hidden="1" x14ac:dyDescent="0.25">
      <c r="A131" t="s">
        <v>37</v>
      </c>
      <c r="B131" t="s">
        <v>200</v>
      </c>
      <c r="C131">
        <v>204</v>
      </c>
      <c r="D131" t="s">
        <v>201</v>
      </c>
      <c r="E131" t="s">
        <v>2073</v>
      </c>
      <c r="F131" t="s">
        <v>2074</v>
      </c>
      <c r="G131" t="s">
        <v>2075</v>
      </c>
      <c r="H131" t="s">
        <v>2089</v>
      </c>
      <c r="I131" t="s">
        <v>2090</v>
      </c>
      <c r="J131" t="s">
        <v>2091</v>
      </c>
      <c r="K131" t="s">
        <v>1424</v>
      </c>
      <c r="L131" t="s">
        <v>200</v>
      </c>
      <c r="BB131" t="s">
        <v>193</v>
      </c>
    </row>
    <row r="132" spans="1:54" hidden="1" x14ac:dyDescent="0.25">
      <c r="A132" t="s">
        <v>18</v>
      </c>
      <c r="B132" t="s">
        <v>200</v>
      </c>
      <c r="C132">
        <v>130</v>
      </c>
      <c r="D132" t="s">
        <v>201</v>
      </c>
      <c r="E132" t="s">
        <v>2073</v>
      </c>
      <c r="F132" t="s">
        <v>2074</v>
      </c>
      <c r="G132" t="s">
        <v>2075</v>
      </c>
      <c r="H132" t="s">
        <v>2089</v>
      </c>
      <c r="I132" t="s">
        <v>2090</v>
      </c>
      <c r="J132" t="s">
        <v>2091</v>
      </c>
      <c r="K132" t="s">
        <v>1424</v>
      </c>
      <c r="L132" t="s">
        <v>200</v>
      </c>
      <c r="BB132" t="s">
        <v>210</v>
      </c>
    </row>
    <row r="133" spans="1:54" hidden="1" x14ac:dyDescent="0.25">
      <c r="A133" t="s">
        <v>89</v>
      </c>
      <c r="B133" t="s">
        <v>200</v>
      </c>
      <c r="C133">
        <v>63</v>
      </c>
      <c r="D133" t="s">
        <v>201</v>
      </c>
      <c r="E133" t="s">
        <v>2073</v>
      </c>
      <c r="F133" t="s">
        <v>2074</v>
      </c>
      <c r="G133" t="s">
        <v>2075</v>
      </c>
      <c r="H133" t="s">
        <v>2089</v>
      </c>
      <c r="I133" t="s">
        <v>2090</v>
      </c>
      <c r="J133" t="s">
        <v>2091</v>
      </c>
      <c r="K133" t="s">
        <v>1424</v>
      </c>
      <c r="L133" t="s">
        <v>200</v>
      </c>
      <c r="BB133" t="s">
        <v>187</v>
      </c>
    </row>
    <row r="134" spans="1:54" hidden="1" x14ac:dyDescent="0.25">
      <c r="A134" t="s">
        <v>93</v>
      </c>
      <c r="B134" t="s">
        <v>200</v>
      </c>
      <c r="C134">
        <v>33</v>
      </c>
      <c r="D134" t="s">
        <v>201</v>
      </c>
      <c r="E134" t="s">
        <v>2073</v>
      </c>
      <c r="F134" t="s">
        <v>2074</v>
      </c>
      <c r="G134" t="s">
        <v>2075</v>
      </c>
      <c r="H134" t="s">
        <v>2089</v>
      </c>
      <c r="I134" t="s">
        <v>2090</v>
      </c>
      <c r="J134" t="s">
        <v>2091</v>
      </c>
      <c r="K134" t="s">
        <v>1424</v>
      </c>
      <c r="L134" t="s">
        <v>200</v>
      </c>
      <c r="BB134" t="s">
        <v>190</v>
      </c>
    </row>
    <row r="135" spans="1:54" hidden="1" x14ac:dyDescent="0.25">
      <c r="A135" t="s">
        <v>10</v>
      </c>
      <c r="B135" t="s">
        <v>200</v>
      </c>
      <c r="C135">
        <v>209</v>
      </c>
      <c r="D135" t="s">
        <v>201</v>
      </c>
      <c r="E135" t="s">
        <v>2073</v>
      </c>
      <c r="F135" t="s">
        <v>2074</v>
      </c>
      <c r="G135" t="s">
        <v>2075</v>
      </c>
      <c r="H135" t="s">
        <v>2089</v>
      </c>
      <c r="I135" t="s">
        <v>2090</v>
      </c>
      <c r="J135" t="s">
        <v>2091</v>
      </c>
      <c r="K135" t="s">
        <v>1424</v>
      </c>
      <c r="L135" t="s">
        <v>200</v>
      </c>
      <c r="BB135" t="s">
        <v>207</v>
      </c>
    </row>
    <row r="136" spans="1:54" hidden="1" x14ac:dyDescent="0.25">
      <c r="A136" t="s">
        <v>17</v>
      </c>
      <c r="B136" t="s">
        <v>200</v>
      </c>
      <c r="C136">
        <v>28</v>
      </c>
      <c r="D136" t="s">
        <v>201</v>
      </c>
      <c r="E136" t="s">
        <v>2073</v>
      </c>
      <c r="F136" t="s">
        <v>2074</v>
      </c>
      <c r="G136" t="s">
        <v>2075</v>
      </c>
      <c r="H136" t="s">
        <v>2089</v>
      </c>
      <c r="I136" t="s">
        <v>2090</v>
      </c>
      <c r="J136" t="s">
        <v>2091</v>
      </c>
      <c r="K136" t="s">
        <v>1424</v>
      </c>
      <c r="L136" t="s">
        <v>200</v>
      </c>
      <c r="BB136" t="s">
        <v>202</v>
      </c>
    </row>
    <row r="137" spans="1:54" hidden="1" x14ac:dyDescent="0.25">
      <c r="A137" t="s">
        <v>66</v>
      </c>
      <c r="B137" t="s">
        <v>200</v>
      </c>
      <c r="C137">
        <v>10</v>
      </c>
      <c r="D137" t="s">
        <v>201</v>
      </c>
      <c r="E137" t="s">
        <v>2073</v>
      </c>
      <c r="F137" t="s">
        <v>2074</v>
      </c>
      <c r="G137" t="s">
        <v>2075</v>
      </c>
      <c r="H137" t="s">
        <v>2089</v>
      </c>
      <c r="I137" t="s">
        <v>2090</v>
      </c>
      <c r="J137" t="s">
        <v>2091</v>
      </c>
      <c r="K137" t="s">
        <v>1424</v>
      </c>
      <c r="L137" t="s">
        <v>200</v>
      </c>
      <c r="BB137" t="s">
        <v>205</v>
      </c>
    </row>
    <row r="138" spans="1:54" hidden="1" x14ac:dyDescent="0.25">
      <c r="A138" t="s">
        <v>9</v>
      </c>
      <c r="B138" t="s">
        <v>200</v>
      </c>
      <c r="C138">
        <v>15</v>
      </c>
      <c r="D138" t="s">
        <v>201</v>
      </c>
      <c r="E138" t="s">
        <v>2073</v>
      </c>
      <c r="F138" t="s">
        <v>2074</v>
      </c>
      <c r="G138" t="s">
        <v>2075</v>
      </c>
      <c r="H138" t="s">
        <v>2089</v>
      </c>
      <c r="I138" t="s">
        <v>2090</v>
      </c>
      <c r="J138" t="s">
        <v>2091</v>
      </c>
      <c r="K138" t="s">
        <v>1424</v>
      </c>
      <c r="L138" t="s">
        <v>200</v>
      </c>
      <c r="BB138" t="s">
        <v>219</v>
      </c>
    </row>
    <row r="139" spans="1:54" hidden="1" x14ac:dyDescent="0.25">
      <c r="A139" t="s">
        <v>33</v>
      </c>
      <c r="B139" t="s">
        <v>200</v>
      </c>
      <c r="C139">
        <v>25</v>
      </c>
      <c r="D139" t="s">
        <v>201</v>
      </c>
      <c r="E139" t="s">
        <v>2073</v>
      </c>
      <c r="F139" t="s">
        <v>2074</v>
      </c>
      <c r="G139" t="s">
        <v>2075</v>
      </c>
      <c r="H139" t="s">
        <v>2089</v>
      </c>
      <c r="I139" t="s">
        <v>2090</v>
      </c>
      <c r="J139" t="s">
        <v>2091</v>
      </c>
      <c r="K139" t="s">
        <v>1424</v>
      </c>
      <c r="L139" t="s">
        <v>200</v>
      </c>
      <c r="BB139" t="s">
        <v>193</v>
      </c>
    </row>
    <row r="140" spans="1:54" hidden="1" x14ac:dyDescent="0.25">
      <c r="A140" t="s">
        <v>25</v>
      </c>
      <c r="B140" t="s">
        <v>200</v>
      </c>
      <c r="C140">
        <v>265</v>
      </c>
      <c r="D140" t="s">
        <v>201</v>
      </c>
      <c r="E140" t="s">
        <v>2073</v>
      </c>
      <c r="F140" t="s">
        <v>2074</v>
      </c>
      <c r="G140" t="s">
        <v>2075</v>
      </c>
      <c r="H140" t="s">
        <v>2089</v>
      </c>
      <c r="I140" t="s">
        <v>2090</v>
      </c>
      <c r="J140" t="s">
        <v>2091</v>
      </c>
      <c r="K140" t="s">
        <v>1424</v>
      </c>
      <c r="L140" t="s">
        <v>200</v>
      </c>
      <c r="BB140" t="s">
        <v>210</v>
      </c>
    </row>
    <row r="141" spans="1:54" hidden="1" x14ac:dyDescent="0.25">
      <c r="A141" t="s">
        <v>29</v>
      </c>
      <c r="B141" t="s">
        <v>200</v>
      </c>
      <c r="C141">
        <v>75</v>
      </c>
      <c r="D141" t="s">
        <v>201</v>
      </c>
      <c r="E141" t="s">
        <v>2073</v>
      </c>
      <c r="F141" t="s">
        <v>2074</v>
      </c>
      <c r="G141" t="s">
        <v>2075</v>
      </c>
      <c r="H141" t="s">
        <v>2089</v>
      </c>
      <c r="I141" t="s">
        <v>2090</v>
      </c>
      <c r="J141" t="s">
        <v>2091</v>
      </c>
      <c r="K141" t="s">
        <v>1424</v>
      </c>
      <c r="L141" t="s">
        <v>200</v>
      </c>
      <c r="BB141" t="s">
        <v>187</v>
      </c>
    </row>
    <row r="142" spans="1:54" hidden="1" x14ac:dyDescent="0.25">
      <c r="A142" t="s">
        <v>44</v>
      </c>
      <c r="B142" t="s">
        <v>200</v>
      </c>
      <c r="C142">
        <v>88</v>
      </c>
      <c r="D142" t="s">
        <v>201</v>
      </c>
      <c r="E142" t="s">
        <v>2073</v>
      </c>
      <c r="F142" t="s">
        <v>2074</v>
      </c>
      <c r="G142" t="s">
        <v>2075</v>
      </c>
      <c r="H142" t="s">
        <v>2089</v>
      </c>
      <c r="I142" t="s">
        <v>2090</v>
      </c>
      <c r="J142" t="s">
        <v>2091</v>
      </c>
      <c r="K142" t="s">
        <v>1424</v>
      </c>
      <c r="L142" t="s">
        <v>200</v>
      </c>
      <c r="BB142" t="s">
        <v>190</v>
      </c>
    </row>
    <row r="143" spans="1:54" hidden="1" x14ac:dyDescent="0.25">
      <c r="A143" t="s">
        <v>61</v>
      </c>
      <c r="B143" t="s">
        <v>200</v>
      </c>
      <c r="C143">
        <v>718</v>
      </c>
      <c r="D143" t="s">
        <v>201</v>
      </c>
      <c r="E143" t="s">
        <v>2073</v>
      </c>
      <c r="F143" t="s">
        <v>2074</v>
      </c>
      <c r="G143" t="s">
        <v>2075</v>
      </c>
      <c r="H143" t="s">
        <v>2089</v>
      </c>
      <c r="I143" t="s">
        <v>2090</v>
      </c>
      <c r="J143" t="s">
        <v>2091</v>
      </c>
      <c r="K143" t="s">
        <v>1424</v>
      </c>
      <c r="L143" t="s">
        <v>200</v>
      </c>
      <c r="BB143" t="s">
        <v>207</v>
      </c>
    </row>
    <row r="144" spans="1:54" hidden="1" x14ac:dyDescent="0.25">
      <c r="A144" t="s">
        <v>32</v>
      </c>
      <c r="B144" t="s">
        <v>200</v>
      </c>
      <c r="C144">
        <v>47</v>
      </c>
      <c r="D144" t="s">
        <v>201</v>
      </c>
      <c r="E144" t="s">
        <v>2073</v>
      </c>
      <c r="F144" t="s">
        <v>2074</v>
      </c>
      <c r="G144" t="s">
        <v>2075</v>
      </c>
      <c r="H144" t="s">
        <v>2089</v>
      </c>
      <c r="I144" t="s">
        <v>2090</v>
      </c>
      <c r="J144" t="s">
        <v>2091</v>
      </c>
      <c r="K144" t="s">
        <v>1424</v>
      </c>
      <c r="L144" t="s">
        <v>200</v>
      </c>
      <c r="BB144" t="s">
        <v>202</v>
      </c>
    </row>
    <row r="145" spans="1:54" hidden="1" x14ac:dyDescent="0.25">
      <c r="A145" t="s">
        <v>65</v>
      </c>
      <c r="B145" t="s">
        <v>200</v>
      </c>
      <c r="C145">
        <v>135</v>
      </c>
      <c r="D145" t="s">
        <v>201</v>
      </c>
      <c r="E145" t="s">
        <v>2073</v>
      </c>
      <c r="F145" t="s">
        <v>2074</v>
      </c>
      <c r="G145" t="s">
        <v>2075</v>
      </c>
      <c r="H145" t="s">
        <v>2089</v>
      </c>
      <c r="I145" t="s">
        <v>2090</v>
      </c>
      <c r="J145" t="s">
        <v>2091</v>
      </c>
      <c r="K145" t="s">
        <v>1424</v>
      </c>
      <c r="L145" t="s">
        <v>200</v>
      </c>
      <c r="BB145" t="s">
        <v>216</v>
      </c>
    </row>
    <row r="146" spans="1:54" hidden="1" x14ac:dyDescent="0.25">
      <c r="A146" t="s">
        <v>59</v>
      </c>
      <c r="B146" t="s">
        <v>200</v>
      </c>
      <c r="C146">
        <v>19</v>
      </c>
      <c r="D146" t="s">
        <v>201</v>
      </c>
      <c r="E146" t="s">
        <v>2073</v>
      </c>
      <c r="F146" t="s">
        <v>2074</v>
      </c>
      <c r="G146" t="s">
        <v>2075</v>
      </c>
      <c r="H146" t="s">
        <v>2089</v>
      </c>
      <c r="I146" t="s">
        <v>2090</v>
      </c>
      <c r="J146" t="s">
        <v>2091</v>
      </c>
      <c r="K146" t="s">
        <v>1424</v>
      </c>
      <c r="L146" t="s">
        <v>200</v>
      </c>
      <c r="BB146" t="s">
        <v>205</v>
      </c>
    </row>
    <row r="147" spans="1:54" hidden="1" x14ac:dyDescent="0.25">
      <c r="A147" t="s">
        <v>45</v>
      </c>
      <c r="B147" t="s">
        <v>200</v>
      </c>
      <c r="C147">
        <v>34</v>
      </c>
      <c r="D147" t="s">
        <v>201</v>
      </c>
      <c r="E147" t="s">
        <v>2073</v>
      </c>
      <c r="F147" t="s">
        <v>2074</v>
      </c>
      <c r="G147" t="s">
        <v>2075</v>
      </c>
      <c r="H147" t="s">
        <v>2089</v>
      </c>
      <c r="I147" t="s">
        <v>2090</v>
      </c>
      <c r="J147" t="s">
        <v>2091</v>
      </c>
      <c r="K147" t="s">
        <v>1424</v>
      </c>
      <c r="L147" t="s">
        <v>200</v>
      </c>
      <c r="BB147" t="s">
        <v>222</v>
      </c>
    </row>
    <row r="148" spans="1:54" hidden="1" x14ac:dyDescent="0.25">
      <c r="A148" t="s">
        <v>15</v>
      </c>
      <c r="B148" t="s">
        <v>200</v>
      </c>
      <c r="C148">
        <v>99</v>
      </c>
      <c r="D148" t="s">
        <v>201</v>
      </c>
      <c r="E148" t="s">
        <v>2073</v>
      </c>
      <c r="F148" t="s">
        <v>2074</v>
      </c>
      <c r="G148" t="s">
        <v>2075</v>
      </c>
      <c r="H148" t="s">
        <v>2089</v>
      </c>
      <c r="I148" t="s">
        <v>2090</v>
      </c>
      <c r="J148" t="s">
        <v>2091</v>
      </c>
      <c r="K148" t="s">
        <v>1424</v>
      </c>
      <c r="L148" t="s">
        <v>200</v>
      </c>
      <c r="BB148" t="s">
        <v>228</v>
      </c>
    </row>
    <row r="149" spans="1:54" hidden="1" x14ac:dyDescent="0.25">
      <c r="A149" t="s">
        <v>22</v>
      </c>
      <c r="B149" t="s">
        <v>200</v>
      </c>
      <c r="C149">
        <v>19</v>
      </c>
      <c r="D149" t="s">
        <v>201</v>
      </c>
      <c r="E149" t="s">
        <v>2073</v>
      </c>
      <c r="F149" t="s">
        <v>2074</v>
      </c>
      <c r="G149" t="s">
        <v>2075</v>
      </c>
      <c r="H149" t="s">
        <v>2089</v>
      </c>
      <c r="I149" t="s">
        <v>2090</v>
      </c>
      <c r="J149" t="s">
        <v>2091</v>
      </c>
      <c r="K149" t="s">
        <v>1424</v>
      </c>
      <c r="L149" t="s">
        <v>200</v>
      </c>
      <c r="BB149" t="s">
        <v>196</v>
      </c>
    </row>
    <row r="150" spans="1:54" hidden="1" x14ac:dyDescent="0.25">
      <c r="A150" t="s">
        <v>49</v>
      </c>
      <c r="B150" t="s">
        <v>200</v>
      </c>
      <c r="C150">
        <v>214</v>
      </c>
      <c r="D150" t="s">
        <v>201</v>
      </c>
      <c r="E150" t="s">
        <v>2073</v>
      </c>
      <c r="F150" t="s">
        <v>2074</v>
      </c>
      <c r="G150" t="s">
        <v>2075</v>
      </c>
      <c r="H150" t="s">
        <v>2089</v>
      </c>
      <c r="I150" t="s">
        <v>2090</v>
      </c>
      <c r="J150" t="s">
        <v>2091</v>
      </c>
      <c r="K150" t="s">
        <v>1424</v>
      </c>
      <c r="L150" t="s">
        <v>200</v>
      </c>
      <c r="BB150" t="s">
        <v>219</v>
      </c>
    </row>
    <row r="151" spans="1:54" hidden="1" x14ac:dyDescent="0.25">
      <c r="A151" t="s">
        <v>72</v>
      </c>
      <c r="B151" t="s">
        <v>200</v>
      </c>
      <c r="C151">
        <v>208</v>
      </c>
      <c r="D151" t="s">
        <v>201</v>
      </c>
      <c r="E151" t="s">
        <v>2073</v>
      </c>
      <c r="F151" t="s">
        <v>2074</v>
      </c>
      <c r="G151" t="s">
        <v>2075</v>
      </c>
      <c r="H151" t="s">
        <v>2089</v>
      </c>
      <c r="I151" t="s">
        <v>2090</v>
      </c>
      <c r="J151" t="s">
        <v>2091</v>
      </c>
      <c r="K151" t="s">
        <v>1424</v>
      </c>
      <c r="L151" t="s">
        <v>200</v>
      </c>
      <c r="BB151" t="s">
        <v>193</v>
      </c>
    </row>
    <row r="152" spans="1:54" hidden="1" x14ac:dyDescent="0.25">
      <c r="A152" t="s">
        <v>26</v>
      </c>
      <c r="B152" t="s">
        <v>200</v>
      </c>
      <c r="C152">
        <v>83</v>
      </c>
      <c r="D152" t="s">
        <v>201</v>
      </c>
      <c r="E152" t="s">
        <v>2073</v>
      </c>
      <c r="F152" t="s">
        <v>2074</v>
      </c>
      <c r="G152" t="s">
        <v>2075</v>
      </c>
      <c r="H152" t="s">
        <v>2089</v>
      </c>
      <c r="I152" t="s">
        <v>2090</v>
      </c>
      <c r="J152" t="s">
        <v>2091</v>
      </c>
      <c r="K152" t="s">
        <v>1424</v>
      </c>
      <c r="L152" t="s">
        <v>200</v>
      </c>
      <c r="BB152" t="s">
        <v>210</v>
      </c>
    </row>
    <row r="153" spans="1:54" hidden="1" x14ac:dyDescent="0.25">
      <c r="A153" t="s">
        <v>55</v>
      </c>
      <c r="B153" t="s">
        <v>200</v>
      </c>
      <c r="C153">
        <v>284</v>
      </c>
      <c r="D153" t="s">
        <v>201</v>
      </c>
      <c r="E153" t="s">
        <v>2073</v>
      </c>
      <c r="F153" t="s">
        <v>2074</v>
      </c>
      <c r="G153" t="s">
        <v>2075</v>
      </c>
      <c r="H153" t="s">
        <v>2089</v>
      </c>
      <c r="I153" t="s">
        <v>2090</v>
      </c>
      <c r="J153" t="s">
        <v>2091</v>
      </c>
      <c r="K153" t="s">
        <v>1424</v>
      </c>
      <c r="L153" t="s">
        <v>200</v>
      </c>
      <c r="BB153" t="s">
        <v>190</v>
      </c>
    </row>
    <row r="154" spans="1:54" hidden="1" x14ac:dyDescent="0.25">
      <c r="A154" t="s">
        <v>14</v>
      </c>
      <c r="B154" t="s">
        <v>200</v>
      </c>
      <c r="C154">
        <v>93</v>
      </c>
      <c r="D154" t="s">
        <v>201</v>
      </c>
      <c r="E154" t="s">
        <v>2073</v>
      </c>
      <c r="F154" t="s">
        <v>2074</v>
      </c>
      <c r="G154" t="s">
        <v>2075</v>
      </c>
      <c r="H154" t="s">
        <v>2089</v>
      </c>
      <c r="I154" t="s">
        <v>2090</v>
      </c>
      <c r="J154" t="s">
        <v>2091</v>
      </c>
      <c r="K154" t="s">
        <v>1424</v>
      </c>
      <c r="L154" t="s">
        <v>200</v>
      </c>
      <c r="BB154" t="s">
        <v>187</v>
      </c>
    </row>
    <row r="155" spans="1:54" hidden="1" x14ac:dyDescent="0.25">
      <c r="A155" t="s">
        <v>67</v>
      </c>
      <c r="B155" t="s">
        <v>200</v>
      </c>
      <c r="C155">
        <v>169</v>
      </c>
      <c r="D155" t="s">
        <v>201</v>
      </c>
      <c r="E155" t="s">
        <v>2073</v>
      </c>
      <c r="F155" t="s">
        <v>2074</v>
      </c>
      <c r="G155" t="s">
        <v>2075</v>
      </c>
      <c r="H155" t="s">
        <v>2089</v>
      </c>
      <c r="I155" t="s">
        <v>2090</v>
      </c>
      <c r="J155" t="s">
        <v>2091</v>
      </c>
      <c r="K155" t="s">
        <v>1424</v>
      </c>
      <c r="L155" t="s">
        <v>200</v>
      </c>
      <c r="BB155" t="s">
        <v>207</v>
      </c>
    </row>
    <row r="156" spans="1:54" hidden="1" x14ac:dyDescent="0.25">
      <c r="A156" t="s">
        <v>24</v>
      </c>
      <c r="B156" t="s">
        <v>200</v>
      </c>
      <c r="C156">
        <v>71</v>
      </c>
      <c r="D156" t="s">
        <v>201</v>
      </c>
      <c r="E156" t="s">
        <v>2073</v>
      </c>
      <c r="F156" t="s">
        <v>2074</v>
      </c>
      <c r="G156" t="s">
        <v>2075</v>
      </c>
      <c r="H156" t="s">
        <v>2089</v>
      </c>
      <c r="I156" t="s">
        <v>2090</v>
      </c>
      <c r="J156" t="s">
        <v>2091</v>
      </c>
      <c r="K156" t="s">
        <v>1424</v>
      </c>
      <c r="L156" t="s">
        <v>200</v>
      </c>
      <c r="BB156" t="s">
        <v>202</v>
      </c>
    </row>
    <row r="157" spans="1:54" hidden="1" x14ac:dyDescent="0.25">
      <c r="A157" t="s">
        <v>62</v>
      </c>
      <c r="B157" t="s">
        <v>200</v>
      </c>
      <c r="C157">
        <v>570</v>
      </c>
      <c r="D157" t="s">
        <v>201</v>
      </c>
      <c r="E157" t="s">
        <v>2073</v>
      </c>
      <c r="F157" t="s">
        <v>2074</v>
      </c>
      <c r="G157" t="s">
        <v>2075</v>
      </c>
      <c r="H157" t="s">
        <v>2089</v>
      </c>
      <c r="I157" t="s">
        <v>2090</v>
      </c>
      <c r="J157" t="s">
        <v>2091</v>
      </c>
      <c r="K157" t="s">
        <v>1424</v>
      </c>
      <c r="L157" t="s">
        <v>200</v>
      </c>
      <c r="BB157" t="s">
        <v>219</v>
      </c>
    </row>
    <row r="158" spans="1:54" hidden="1" x14ac:dyDescent="0.25">
      <c r="A158" t="s">
        <v>57</v>
      </c>
      <c r="B158" t="s">
        <v>200</v>
      </c>
      <c r="C158">
        <v>203</v>
      </c>
      <c r="D158" t="s">
        <v>201</v>
      </c>
      <c r="E158" t="s">
        <v>2073</v>
      </c>
      <c r="F158" t="s">
        <v>2074</v>
      </c>
      <c r="G158" t="s">
        <v>2075</v>
      </c>
      <c r="H158" t="s">
        <v>2089</v>
      </c>
      <c r="I158" t="s">
        <v>2090</v>
      </c>
      <c r="J158" t="s">
        <v>2091</v>
      </c>
      <c r="K158" t="s">
        <v>1424</v>
      </c>
      <c r="L158" t="s">
        <v>200</v>
      </c>
      <c r="BB158" t="s">
        <v>205</v>
      </c>
    </row>
    <row r="159" spans="1:54" hidden="1" x14ac:dyDescent="0.25">
      <c r="A159" t="s">
        <v>68</v>
      </c>
      <c r="B159" t="s">
        <v>200</v>
      </c>
      <c r="C159">
        <v>48</v>
      </c>
      <c r="D159" t="s">
        <v>201</v>
      </c>
      <c r="E159" t="s">
        <v>2073</v>
      </c>
      <c r="F159" t="s">
        <v>2074</v>
      </c>
      <c r="G159" t="s">
        <v>2075</v>
      </c>
      <c r="H159" t="s">
        <v>2089</v>
      </c>
      <c r="I159" t="s">
        <v>2090</v>
      </c>
      <c r="J159" t="s">
        <v>2091</v>
      </c>
      <c r="K159" t="s">
        <v>1424</v>
      </c>
      <c r="L159" t="s">
        <v>200</v>
      </c>
      <c r="BB159" t="s">
        <v>233</v>
      </c>
    </row>
    <row r="160" spans="1:54" hidden="1" x14ac:dyDescent="0.25">
      <c r="A160" t="s">
        <v>36</v>
      </c>
      <c r="B160" t="s">
        <v>200</v>
      </c>
      <c r="C160">
        <v>26</v>
      </c>
      <c r="D160" t="s">
        <v>201</v>
      </c>
      <c r="E160" t="s">
        <v>2073</v>
      </c>
      <c r="F160" t="s">
        <v>2074</v>
      </c>
      <c r="G160" t="s">
        <v>2075</v>
      </c>
      <c r="H160" t="s">
        <v>2089</v>
      </c>
      <c r="I160" t="s">
        <v>2090</v>
      </c>
      <c r="J160" t="s">
        <v>2091</v>
      </c>
      <c r="K160" t="s">
        <v>1424</v>
      </c>
      <c r="L160" t="s">
        <v>200</v>
      </c>
      <c r="BB160" t="s">
        <v>222</v>
      </c>
    </row>
    <row r="161" spans="1:54" hidden="1" x14ac:dyDescent="0.25">
      <c r="A161" t="s">
        <v>60</v>
      </c>
      <c r="B161" t="s">
        <v>200</v>
      </c>
      <c r="C161">
        <v>17</v>
      </c>
      <c r="D161" t="s">
        <v>201</v>
      </c>
      <c r="E161" t="s">
        <v>2073</v>
      </c>
      <c r="F161" t="s">
        <v>2074</v>
      </c>
      <c r="G161" t="s">
        <v>2075</v>
      </c>
      <c r="H161" t="s">
        <v>2089</v>
      </c>
      <c r="I161" t="s">
        <v>2090</v>
      </c>
      <c r="J161" t="s">
        <v>2091</v>
      </c>
      <c r="K161" t="s">
        <v>1424</v>
      </c>
      <c r="L161" t="s">
        <v>200</v>
      </c>
      <c r="BB161" t="s">
        <v>187</v>
      </c>
    </row>
    <row r="162" spans="1:54" hidden="1" x14ac:dyDescent="0.25">
      <c r="A162" t="s">
        <v>91</v>
      </c>
      <c r="B162" t="s">
        <v>200</v>
      </c>
      <c r="C162">
        <v>57</v>
      </c>
      <c r="D162" t="s">
        <v>201</v>
      </c>
      <c r="E162" t="s">
        <v>2073</v>
      </c>
      <c r="F162" t="s">
        <v>2074</v>
      </c>
      <c r="G162" t="s">
        <v>2075</v>
      </c>
      <c r="H162" t="s">
        <v>2089</v>
      </c>
      <c r="I162" t="s">
        <v>2090</v>
      </c>
      <c r="J162" t="s">
        <v>2091</v>
      </c>
      <c r="K162" t="s">
        <v>1424</v>
      </c>
      <c r="L162" t="s">
        <v>200</v>
      </c>
      <c r="BB162" t="s">
        <v>205</v>
      </c>
    </row>
    <row r="163" spans="1:54" hidden="1" x14ac:dyDescent="0.25">
      <c r="A163" t="s">
        <v>85</v>
      </c>
      <c r="B163" t="s">
        <v>200</v>
      </c>
      <c r="C163">
        <v>233</v>
      </c>
      <c r="D163" t="s">
        <v>201</v>
      </c>
      <c r="E163" t="s">
        <v>2073</v>
      </c>
      <c r="F163" t="s">
        <v>2074</v>
      </c>
      <c r="G163" t="s">
        <v>2075</v>
      </c>
      <c r="H163" t="s">
        <v>2089</v>
      </c>
      <c r="I163" t="s">
        <v>2090</v>
      </c>
      <c r="J163" t="s">
        <v>2091</v>
      </c>
      <c r="K163" t="s">
        <v>1424</v>
      </c>
      <c r="L163" t="s">
        <v>200</v>
      </c>
      <c r="BB163" t="s">
        <v>190</v>
      </c>
    </row>
    <row r="164" spans="1:54" hidden="1" x14ac:dyDescent="0.25">
      <c r="A164" t="s">
        <v>52</v>
      </c>
      <c r="B164" t="s">
        <v>200</v>
      </c>
      <c r="C164">
        <v>26</v>
      </c>
      <c r="D164" t="s">
        <v>201</v>
      </c>
      <c r="E164" t="s">
        <v>2073</v>
      </c>
      <c r="F164" t="s">
        <v>2074</v>
      </c>
      <c r="G164" t="s">
        <v>2075</v>
      </c>
      <c r="H164" t="s">
        <v>2089</v>
      </c>
      <c r="I164" t="s">
        <v>2090</v>
      </c>
      <c r="J164" t="s">
        <v>2091</v>
      </c>
      <c r="K164" t="s">
        <v>1424</v>
      </c>
      <c r="L164" t="s">
        <v>200</v>
      </c>
      <c r="BB164" t="s">
        <v>231</v>
      </c>
    </row>
    <row r="165" spans="1:54" hidden="1" x14ac:dyDescent="0.25">
      <c r="A165" t="s">
        <v>6</v>
      </c>
      <c r="B165" t="s">
        <v>200</v>
      </c>
      <c r="C165">
        <v>125</v>
      </c>
      <c r="D165" t="s">
        <v>201</v>
      </c>
      <c r="E165" t="s">
        <v>2073</v>
      </c>
      <c r="F165" t="s">
        <v>2074</v>
      </c>
      <c r="G165" t="s">
        <v>2075</v>
      </c>
      <c r="H165" t="s">
        <v>2089</v>
      </c>
      <c r="I165" t="s">
        <v>2090</v>
      </c>
      <c r="J165" t="s">
        <v>2091</v>
      </c>
      <c r="K165" t="s">
        <v>1424</v>
      </c>
      <c r="L165" t="s">
        <v>200</v>
      </c>
      <c r="BB165" t="s">
        <v>193</v>
      </c>
    </row>
    <row r="166" spans="1:54" hidden="1" x14ac:dyDescent="0.25">
      <c r="A166" t="s">
        <v>12</v>
      </c>
      <c r="B166" t="s">
        <v>200</v>
      </c>
      <c r="C166">
        <v>83</v>
      </c>
      <c r="D166" t="s">
        <v>201</v>
      </c>
      <c r="E166" t="s">
        <v>2073</v>
      </c>
      <c r="F166" t="s">
        <v>2074</v>
      </c>
      <c r="G166" t="s">
        <v>2075</v>
      </c>
      <c r="H166" t="s">
        <v>2089</v>
      </c>
      <c r="I166" t="s">
        <v>2090</v>
      </c>
      <c r="J166" t="s">
        <v>2091</v>
      </c>
      <c r="K166" t="s">
        <v>1424</v>
      </c>
      <c r="L166" t="s">
        <v>200</v>
      </c>
      <c r="BB166" t="s">
        <v>216</v>
      </c>
    </row>
    <row r="167" spans="1:54" hidden="1" x14ac:dyDescent="0.25">
      <c r="A167" t="s">
        <v>92</v>
      </c>
      <c r="B167" t="s">
        <v>200</v>
      </c>
      <c r="C167">
        <v>180</v>
      </c>
      <c r="D167" t="s">
        <v>201</v>
      </c>
      <c r="E167" t="s">
        <v>2073</v>
      </c>
      <c r="F167" t="s">
        <v>2074</v>
      </c>
      <c r="G167" t="s">
        <v>2075</v>
      </c>
      <c r="H167" t="s">
        <v>2089</v>
      </c>
      <c r="I167" t="s">
        <v>2090</v>
      </c>
      <c r="J167" t="s">
        <v>2091</v>
      </c>
      <c r="K167" t="s">
        <v>1424</v>
      </c>
      <c r="L167" t="s">
        <v>200</v>
      </c>
      <c r="BB167" t="s">
        <v>236</v>
      </c>
    </row>
    <row r="168" spans="1:54" hidden="1" x14ac:dyDescent="0.25">
      <c r="A168" t="s">
        <v>53</v>
      </c>
      <c r="B168" t="s">
        <v>200</v>
      </c>
      <c r="C168">
        <v>915</v>
      </c>
      <c r="D168" t="s">
        <v>201</v>
      </c>
      <c r="E168" t="s">
        <v>2073</v>
      </c>
      <c r="F168" t="s">
        <v>2074</v>
      </c>
      <c r="G168" t="s">
        <v>2075</v>
      </c>
      <c r="H168" t="s">
        <v>2089</v>
      </c>
      <c r="I168" t="s">
        <v>2090</v>
      </c>
      <c r="J168" t="s">
        <v>2091</v>
      </c>
      <c r="K168" t="s">
        <v>1424</v>
      </c>
      <c r="L168" t="s">
        <v>200</v>
      </c>
      <c r="BB168" t="s">
        <v>210</v>
      </c>
    </row>
    <row r="169" spans="1:54" hidden="1" x14ac:dyDescent="0.25">
      <c r="A169" t="s">
        <v>76</v>
      </c>
      <c r="B169" t="s">
        <v>200</v>
      </c>
      <c r="C169">
        <v>1312</v>
      </c>
      <c r="D169" t="s">
        <v>201</v>
      </c>
      <c r="E169" t="s">
        <v>2073</v>
      </c>
      <c r="F169" t="s">
        <v>2074</v>
      </c>
      <c r="G169" t="s">
        <v>2075</v>
      </c>
      <c r="H169" t="s">
        <v>2089</v>
      </c>
      <c r="I169" t="s">
        <v>2090</v>
      </c>
      <c r="J169" t="s">
        <v>2091</v>
      </c>
      <c r="K169" t="s">
        <v>1424</v>
      </c>
      <c r="L169" t="s">
        <v>200</v>
      </c>
      <c r="BB169" t="s">
        <v>187</v>
      </c>
    </row>
    <row r="170" spans="1:54" hidden="1" x14ac:dyDescent="0.25">
      <c r="A170" t="s">
        <v>90</v>
      </c>
      <c r="B170" t="s">
        <v>200</v>
      </c>
      <c r="C170">
        <v>949</v>
      </c>
      <c r="D170" t="s">
        <v>201</v>
      </c>
      <c r="E170" t="s">
        <v>2073</v>
      </c>
      <c r="F170" t="s">
        <v>2074</v>
      </c>
      <c r="G170" t="s">
        <v>2075</v>
      </c>
      <c r="H170" t="s">
        <v>2089</v>
      </c>
      <c r="I170" t="s">
        <v>2090</v>
      </c>
      <c r="J170" t="s">
        <v>2091</v>
      </c>
      <c r="K170" t="s">
        <v>1424</v>
      </c>
      <c r="L170" t="s">
        <v>200</v>
      </c>
      <c r="BB170" t="s">
        <v>193</v>
      </c>
    </row>
    <row r="171" spans="1:54" hidden="1" x14ac:dyDescent="0.25">
      <c r="A171" t="s">
        <v>16</v>
      </c>
      <c r="B171" t="s">
        <v>200</v>
      </c>
      <c r="C171">
        <v>142</v>
      </c>
      <c r="D171" t="s">
        <v>201</v>
      </c>
      <c r="E171" t="s">
        <v>2073</v>
      </c>
      <c r="F171" t="s">
        <v>2074</v>
      </c>
      <c r="G171" t="s">
        <v>2075</v>
      </c>
      <c r="H171" t="s">
        <v>2089</v>
      </c>
      <c r="I171" t="s">
        <v>2090</v>
      </c>
      <c r="J171" t="s">
        <v>2091</v>
      </c>
      <c r="K171" t="s">
        <v>1424</v>
      </c>
      <c r="L171" t="s">
        <v>200</v>
      </c>
      <c r="BB171" t="s">
        <v>205</v>
      </c>
    </row>
    <row r="172" spans="1:54" hidden="1" x14ac:dyDescent="0.25">
      <c r="A172" t="s">
        <v>82</v>
      </c>
      <c r="B172" t="s">
        <v>200</v>
      </c>
      <c r="C172">
        <v>230</v>
      </c>
      <c r="D172" t="s">
        <v>201</v>
      </c>
      <c r="E172" t="s">
        <v>2073</v>
      </c>
      <c r="F172" t="s">
        <v>2074</v>
      </c>
      <c r="G172" t="s">
        <v>2075</v>
      </c>
      <c r="H172" t="s">
        <v>2089</v>
      </c>
      <c r="I172" t="s">
        <v>2090</v>
      </c>
      <c r="J172" t="s">
        <v>2091</v>
      </c>
      <c r="K172" t="s">
        <v>1424</v>
      </c>
      <c r="L172" t="s">
        <v>200</v>
      </c>
      <c r="BB172" t="s">
        <v>210</v>
      </c>
    </row>
    <row r="173" spans="1:54" hidden="1" x14ac:dyDescent="0.25">
      <c r="A173" t="s">
        <v>38</v>
      </c>
      <c r="B173" t="s">
        <v>200</v>
      </c>
      <c r="C173">
        <v>90</v>
      </c>
      <c r="D173" t="s">
        <v>201</v>
      </c>
      <c r="E173" t="s">
        <v>2073</v>
      </c>
      <c r="F173" t="s">
        <v>2074</v>
      </c>
      <c r="G173" t="s">
        <v>2075</v>
      </c>
      <c r="H173" t="s">
        <v>2089</v>
      </c>
      <c r="I173" t="s">
        <v>2090</v>
      </c>
      <c r="J173" t="s">
        <v>2091</v>
      </c>
      <c r="K173" t="s">
        <v>1424</v>
      </c>
      <c r="L173" t="s">
        <v>200</v>
      </c>
      <c r="BB173" t="s">
        <v>216</v>
      </c>
    </row>
    <row r="174" spans="1:54" hidden="1" x14ac:dyDescent="0.25">
      <c r="A174" t="s">
        <v>56</v>
      </c>
      <c r="B174" t="s">
        <v>229</v>
      </c>
      <c r="C174">
        <v>2766</v>
      </c>
      <c r="D174" t="s">
        <v>230</v>
      </c>
      <c r="E174" t="s">
        <v>2073</v>
      </c>
      <c r="F174" t="s">
        <v>2074</v>
      </c>
      <c r="G174" t="s">
        <v>2085</v>
      </c>
      <c r="H174" t="s">
        <v>2086</v>
      </c>
      <c r="I174" t="s">
        <v>2087</v>
      </c>
      <c r="J174" t="s">
        <v>2110</v>
      </c>
      <c r="K174" t="s">
        <v>1455</v>
      </c>
      <c r="L174" t="s">
        <v>229</v>
      </c>
      <c r="BB174" t="s">
        <v>207</v>
      </c>
    </row>
    <row r="175" spans="1:54" hidden="1" x14ac:dyDescent="0.25">
      <c r="A175" t="s">
        <v>50</v>
      </c>
      <c r="B175" t="s">
        <v>229</v>
      </c>
      <c r="C175">
        <v>416</v>
      </c>
      <c r="D175" t="s">
        <v>230</v>
      </c>
      <c r="E175" t="s">
        <v>2073</v>
      </c>
      <c r="F175" t="s">
        <v>2074</v>
      </c>
      <c r="G175" t="s">
        <v>2085</v>
      </c>
      <c r="H175" t="s">
        <v>2086</v>
      </c>
      <c r="I175" t="s">
        <v>2087</v>
      </c>
      <c r="J175" t="s">
        <v>2110</v>
      </c>
      <c r="K175" t="s">
        <v>1455</v>
      </c>
      <c r="L175" t="s">
        <v>229</v>
      </c>
      <c r="BB175" t="s">
        <v>219</v>
      </c>
    </row>
    <row r="176" spans="1:54" hidden="1" x14ac:dyDescent="0.25">
      <c r="A176" t="s">
        <v>23</v>
      </c>
      <c r="B176" t="s">
        <v>229</v>
      </c>
      <c r="C176">
        <v>9</v>
      </c>
      <c r="D176" t="s">
        <v>230</v>
      </c>
      <c r="E176" t="s">
        <v>2073</v>
      </c>
      <c r="F176" t="s">
        <v>2074</v>
      </c>
      <c r="G176" t="s">
        <v>2085</v>
      </c>
      <c r="H176" t="s">
        <v>2086</v>
      </c>
      <c r="I176" t="s">
        <v>2087</v>
      </c>
      <c r="J176" t="s">
        <v>2110</v>
      </c>
      <c r="K176" t="s">
        <v>1455</v>
      </c>
      <c r="L176" t="s">
        <v>229</v>
      </c>
      <c r="BB176" t="s">
        <v>202</v>
      </c>
    </row>
    <row r="177" spans="1:54" hidden="1" x14ac:dyDescent="0.25">
      <c r="A177" t="s">
        <v>38</v>
      </c>
      <c r="B177" t="s">
        <v>229</v>
      </c>
      <c r="C177">
        <v>22</v>
      </c>
      <c r="D177" t="s">
        <v>230</v>
      </c>
      <c r="E177" t="s">
        <v>2073</v>
      </c>
      <c r="F177" t="s">
        <v>2074</v>
      </c>
      <c r="G177" t="s">
        <v>2085</v>
      </c>
      <c r="H177" t="s">
        <v>2086</v>
      </c>
      <c r="I177" t="s">
        <v>2087</v>
      </c>
      <c r="J177" t="s">
        <v>2110</v>
      </c>
      <c r="K177" t="s">
        <v>1455</v>
      </c>
      <c r="L177" t="s">
        <v>229</v>
      </c>
      <c r="BB177" t="s">
        <v>222</v>
      </c>
    </row>
    <row r="178" spans="1:54" hidden="1" x14ac:dyDescent="0.25">
      <c r="A178" t="s">
        <v>69</v>
      </c>
      <c r="B178" t="s">
        <v>203</v>
      </c>
      <c r="C178">
        <v>3</v>
      </c>
      <c r="D178" t="s">
        <v>204</v>
      </c>
      <c r="E178" t="s">
        <v>2073</v>
      </c>
      <c r="F178" t="s">
        <v>2074</v>
      </c>
      <c r="G178" t="s">
        <v>2079</v>
      </c>
      <c r="H178" t="s">
        <v>2092</v>
      </c>
      <c r="I178" t="s">
        <v>2093</v>
      </c>
      <c r="J178" t="s">
        <v>2094</v>
      </c>
      <c r="K178" t="s">
        <v>1432</v>
      </c>
      <c r="L178" t="s">
        <v>203</v>
      </c>
      <c r="BB178" t="s">
        <v>187</v>
      </c>
    </row>
    <row r="179" spans="1:54" hidden="1" x14ac:dyDescent="0.25">
      <c r="A179" t="s">
        <v>88</v>
      </c>
      <c r="B179" t="s">
        <v>203</v>
      </c>
      <c r="C179">
        <v>8</v>
      </c>
      <c r="D179" t="s">
        <v>204</v>
      </c>
      <c r="E179" t="s">
        <v>2073</v>
      </c>
      <c r="F179" t="s">
        <v>2074</v>
      </c>
      <c r="G179" t="s">
        <v>2079</v>
      </c>
      <c r="H179" t="s">
        <v>2092</v>
      </c>
      <c r="I179" t="s">
        <v>2093</v>
      </c>
      <c r="J179" t="s">
        <v>2094</v>
      </c>
      <c r="K179" t="s">
        <v>1432</v>
      </c>
      <c r="L179" t="s">
        <v>203</v>
      </c>
      <c r="BB179" t="s">
        <v>193</v>
      </c>
    </row>
    <row r="180" spans="1:54" hidden="1" x14ac:dyDescent="0.25">
      <c r="A180" t="s">
        <v>84</v>
      </c>
      <c r="B180" t="s">
        <v>203</v>
      </c>
      <c r="C180">
        <v>4</v>
      </c>
      <c r="D180" t="s">
        <v>204</v>
      </c>
      <c r="E180" t="s">
        <v>2073</v>
      </c>
      <c r="F180" t="s">
        <v>2074</v>
      </c>
      <c r="G180" t="s">
        <v>2079</v>
      </c>
      <c r="H180" t="s">
        <v>2092</v>
      </c>
      <c r="I180" t="s">
        <v>2093</v>
      </c>
      <c r="J180" t="s">
        <v>2094</v>
      </c>
      <c r="K180" t="s">
        <v>1432</v>
      </c>
      <c r="L180" t="s">
        <v>203</v>
      </c>
      <c r="BB180" t="s">
        <v>216</v>
      </c>
    </row>
    <row r="181" spans="1:54" hidden="1" x14ac:dyDescent="0.25">
      <c r="A181" t="s">
        <v>79</v>
      </c>
      <c r="B181" t="s">
        <v>203</v>
      </c>
      <c r="C181">
        <v>4</v>
      </c>
      <c r="D181" t="s">
        <v>204</v>
      </c>
      <c r="E181" t="s">
        <v>2073</v>
      </c>
      <c r="F181" t="s">
        <v>2074</v>
      </c>
      <c r="G181" t="s">
        <v>2079</v>
      </c>
      <c r="H181" t="s">
        <v>2092</v>
      </c>
      <c r="I181" t="s">
        <v>2093</v>
      </c>
      <c r="J181" t="s">
        <v>2094</v>
      </c>
      <c r="K181" t="s">
        <v>1432</v>
      </c>
      <c r="L181" t="s">
        <v>203</v>
      </c>
      <c r="BB181" t="s">
        <v>210</v>
      </c>
    </row>
    <row r="182" spans="1:54" hidden="1" x14ac:dyDescent="0.25">
      <c r="A182" t="s">
        <v>56</v>
      </c>
      <c r="B182" t="s">
        <v>203</v>
      </c>
      <c r="C182">
        <v>365</v>
      </c>
      <c r="D182" t="s">
        <v>204</v>
      </c>
      <c r="E182" t="s">
        <v>2073</v>
      </c>
      <c r="F182" t="s">
        <v>2074</v>
      </c>
      <c r="G182" t="s">
        <v>2079</v>
      </c>
      <c r="H182" t="s">
        <v>2092</v>
      </c>
      <c r="I182" t="s">
        <v>2093</v>
      </c>
      <c r="J182" t="s">
        <v>2094</v>
      </c>
      <c r="K182" t="s">
        <v>1432</v>
      </c>
      <c r="L182" t="s">
        <v>203</v>
      </c>
      <c r="BB182" t="s">
        <v>205</v>
      </c>
    </row>
    <row r="183" spans="1:54" hidden="1" x14ac:dyDescent="0.25">
      <c r="A183" t="s">
        <v>19</v>
      </c>
      <c r="B183" t="s">
        <v>203</v>
      </c>
      <c r="C183">
        <v>88</v>
      </c>
      <c r="D183" t="s">
        <v>204</v>
      </c>
      <c r="E183" t="s">
        <v>2073</v>
      </c>
      <c r="F183" t="s">
        <v>2074</v>
      </c>
      <c r="G183" t="s">
        <v>2079</v>
      </c>
      <c r="H183" t="s">
        <v>2092</v>
      </c>
      <c r="I183" t="s">
        <v>2093</v>
      </c>
      <c r="J183" t="s">
        <v>2094</v>
      </c>
      <c r="K183" t="s">
        <v>1432</v>
      </c>
      <c r="L183" t="s">
        <v>203</v>
      </c>
      <c r="BB183" t="s">
        <v>190</v>
      </c>
    </row>
    <row r="184" spans="1:54" hidden="1" x14ac:dyDescent="0.25">
      <c r="A184" t="s">
        <v>70</v>
      </c>
      <c r="B184" t="s">
        <v>203</v>
      </c>
      <c r="C184">
        <v>160</v>
      </c>
      <c r="D184" t="s">
        <v>204</v>
      </c>
      <c r="E184" t="s">
        <v>2073</v>
      </c>
      <c r="F184" t="s">
        <v>2074</v>
      </c>
      <c r="G184" t="s">
        <v>2079</v>
      </c>
      <c r="H184" t="s">
        <v>2092</v>
      </c>
      <c r="I184" t="s">
        <v>2093</v>
      </c>
      <c r="J184" t="s">
        <v>2094</v>
      </c>
      <c r="K184" t="s">
        <v>1432</v>
      </c>
      <c r="L184" t="s">
        <v>203</v>
      </c>
      <c r="BB184" t="s">
        <v>202</v>
      </c>
    </row>
    <row r="185" spans="1:54" hidden="1" x14ac:dyDescent="0.25">
      <c r="A185" t="s">
        <v>83</v>
      </c>
      <c r="B185" t="s">
        <v>203</v>
      </c>
      <c r="C185">
        <v>129</v>
      </c>
      <c r="D185" t="s">
        <v>204</v>
      </c>
      <c r="E185" t="s">
        <v>2073</v>
      </c>
      <c r="F185" t="s">
        <v>2074</v>
      </c>
      <c r="G185" t="s">
        <v>2079</v>
      </c>
      <c r="H185" t="s">
        <v>2092</v>
      </c>
      <c r="I185" t="s">
        <v>2093</v>
      </c>
      <c r="J185" t="s">
        <v>2094</v>
      </c>
      <c r="K185" t="s">
        <v>1432</v>
      </c>
      <c r="L185" t="s">
        <v>203</v>
      </c>
      <c r="BB185" t="s">
        <v>219</v>
      </c>
    </row>
    <row r="186" spans="1:54" hidden="1" x14ac:dyDescent="0.25">
      <c r="A186" t="s">
        <v>46</v>
      </c>
      <c r="B186" t="s">
        <v>203</v>
      </c>
      <c r="C186">
        <v>37</v>
      </c>
      <c r="D186" t="s">
        <v>204</v>
      </c>
      <c r="E186" t="s">
        <v>2073</v>
      </c>
      <c r="F186" t="s">
        <v>2074</v>
      </c>
      <c r="G186" t="s">
        <v>2079</v>
      </c>
      <c r="H186" t="s">
        <v>2092</v>
      </c>
      <c r="I186" t="s">
        <v>2093</v>
      </c>
      <c r="J186" t="s">
        <v>2094</v>
      </c>
      <c r="K186" t="s">
        <v>1432</v>
      </c>
      <c r="L186" t="s">
        <v>203</v>
      </c>
      <c r="BB186" t="s">
        <v>222</v>
      </c>
    </row>
    <row r="187" spans="1:54" hidden="1" x14ac:dyDescent="0.25">
      <c r="A187" t="s">
        <v>28</v>
      </c>
      <c r="B187" t="s">
        <v>203</v>
      </c>
      <c r="C187">
        <v>11</v>
      </c>
      <c r="D187" t="s">
        <v>204</v>
      </c>
      <c r="E187" t="s">
        <v>2073</v>
      </c>
      <c r="F187" t="s">
        <v>2074</v>
      </c>
      <c r="G187" t="s">
        <v>2079</v>
      </c>
      <c r="H187" t="s">
        <v>2092</v>
      </c>
      <c r="I187" t="s">
        <v>2093</v>
      </c>
      <c r="J187" t="s">
        <v>2094</v>
      </c>
      <c r="K187" t="s">
        <v>1432</v>
      </c>
      <c r="L187" t="s">
        <v>203</v>
      </c>
      <c r="BB187" t="s">
        <v>196</v>
      </c>
    </row>
    <row r="188" spans="1:54" hidden="1" x14ac:dyDescent="0.25">
      <c r="A188" t="s">
        <v>39</v>
      </c>
      <c r="B188" t="s">
        <v>203</v>
      </c>
      <c r="C188">
        <v>20</v>
      </c>
      <c r="D188" t="s">
        <v>204</v>
      </c>
      <c r="E188" t="s">
        <v>2073</v>
      </c>
      <c r="F188" t="s">
        <v>2074</v>
      </c>
      <c r="G188" t="s">
        <v>2079</v>
      </c>
      <c r="H188" t="s">
        <v>2092</v>
      </c>
      <c r="I188" t="s">
        <v>2093</v>
      </c>
      <c r="J188" t="s">
        <v>2094</v>
      </c>
      <c r="K188" t="s">
        <v>1432</v>
      </c>
      <c r="L188" t="s">
        <v>203</v>
      </c>
      <c r="BB188" t="s">
        <v>228</v>
      </c>
    </row>
    <row r="189" spans="1:54" hidden="1" x14ac:dyDescent="0.25">
      <c r="A189" t="s">
        <v>75</v>
      </c>
      <c r="B189" t="s">
        <v>203</v>
      </c>
      <c r="C189">
        <v>22</v>
      </c>
      <c r="D189" t="s">
        <v>204</v>
      </c>
      <c r="E189" t="s">
        <v>2073</v>
      </c>
      <c r="F189" t="s">
        <v>2074</v>
      </c>
      <c r="G189" t="s">
        <v>2079</v>
      </c>
      <c r="H189" t="s">
        <v>2092</v>
      </c>
      <c r="I189" t="s">
        <v>2093</v>
      </c>
      <c r="J189" t="s">
        <v>2094</v>
      </c>
      <c r="K189" t="s">
        <v>1432</v>
      </c>
      <c r="L189" t="s">
        <v>203</v>
      </c>
      <c r="BB189" t="s">
        <v>187</v>
      </c>
    </row>
    <row r="190" spans="1:54" hidden="1" x14ac:dyDescent="0.25">
      <c r="A190" t="s">
        <v>50</v>
      </c>
      <c r="B190" t="s">
        <v>203</v>
      </c>
      <c r="C190">
        <v>1096</v>
      </c>
      <c r="D190" t="s">
        <v>204</v>
      </c>
      <c r="E190" t="s">
        <v>2073</v>
      </c>
      <c r="F190" t="s">
        <v>2074</v>
      </c>
      <c r="G190" t="s">
        <v>2079</v>
      </c>
      <c r="H190" t="s">
        <v>2092</v>
      </c>
      <c r="I190" t="s">
        <v>2093</v>
      </c>
      <c r="J190" t="s">
        <v>2094</v>
      </c>
      <c r="K190" t="s">
        <v>1432</v>
      </c>
      <c r="L190" t="s">
        <v>203</v>
      </c>
      <c r="BB190" t="s">
        <v>193</v>
      </c>
    </row>
    <row r="191" spans="1:54" hidden="1" x14ac:dyDescent="0.25">
      <c r="A191" t="s">
        <v>74</v>
      </c>
      <c r="B191" t="s">
        <v>203</v>
      </c>
      <c r="C191">
        <v>939</v>
      </c>
      <c r="D191" t="s">
        <v>204</v>
      </c>
      <c r="E191" t="s">
        <v>2073</v>
      </c>
      <c r="F191" t="s">
        <v>2074</v>
      </c>
      <c r="G191" t="s">
        <v>2079</v>
      </c>
      <c r="H191" t="s">
        <v>2092</v>
      </c>
      <c r="I191" t="s">
        <v>2093</v>
      </c>
      <c r="J191" t="s">
        <v>2094</v>
      </c>
      <c r="K191" t="s">
        <v>1432</v>
      </c>
      <c r="L191" t="s">
        <v>203</v>
      </c>
      <c r="BB191" t="s">
        <v>210</v>
      </c>
    </row>
    <row r="192" spans="1:54" hidden="1" x14ac:dyDescent="0.25">
      <c r="A192" t="s">
        <v>48</v>
      </c>
      <c r="B192" t="s">
        <v>203</v>
      </c>
      <c r="C192">
        <v>118</v>
      </c>
      <c r="D192" t="s">
        <v>204</v>
      </c>
      <c r="E192" t="s">
        <v>2073</v>
      </c>
      <c r="F192" t="s">
        <v>2074</v>
      </c>
      <c r="G192" t="s">
        <v>2079</v>
      </c>
      <c r="H192" t="s">
        <v>2092</v>
      </c>
      <c r="I192" t="s">
        <v>2093</v>
      </c>
      <c r="J192" t="s">
        <v>2094</v>
      </c>
      <c r="K192" t="s">
        <v>1432</v>
      </c>
      <c r="L192" t="s">
        <v>203</v>
      </c>
      <c r="BB192" t="s">
        <v>216</v>
      </c>
    </row>
    <row r="193" spans="1:54" hidden="1" x14ac:dyDescent="0.25">
      <c r="A193" t="s">
        <v>43</v>
      </c>
      <c r="B193" t="s">
        <v>203</v>
      </c>
      <c r="C193">
        <v>56</v>
      </c>
      <c r="D193" t="s">
        <v>204</v>
      </c>
      <c r="E193" t="s">
        <v>2073</v>
      </c>
      <c r="F193" t="s">
        <v>2074</v>
      </c>
      <c r="G193" t="s">
        <v>2079</v>
      </c>
      <c r="H193" t="s">
        <v>2092</v>
      </c>
      <c r="I193" t="s">
        <v>2093</v>
      </c>
      <c r="J193" t="s">
        <v>2094</v>
      </c>
      <c r="K193" t="s">
        <v>1432</v>
      </c>
      <c r="L193" t="s">
        <v>203</v>
      </c>
      <c r="BB193" t="s">
        <v>205</v>
      </c>
    </row>
    <row r="194" spans="1:54" hidden="1" x14ac:dyDescent="0.25">
      <c r="A194" t="s">
        <v>40</v>
      </c>
      <c r="B194" t="s">
        <v>203</v>
      </c>
      <c r="C194">
        <v>20</v>
      </c>
      <c r="D194" t="s">
        <v>204</v>
      </c>
      <c r="E194" t="s">
        <v>2073</v>
      </c>
      <c r="F194" t="s">
        <v>2074</v>
      </c>
      <c r="G194" t="s">
        <v>2079</v>
      </c>
      <c r="H194" t="s">
        <v>2092</v>
      </c>
      <c r="I194" t="s">
        <v>2093</v>
      </c>
      <c r="J194" t="s">
        <v>2094</v>
      </c>
      <c r="K194" t="s">
        <v>1432</v>
      </c>
      <c r="L194" t="s">
        <v>203</v>
      </c>
      <c r="BB194" t="s">
        <v>190</v>
      </c>
    </row>
    <row r="195" spans="1:54" hidden="1" x14ac:dyDescent="0.25">
      <c r="A195" t="s">
        <v>42</v>
      </c>
      <c r="B195" t="s">
        <v>203</v>
      </c>
      <c r="C195">
        <v>28</v>
      </c>
      <c r="D195" t="s">
        <v>204</v>
      </c>
      <c r="E195" t="s">
        <v>2073</v>
      </c>
      <c r="F195" t="s">
        <v>2074</v>
      </c>
      <c r="G195" t="s">
        <v>2079</v>
      </c>
      <c r="H195" t="s">
        <v>2092</v>
      </c>
      <c r="I195" t="s">
        <v>2093</v>
      </c>
      <c r="J195" t="s">
        <v>2094</v>
      </c>
      <c r="K195" t="s">
        <v>1432</v>
      </c>
      <c r="L195" t="s">
        <v>203</v>
      </c>
      <c r="BB195" t="s">
        <v>219</v>
      </c>
    </row>
    <row r="196" spans="1:54" hidden="1" x14ac:dyDescent="0.25">
      <c r="A196" t="s">
        <v>80</v>
      </c>
      <c r="B196" t="s">
        <v>203</v>
      </c>
      <c r="C196">
        <v>118</v>
      </c>
      <c r="D196" t="s">
        <v>204</v>
      </c>
      <c r="E196" t="s">
        <v>2073</v>
      </c>
      <c r="F196" t="s">
        <v>2074</v>
      </c>
      <c r="G196" t="s">
        <v>2079</v>
      </c>
      <c r="H196" t="s">
        <v>2092</v>
      </c>
      <c r="I196" t="s">
        <v>2093</v>
      </c>
      <c r="J196" t="s">
        <v>2094</v>
      </c>
      <c r="K196" t="s">
        <v>1432</v>
      </c>
      <c r="L196" t="s">
        <v>203</v>
      </c>
      <c r="BB196" t="s">
        <v>202</v>
      </c>
    </row>
    <row r="197" spans="1:54" hidden="1" x14ac:dyDescent="0.25">
      <c r="A197" t="s">
        <v>37</v>
      </c>
      <c r="B197" t="s">
        <v>203</v>
      </c>
      <c r="C197">
        <v>72</v>
      </c>
      <c r="D197" t="s">
        <v>204</v>
      </c>
      <c r="E197" t="s">
        <v>2073</v>
      </c>
      <c r="F197" t="s">
        <v>2074</v>
      </c>
      <c r="G197" t="s">
        <v>2079</v>
      </c>
      <c r="H197" t="s">
        <v>2092</v>
      </c>
      <c r="I197" t="s">
        <v>2093</v>
      </c>
      <c r="J197" t="s">
        <v>2094</v>
      </c>
      <c r="K197" t="s">
        <v>1432</v>
      </c>
      <c r="L197" t="s">
        <v>203</v>
      </c>
      <c r="BB197" t="s">
        <v>228</v>
      </c>
    </row>
    <row r="198" spans="1:54" hidden="1" x14ac:dyDescent="0.25">
      <c r="A198" t="s">
        <v>18</v>
      </c>
      <c r="B198" t="s">
        <v>203</v>
      </c>
      <c r="C198">
        <v>56</v>
      </c>
      <c r="D198" t="s">
        <v>204</v>
      </c>
      <c r="E198" t="s">
        <v>2073</v>
      </c>
      <c r="F198" t="s">
        <v>2074</v>
      </c>
      <c r="G198" t="s">
        <v>2079</v>
      </c>
      <c r="H198" t="s">
        <v>2092</v>
      </c>
      <c r="I198" t="s">
        <v>2093</v>
      </c>
      <c r="J198" t="s">
        <v>2094</v>
      </c>
      <c r="K198" t="s">
        <v>1432</v>
      </c>
      <c r="L198" t="s">
        <v>203</v>
      </c>
      <c r="BB198" t="s">
        <v>222</v>
      </c>
    </row>
    <row r="199" spans="1:54" hidden="1" x14ac:dyDescent="0.25">
      <c r="A199" t="s">
        <v>89</v>
      </c>
      <c r="B199" t="s">
        <v>203</v>
      </c>
      <c r="C199">
        <v>56</v>
      </c>
      <c r="D199" t="s">
        <v>204</v>
      </c>
      <c r="E199" t="s">
        <v>2073</v>
      </c>
      <c r="F199" t="s">
        <v>2074</v>
      </c>
      <c r="G199" t="s">
        <v>2079</v>
      </c>
      <c r="H199" t="s">
        <v>2092</v>
      </c>
      <c r="I199" t="s">
        <v>2093</v>
      </c>
      <c r="J199" t="s">
        <v>2094</v>
      </c>
      <c r="K199" t="s">
        <v>1432</v>
      </c>
      <c r="L199" t="s">
        <v>203</v>
      </c>
      <c r="BB199" t="s">
        <v>196</v>
      </c>
    </row>
    <row r="200" spans="1:54" hidden="1" x14ac:dyDescent="0.25">
      <c r="A200" t="s">
        <v>87</v>
      </c>
      <c r="B200" t="s">
        <v>203</v>
      </c>
      <c r="C200">
        <v>100</v>
      </c>
      <c r="D200" t="s">
        <v>204</v>
      </c>
      <c r="E200" t="s">
        <v>2073</v>
      </c>
      <c r="F200" t="s">
        <v>2074</v>
      </c>
      <c r="G200" t="s">
        <v>2079</v>
      </c>
      <c r="H200" t="s">
        <v>2092</v>
      </c>
      <c r="I200" t="s">
        <v>2093</v>
      </c>
      <c r="J200" t="s">
        <v>2094</v>
      </c>
      <c r="K200" t="s">
        <v>1432</v>
      </c>
      <c r="L200" t="s">
        <v>203</v>
      </c>
      <c r="BB200" t="s">
        <v>210</v>
      </c>
    </row>
    <row r="201" spans="1:54" hidden="1" x14ac:dyDescent="0.25">
      <c r="A201" t="s">
        <v>20</v>
      </c>
      <c r="B201" t="s">
        <v>203</v>
      </c>
      <c r="C201">
        <v>151</v>
      </c>
      <c r="D201" t="s">
        <v>204</v>
      </c>
      <c r="E201" t="s">
        <v>2073</v>
      </c>
      <c r="F201" t="s">
        <v>2074</v>
      </c>
      <c r="G201" t="s">
        <v>2079</v>
      </c>
      <c r="H201" t="s">
        <v>2092</v>
      </c>
      <c r="I201" t="s">
        <v>2093</v>
      </c>
      <c r="J201" t="s">
        <v>2094</v>
      </c>
      <c r="K201" t="s">
        <v>1432</v>
      </c>
      <c r="L201" t="s">
        <v>203</v>
      </c>
      <c r="BB201" t="s">
        <v>190</v>
      </c>
    </row>
    <row r="202" spans="1:54" hidden="1" x14ac:dyDescent="0.25">
      <c r="A202" t="s">
        <v>17</v>
      </c>
      <c r="B202" t="s">
        <v>203</v>
      </c>
      <c r="C202">
        <v>4</v>
      </c>
      <c r="D202" t="s">
        <v>204</v>
      </c>
      <c r="E202" t="s">
        <v>2073</v>
      </c>
      <c r="F202" t="s">
        <v>2074</v>
      </c>
      <c r="G202" t="s">
        <v>2079</v>
      </c>
      <c r="H202" t="s">
        <v>2092</v>
      </c>
      <c r="I202" t="s">
        <v>2093</v>
      </c>
      <c r="J202" t="s">
        <v>2094</v>
      </c>
      <c r="K202" t="s">
        <v>1432</v>
      </c>
      <c r="L202" t="s">
        <v>203</v>
      </c>
      <c r="BB202" t="s">
        <v>199</v>
      </c>
    </row>
    <row r="203" spans="1:54" hidden="1" x14ac:dyDescent="0.25">
      <c r="A203" t="s">
        <v>9</v>
      </c>
      <c r="B203" t="s">
        <v>203</v>
      </c>
      <c r="C203">
        <v>5</v>
      </c>
      <c r="D203" t="s">
        <v>204</v>
      </c>
      <c r="E203" t="s">
        <v>2073</v>
      </c>
      <c r="F203" t="s">
        <v>2074</v>
      </c>
      <c r="G203" t="s">
        <v>2079</v>
      </c>
      <c r="H203" t="s">
        <v>2092</v>
      </c>
      <c r="I203" t="s">
        <v>2093</v>
      </c>
      <c r="J203" t="s">
        <v>2094</v>
      </c>
      <c r="K203" t="s">
        <v>1432</v>
      </c>
      <c r="L203" t="s">
        <v>203</v>
      </c>
      <c r="BB203" t="s">
        <v>196</v>
      </c>
    </row>
    <row r="204" spans="1:54" hidden="1" x14ac:dyDescent="0.25">
      <c r="A204" t="s">
        <v>30</v>
      </c>
      <c r="B204" t="s">
        <v>203</v>
      </c>
      <c r="C204">
        <v>678</v>
      </c>
      <c r="D204" t="s">
        <v>204</v>
      </c>
      <c r="E204" t="s">
        <v>2073</v>
      </c>
      <c r="F204" t="s">
        <v>2074</v>
      </c>
      <c r="G204" t="s">
        <v>2079</v>
      </c>
      <c r="H204" t="s">
        <v>2092</v>
      </c>
      <c r="I204" t="s">
        <v>2093</v>
      </c>
      <c r="J204" t="s">
        <v>2094</v>
      </c>
      <c r="K204" t="s">
        <v>1432</v>
      </c>
      <c r="L204" t="s">
        <v>203</v>
      </c>
      <c r="BB204" t="s">
        <v>239</v>
      </c>
    </row>
    <row r="205" spans="1:54" hidden="1" x14ac:dyDescent="0.25">
      <c r="A205" t="s">
        <v>33</v>
      </c>
      <c r="B205" t="s">
        <v>203</v>
      </c>
      <c r="C205">
        <v>22</v>
      </c>
      <c r="D205" t="s">
        <v>204</v>
      </c>
      <c r="E205" t="s">
        <v>2073</v>
      </c>
      <c r="F205" t="s">
        <v>2074</v>
      </c>
      <c r="G205" t="s">
        <v>2079</v>
      </c>
      <c r="H205" t="s">
        <v>2092</v>
      </c>
      <c r="I205" t="s">
        <v>2093</v>
      </c>
      <c r="J205" t="s">
        <v>2094</v>
      </c>
      <c r="K205" t="s">
        <v>1432</v>
      </c>
      <c r="L205" t="s">
        <v>203</v>
      </c>
      <c r="BB205" t="s">
        <v>202</v>
      </c>
    </row>
    <row r="206" spans="1:54" hidden="1" x14ac:dyDescent="0.25">
      <c r="A206" t="s">
        <v>25</v>
      </c>
      <c r="B206" t="s">
        <v>203</v>
      </c>
      <c r="C206">
        <v>154</v>
      </c>
      <c r="D206" t="s">
        <v>204</v>
      </c>
      <c r="E206" t="s">
        <v>2073</v>
      </c>
      <c r="F206" t="s">
        <v>2074</v>
      </c>
      <c r="G206" t="s">
        <v>2079</v>
      </c>
      <c r="H206" t="s">
        <v>2092</v>
      </c>
      <c r="I206" t="s">
        <v>2093</v>
      </c>
      <c r="J206" t="s">
        <v>2094</v>
      </c>
      <c r="K206" t="s">
        <v>1432</v>
      </c>
      <c r="L206" t="s">
        <v>203</v>
      </c>
      <c r="BB206" t="s">
        <v>207</v>
      </c>
    </row>
    <row r="207" spans="1:54" hidden="1" x14ac:dyDescent="0.25">
      <c r="A207" t="s">
        <v>29</v>
      </c>
      <c r="B207" t="s">
        <v>203</v>
      </c>
      <c r="C207">
        <v>33</v>
      </c>
      <c r="D207" t="s">
        <v>204</v>
      </c>
      <c r="E207" t="s">
        <v>2073</v>
      </c>
      <c r="F207" t="s">
        <v>2074</v>
      </c>
      <c r="G207" t="s">
        <v>2079</v>
      </c>
      <c r="H207" t="s">
        <v>2092</v>
      </c>
      <c r="I207" t="s">
        <v>2093</v>
      </c>
      <c r="J207" t="s">
        <v>2094</v>
      </c>
      <c r="K207" t="s">
        <v>1432</v>
      </c>
      <c r="L207" t="s">
        <v>203</v>
      </c>
      <c r="BB207" t="s">
        <v>228</v>
      </c>
    </row>
    <row r="208" spans="1:54" hidden="1" x14ac:dyDescent="0.25">
      <c r="A208" t="s">
        <v>32</v>
      </c>
      <c r="B208" t="s">
        <v>203</v>
      </c>
      <c r="C208">
        <v>37</v>
      </c>
      <c r="D208" t="s">
        <v>204</v>
      </c>
      <c r="E208" t="s">
        <v>2073</v>
      </c>
      <c r="F208" t="s">
        <v>2074</v>
      </c>
      <c r="G208" t="s">
        <v>2079</v>
      </c>
      <c r="H208" t="s">
        <v>2092</v>
      </c>
      <c r="I208" t="s">
        <v>2093</v>
      </c>
      <c r="J208" t="s">
        <v>2094</v>
      </c>
      <c r="K208" t="s">
        <v>1432</v>
      </c>
      <c r="L208" t="s">
        <v>203</v>
      </c>
      <c r="BB208" t="s">
        <v>199</v>
      </c>
    </row>
    <row r="209" spans="1:54" hidden="1" x14ac:dyDescent="0.25">
      <c r="A209" t="s">
        <v>65</v>
      </c>
      <c r="B209" t="s">
        <v>203</v>
      </c>
      <c r="C209">
        <v>56</v>
      </c>
      <c r="D209" t="s">
        <v>204</v>
      </c>
      <c r="E209" t="s">
        <v>2073</v>
      </c>
      <c r="F209" t="s">
        <v>2074</v>
      </c>
      <c r="G209" t="s">
        <v>2079</v>
      </c>
      <c r="H209" t="s">
        <v>2092</v>
      </c>
      <c r="I209" t="s">
        <v>2093</v>
      </c>
      <c r="J209" t="s">
        <v>2094</v>
      </c>
      <c r="K209" t="s">
        <v>1432</v>
      </c>
      <c r="L209" t="s">
        <v>203</v>
      </c>
      <c r="BB209" t="s">
        <v>196</v>
      </c>
    </row>
    <row r="210" spans="1:54" hidden="1" x14ac:dyDescent="0.25">
      <c r="A210" t="s">
        <v>59</v>
      </c>
      <c r="B210" t="s">
        <v>203</v>
      </c>
      <c r="C210">
        <v>1322</v>
      </c>
      <c r="D210" t="s">
        <v>204</v>
      </c>
      <c r="E210" t="s">
        <v>2073</v>
      </c>
      <c r="F210" t="s">
        <v>2074</v>
      </c>
      <c r="G210" t="s">
        <v>2079</v>
      </c>
      <c r="H210" t="s">
        <v>2092</v>
      </c>
      <c r="I210" t="s">
        <v>2093</v>
      </c>
      <c r="J210" t="s">
        <v>2094</v>
      </c>
      <c r="K210" t="s">
        <v>1432</v>
      </c>
      <c r="L210" t="s">
        <v>203</v>
      </c>
      <c r="BB210" t="s">
        <v>210</v>
      </c>
    </row>
    <row r="211" spans="1:54" hidden="1" x14ac:dyDescent="0.25">
      <c r="A211" t="s">
        <v>77</v>
      </c>
      <c r="B211" t="s">
        <v>203</v>
      </c>
      <c r="C211">
        <v>9</v>
      </c>
      <c r="D211" t="s">
        <v>204</v>
      </c>
      <c r="E211" t="s">
        <v>2073</v>
      </c>
      <c r="F211" t="s">
        <v>2074</v>
      </c>
      <c r="G211" t="s">
        <v>2079</v>
      </c>
      <c r="H211" t="s">
        <v>2092</v>
      </c>
      <c r="I211" t="s">
        <v>2093</v>
      </c>
      <c r="J211" t="s">
        <v>2094</v>
      </c>
      <c r="K211" t="s">
        <v>1432</v>
      </c>
      <c r="L211" t="s">
        <v>203</v>
      </c>
      <c r="BB211" t="s">
        <v>190</v>
      </c>
    </row>
    <row r="212" spans="1:54" hidden="1" x14ac:dyDescent="0.25">
      <c r="A212" t="s">
        <v>45</v>
      </c>
      <c r="B212" t="s">
        <v>203</v>
      </c>
      <c r="C212">
        <v>43</v>
      </c>
      <c r="D212" t="s">
        <v>204</v>
      </c>
      <c r="E212" t="s">
        <v>2073</v>
      </c>
      <c r="F212" t="s">
        <v>2074</v>
      </c>
      <c r="G212" t="s">
        <v>2079</v>
      </c>
      <c r="H212" t="s">
        <v>2092</v>
      </c>
      <c r="I212" t="s">
        <v>2093</v>
      </c>
      <c r="J212" t="s">
        <v>2094</v>
      </c>
      <c r="K212" t="s">
        <v>1432</v>
      </c>
      <c r="L212" t="s">
        <v>203</v>
      </c>
      <c r="BB212" t="s">
        <v>202</v>
      </c>
    </row>
    <row r="213" spans="1:54" hidden="1" x14ac:dyDescent="0.25">
      <c r="A213" t="s">
        <v>15</v>
      </c>
      <c r="B213" t="s">
        <v>203</v>
      </c>
      <c r="C213">
        <v>267</v>
      </c>
      <c r="D213" t="s">
        <v>204</v>
      </c>
      <c r="E213" t="s">
        <v>2073</v>
      </c>
      <c r="F213" t="s">
        <v>2074</v>
      </c>
      <c r="G213" t="s">
        <v>2079</v>
      </c>
      <c r="H213" t="s">
        <v>2092</v>
      </c>
      <c r="I213" t="s">
        <v>2093</v>
      </c>
      <c r="J213" t="s">
        <v>2094</v>
      </c>
      <c r="K213" t="s">
        <v>1432</v>
      </c>
      <c r="L213" t="s">
        <v>203</v>
      </c>
      <c r="BB213" t="s">
        <v>193</v>
      </c>
    </row>
    <row r="214" spans="1:54" hidden="1" x14ac:dyDescent="0.25">
      <c r="A214" t="s">
        <v>22</v>
      </c>
      <c r="B214" t="s">
        <v>203</v>
      </c>
      <c r="C214">
        <v>31</v>
      </c>
      <c r="D214" t="s">
        <v>204</v>
      </c>
      <c r="E214" t="s">
        <v>2073</v>
      </c>
      <c r="F214" t="s">
        <v>2074</v>
      </c>
      <c r="G214" t="s">
        <v>2079</v>
      </c>
      <c r="H214" t="s">
        <v>2092</v>
      </c>
      <c r="I214" t="s">
        <v>2093</v>
      </c>
      <c r="J214" t="s">
        <v>2094</v>
      </c>
      <c r="K214" t="s">
        <v>1432</v>
      </c>
      <c r="L214" t="s">
        <v>203</v>
      </c>
      <c r="BB214" t="s">
        <v>190</v>
      </c>
    </row>
    <row r="215" spans="1:54" hidden="1" x14ac:dyDescent="0.25">
      <c r="A215" t="s">
        <v>41</v>
      </c>
      <c r="B215" t="s">
        <v>203</v>
      </c>
      <c r="C215">
        <v>5108</v>
      </c>
      <c r="D215" t="s">
        <v>204</v>
      </c>
      <c r="E215" t="s">
        <v>2073</v>
      </c>
      <c r="F215" t="s">
        <v>2074</v>
      </c>
      <c r="G215" t="s">
        <v>2079</v>
      </c>
      <c r="H215" t="s">
        <v>2092</v>
      </c>
      <c r="I215" t="s">
        <v>2093</v>
      </c>
      <c r="J215" t="s">
        <v>2094</v>
      </c>
      <c r="K215" t="s">
        <v>1432</v>
      </c>
      <c r="L215" t="s">
        <v>203</v>
      </c>
      <c r="BB215" t="s">
        <v>196</v>
      </c>
    </row>
    <row r="216" spans="1:54" hidden="1" x14ac:dyDescent="0.25">
      <c r="A216" t="s">
        <v>14</v>
      </c>
      <c r="B216" t="s">
        <v>203</v>
      </c>
      <c r="C216">
        <v>37</v>
      </c>
      <c r="D216" t="s">
        <v>204</v>
      </c>
      <c r="E216" t="s">
        <v>2073</v>
      </c>
      <c r="F216" t="s">
        <v>2074</v>
      </c>
      <c r="G216" t="s">
        <v>2079</v>
      </c>
      <c r="H216" t="s">
        <v>2092</v>
      </c>
      <c r="I216" t="s">
        <v>2093</v>
      </c>
      <c r="J216" t="s">
        <v>2094</v>
      </c>
      <c r="K216" t="s">
        <v>1432</v>
      </c>
      <c r="L216" t="s">
        <v>203</v>
      </c>
      <c r="BB216" t="s">
        <v>193</v>
      </c>
    </row>
    <row r="217" spans="1:54" hidden="1" x14ac:dyDescent="0.25">
      <c r="A217" t="s">
        <v>67</v>
      </c>
      <c r="B217" t="s">
        <v>203</v>
      </c>
      <c r="C217">
        <v>58</v>
      </c>
      <c r="D217" t="s">
        <v>204</v>
      </c>
      <c r="E217" t="s">
        <v>2073</v>
      </c>
      <c r="F217" t="s">
        <v>2074</v>
      </c>
      <c r="G217" t="s">
        <v>2079</v>
      </c>
      <c r="H217" t="s">
        <v>2092</v>
      </c>
      <c r="I217" t="s">
        <v>2093</v>
      </c>
      <c r="J217" t="s">
        <v>2094</v>
      </c>
      <c r="K217" t="s">
        <v>1432</v>
      </c>
      <c r="L217" t="s">
        <v>203</v>
      </c>
      <c r="BB217" t="s">
        <v>199</v>
      </c>
    </row>
    <row r="218" spans="1:54" hidden="1" x14ac:dyDescent="0.25">
      <c r="A218" t="s">
        <v>24</v>
      </c>
      <c r="B218" t="s">
        <v>203</v>
      </c>
      <c r="C218">
        <v>51</v>
      </c>
      <c r="D218" t="s">
        <v>204</v>
      </c>
      <c r="E218" t="s">
        <v>2073</v>
      </c>
      <c r="F218" t="s">
        <v>2074</v>
      </c>
      <c r="G218" t="s">
        <v>2079</v>
      </c>
      <c r="H218" t="s">
        <v>2092</v>
      </c>
      <c r="I218" t="s">
        <v>2093</v>
      </c>
      <c r="J218" t="s">
        <v>2094</v>
      </c>
      <c r="K218" t="s">
        <v>1432</v>
      </c>
      <c r="L218" t="s">
        <v>203</v>
      </c>
      <c r="BB218" t="s">
        <v>213</v>
      </c>
    </row>
    <row r="219" spans="1:54" hidden="1" x14ac:dyDescent="0.25">
      <c r="A219" t="s">
        <v>36</v>
      </c>
      <c r="B219" t="s">
        <v>203</v>
      </c>
      <c r="C219">
        <v>4</v>
      </c>
      <c r="D219" t="s">
        <v>204</v>
      </c>
      <c r="E219" t="s">
        <v>2073</v>
      </c>
      <c r="F219" t="s">
        <v>2074</v>
      </c>
      <c r="G219" t="s">
        <v>2079</v>
      </c>
      <c r="H219" t="s">
        <v>2092</v>
      </c>
      <c r="I219" t="s">
        <v>2093</v>
      </c>
      <c r="J219" t="s">
        <v>2094</v>
      </c>
      <c r="K219" t="s">
        <v>1432</v>
      </c>
      <c r="L219" t="s">
        <v>203</v>
      </c>
      <c r="BB219" t="s">
        <v>196</v>
      </c>
    </row>
    <row r="220" spans="1:54" hidden="1" x14ac:dyDescent="0.25">
      <c r="A220" t="s">
        <v>21</v>
      </c>
      <c r="B220" t="s">
        <v>203</v>
      </c>
      <c r="C220">
        <v>14</v>
      </c>
      <c r="D220" t="s">
        <v>204</v>
      </c>
      <c r="E220" t="s">
        <v>2073</v>
      </c>
      <c r="F220" t="s">
        <v>2074</v>
      </c>
      <c r="G220" t="s">
        <v>2079</v>
      </c>
      <c r="H220" t="s">
        <v>2092</v>
      </c>
      <c r="I220" t="s">
        <v>2093</v>
      </c>
      <c r="J220" t="s">
        <v>2094</v>
      </c>
      <c r="K220" t="s">
        <v>1432</v>
      </c>
      <c r="L220" t="s">
        <v>203</v>
      </c>
      <c r="BB220" t="s">
        <v>210</v>
      </c>
    </row>
    <row r="221" spans="1:54" hidden="1" x14ac:dyDescent="0.25">
      <c r="A221" t="s">
        <v>85</v>
      </c>
      <c r="B221" t="s">
        <v>203</v>
      </c>
      <c r="C221">
        <v>128</v>
      </c>
      <c r="D221" t="s">
        <v>204</v>
      </c>
      <c r="E221" t="s">
        <v>2073</v>
      </c>
      <c r="F221" t="s">
        <v>2074</v>
      </c>
      <c r="G221" t="s">
        <v>2079</v>
      </c>
      <c r="H221" t="s">
        <v>2092</v>
      </c>
      <c r="I221" t="s">
        <v>2093</v>
      </c>
      <c r="J221" t="s">
        <v>2094</v>
      </c>
      <c r="K221" t="s">
        <v>1432</v>
      </c>
      <c r="L221" t="s">
        <v>203</v>
      </c>
      <c r="BB221" t="s">
        <v>193</v>
      </c>
    </row>
    <row r="222" spans="1:54" hidden="1" x14ac:dyDescent="0.25">
      <c r="A222" t="s">
        <v>52</v>
      </c>
      <c r="B222" t="s">
        <v>203</v>
      </c>
      <c r="C222">
        <v>29</v>
      </c>
      <c r="D222" t="s">
        <v>204</v>
      </c>
      <c r="E222" t="s">
        <v>2073</v>
      </c>
      <c r="F222" t="s">
        <v>2074</v>
      </c>
      <c r="G222" t="s">
        <v>2079</v>
      </c>
      <c r="H222" t="s">
        <v>2092</v>
      </c>
      <c r="I222" t="s">
        <v>2093</v>
      </c>
      <c r="J222" t="s">
        <v>2094</v>
      </c>
      <c r="K222" t="s">
        <v>1432</v>
      </c>
      <c r="L222" t="s">
        <v>203</v>
      </c>
      <c r="BB222" t="s">
        <v>187</v>
      </c>
    </row>
    <row r="223" spans="1:54" hidden="1" x14ac:dyDescent="0.25">
      <c r="A223" t="s">
        <v>12</v>
      </c>
      <c r="B223" t="s">
        <v>203</v>
      </c>
      <c r="C223">
        <v>39</v>
      </c>
      <c r="D223" t="s">
        <v>204</v>
      </c>
      <c r="E223" t="s">
        <v>2073</v>
      </c>
      <c r="F223" t="s">
        <v>2074</v>
      </c>
      <c r="G223" t="s">
        <v>2079</v>
      </c>
      <c r="H223" t="s">
        <v>2092</v>
      </c>
      <c r="I223" t="s">
        <v>2093</v>
      </c>
      <c r="J223" t="s">
        <v>2094</v>
      </c>
      <c r="K223" t="s">
        <v>1432</v>
      </c>
      <c r="L223" t="s">
        <v>203</v>
      </c>
      <c r="BB223" t="s">
        <v>207</v>
      </c>
    </row>
    <row r="224" spans="1:54" hidden="1" x14ac:dyDescent="0.25">
      <c r="A224" t="s">
        <v>63</v>
      </c>
      <c r="B224" t="s">
        <v>203</v>
      </c>
      <c r="C224">
        <v>134</v>
      </c>
      <c r="D224" t="s">
        <v>204</v>
      </c>
      <c r="E224" t="s">
        <v>2073</v>
      </c>
      <c r="F224" t="s">
        <v>2074</v>
      </c>
      <c r="G224" t="s">
        <v>2079</v>
      </c>
      <c r="H224" t="s">
        <v>2092</v>
      </c>
      <c r="I224" t="s">
        <v>2093</v>
      </c>
      <c r="J224" t="s">
        <v>2094</v>
      </c>
      <c r="K224" t="s">
        <v>1432</v>
      </c>
      <c r="L224" t="s">
        <v>203</v>
      </c>
      <c r="BB224" t="s">
        <v>202</v>
      </c>
    </row>
    <row r="225" spans="1:54" hidden="1" x14ac:dyDescent="0.25">
      <c r="A225" t="s">
        <v>53</v>
      </c>
      <c r="B225" t="s">
        <v>203</v>
      </c>
      <c r="C225">
        <v>35</v>
      </c>
      <c r="D225" t="s">
        <v>204</v>
      </c>
      <c r="E225" t="s">
        <v>2073</v>
      </c>
      <c r="F225" t="s">
        <v>2074</v>
      </c>
      <c r="G225" t="s">
        <v>2079</v>
      </c>
      <c r="H225" t="s">
        <v>2092</v>
      </c>
      <c r="I225" t="s">
        <v>2093</v>
      </c>
      <c r="J225" t="s">
        <v>2094</v>
      </c>
      <c r="K225" t="s">
        <v>1432</v>
      </c>
      <c r="L225" t="s">
        <v>203</v>
      </c>
      <c r="BB225" t="s">
        <v>190</v>
      </c>
    </row>
    <row r="226" spans="1:54" hidden="1" x14ac:dyDescent="0.25">
      <c r="A226" t="s">
        <v>76</v>
      </c>
      <c r="B226" t="s">
        <v>203</v>
      </c>
      <c r="C226">
        <v>27</v>
      </c>
      <c r="D226" t="s">
        <v>204</v>
      </c>
      <c r="E226" t="s">
        <v>2073</v>
      </c>
      <c r="F226" t="s">
        <v>2074</v>
      </c>
      <c r="G226" t="s">
        <v>2079</v>
      </c>
      <c r="H226" t="s">
        <v>2092</v>
      </c>
      <c r="I226" t="s">
        <v>2093</v>
      </c>
      <c r="J226" t="s">
        <v>2094</v>
      </c>
      <c r="K226" t="s">
        <v>1432</v>
      </c>
      <c r="L226" t="s">
        <v>203</v>
      </c>
      <c r="BB226" t="s">
        <v>207</v>
      </c>
    </row>
    <row r="227" spans="1:54" hidden="1" x14ac:dyDescent="0.25">
      <c r="A227" t="s">
        <v>90</v>
      </c>
      <c r="B227" t="s">
        <v>203</v>
      </c>
      <c r="C227">
        <v>42</v>
      </c>
      <c r="D227" t="s">
        <v>204</v>
      </c>
      <c r="E227" t="s">
        <v>2073</v>
      </c>
      <c r="F227" t="s">
        <v>2074</v>
      </c>
      <c r="G227" t="s">
        <v>2079</v>
      </c>
      <c r="H227" t="s">
        <v>2092</v>
      </c>
      <c r="I227" t="s">
        <v>2093</v>
      </c>
      <c r="J227" t="s">
        <v>2094</v>
      </c>
      <c r="K227" t="s">
        <v>1432</v>
      </c>
      <c r="L227" t="s">
        <v>203</v>
      </c>
      <c r="BB227" t="s">
        <v>193</v>
      </c>
    </row>
    <row r="228" spans="1:54" hidden="1" x14ac:dyDescent="0.25">
      <c r="A228" t="s">
        <v>71</v>
      </c>
      <c r="B228" t="s">
        <v>203</v>
      </c>
      <c r="C228">
        <v>7</v>
      </c>
      <c r="D228" t="s">
        <v>204</v>
      </c>
      <c r="E228" t="s">
        <v>2073</v>
      </c>
      <c r="F228" t="s">
        <v>2074</v>
      </c>
      <c r="G228" t="s">
        <v>2079</v>
      </c>
      <c r="H228" t="s">
        <v>2092</v>
      </c>
      <c r="I228" t="s">
        <v>2093</v>
      </c>
      <c r="J228" t="s">
        <v>2094</v>
      </c>
      <c r="K228" t="s">
        <v>1432</v>
      </c>
      <c r="L228" t="s">
        <v>203</v>
      </c>
      <c r="BB228" t="s">
        <v>202</v>
      </c>
    </row>
    <row r="229" spans="1:54" hidden="1" x14ac:dyDescent="0.25">
      <c r="A229" t="s">
        <v>16</v>
      </c>
      <c r="B229" t="s">
        <v>203</v>
      </c>
      <c r="C229">
        <v>738</v>
      </c>
      <c r="D229" t="s">
        <v>204</v>
      </c>
      <c r="E229" t="s">
        <v>2073</v>
      </c>
      <c r="F229" t="s">
        <v>2074</v>
      </c>
      <c r="G229" t="s">
        <v>2079</v>
      </c>
      <c r="H229" t="s">
        <v>2092</v>
      </c>
      <c r="I229" t="s">
        <v>2093</v>
      </c>
      <c r="J229" t="s">
        <v>2094</v>
      </c>
      <c r="K229" t="s">
        <v>1432</v>
      </c>
      <c r="L229" t="s">
        <v>203</v>
      </c>
      <c r="BB229" t="s">
        <v>196</v>
      </c>
    </row>
    <row r="230" spans="1:54" hidden="1" x14ac:dyDescent="0.25">
      <c r="A230" t="s">
        <v>82</v>
      </c>
      <c r="B230" t="s">
        <v>203</v>
      </c>
      <c r="C230">
        <v>275</v>
      </c>
      <c r="D230" t="s">
        <v>204</v>
      </c>
      <c r="E230" t="s">
        <v>2073</v>
      </c>
      <c r="F230" t="s">
        <v>2074</v>
      </c>
      <c r="G230" t="s">
        <v>2079</v>
      </c>
      <c r="H230" t="s">
        <v>2092</v>
      </c>
      <c r="I230" t="s">
        <v>2093</v>
      </c>
      <c r="J230" t="s">
        <v>2094</v>
      </c>
      <c r="K230" t="s">
        <v>1432</v>
      </c>
      <c r="L230" t="s">
        <v>203</v>
      </c>
      <c r="BB230" t="s">
        <v>187</v>
      </c>
    </row>
    <row r="231" spans="1:54" hidden="1" x14ac:dyDescent="0.25">
      <c r="A231" t="s">
        <v>38</v>
      </c>
      <c r="B231" t="s">
        <v>203</v>
      </c>
      <c r="C231">
        <v>97</v>
      </c>
      <c r="D231" t="s">
        <v>204</v>
      </c>
      <c r="E231" t="s">
        <v>2073</v>
      </c>
      <c r="F231" t="s">
        <v>2074</v>
      </c>
      <c r="G231" t="s">
        <v>2079</v>
      </c>
      <c r="H231" t="s">
        <v>2092</v>
      </c>
      <c r="I231" t="s">
        <v>2093</v>
      </c>
      <c r="J231" t="s">
        <v>2094</v>
      </c>
      <c r="K231" t="s">
        <v>1432</v>
      </c>
      <c r="L231" t="s">
        <v>203</v>
      </c>
      <c r="BB231" t="s">
        <v>219</v>
      </c>
    </row>
    <row r="232" spans="1:54" hidden="1" x14ac:dyDescent="0.25">
      <c r="A232" t="s">
        <v>69</v>
      </c>
      <c r="B232" t="s">
        <v>191</v>
      </c>
      <c r="C232">
        <v>319</v>
      </c>
      <c r="D232" t="s">
        <v>192</v>
      </c>
      <c r="E232" t="s">
        <v>2073</v>
      </c>
      <c r="F232" t="s">
        <v>2074</v>
      </c>
      <c r="G232" t="s">
        <v>2075</v>
      </c>
      <c r="H232" t="s">
        <v>2076</v>
      </c>
      <c r="I232" t="s">
        <v>2077</v>
      </c>
      <c r="J232" t="s">
        <v>2083</v>
      </c>
      <c r="L232" t="s">
        <v>191</v>
      </c>
      <c r="BB232" t="s">
        <v>225</v>
      </c>
    </row>
    <row r="233" spans="1:54" hidden="1" x14ac:dyDescent="0.25">
      <c r="A233" t="s">
        <v>64</v>
      </c>
      <c r="B233" t="s">
        <v>191</v>
      </c>
      <c r="C233">
        <v>8784</v>
      </c>
      <c r="D233" t="s">
        <v>192</v>
      </c>
      <c r="E233" t="s">
        <v>2073</v>
      </c>
      <c r="F233" t="s">
        <v>2074</v>
      </c>
      <c r="G233" t="s">
        <v>2075</v>
      </c>
      <c r="H233" t="s">
        <v>2076</v>
      </c>
      <c r="I233" t="s">
        <v>2077</v>
      </c>
      <c r="J233" t="s">
        <v>2083</v>
      </c>
      <c r="L233" t="s">
        <v>191</v>
      </c>
      <c r="BB233" t="s">
        <v>239</v>
      </c>
    </row>
    <row r="234" spans="1:54" hidden="1" x14ac:dyDescent="0.25">
      <c r="A234" t="s">
        <v>88</v>
      </c>
      <c r="B234" t="s">
        <v>191</v>
      </c>
      <c r="C234">
        <v>2951</v>
      </c>
      <c r="D234" t="s">
        <v>192</v>
      </c>
      <c r="E234" t="s">
        <v>2073</v>
      </c>
      <c r="F234" t="s">
        <v>2074</v>
      </c>
      <c r="G234" t="s">
        <v>2075</v>
      </c>
      <c r="H234" t="s">
        <v>2076</v>
      </c>
      <c r="I234" t="s">
        <v>2077</v>
      </c>
      <c r="J234" t="s">
        <v>2083</v>
      </c>
      <c r="L234" t="s">
        <v>191</v>
      </c>
      <c r="BB234" t="s">
        <v>210</v>
      </c>
    </row>
    <row r="235" spans="1:54" hidden="1" x14ac:dyDescent="0.25">
      <c r="A235" t="s">
        <v>51</v>
      </c>
      <c r="B235" t="s">
        <v>191</v>
      </c>
      <c r="C235">
        <v>1686</v>
      </c>
      <c r="D235" t="s">
        <v>192</v>
      </c>
      <c r="E235" t="s">
        <v>2073</v>
      </c>
      <c r="F235" t="s">
        <v>2074</v>
      </c>
      <c r="G235" t="s">
        <v>2075</v>
      </c>
      <c r="H235" t="s">
        <v>2076</v>
      </c>
      <c r="I235" t="s">
        <v>2077</v>
      </c>
      <c r="J235" t="s">
        <v>2083</v>
      </c>
      <c r="L235" t="s">
        <v>191</v>
      </c>
      <c r="BB235" t="s">
        <v>228</v>
      </c>
    </row>
    <row r="236" spans="1:54" hidden="1" x14ac:dyDescent="0.25">
      <c r="A236" t="s">
        <v>84</v>
      </c>
      <c r="B236" t="s">
        <v>191</v>
      </c>
      <c r="C236">
        <v>9222</v>
      </c>
      <c r="D236" t="s">
        <v>192</v>
      </c>
      <c r="E236" t="s">
        <v>2073</v>
      </c>
      <c r="F236" t="s">
        <v>2074</v>
      </c>
      <c r="G236" t="s">
        <v>2075</v>
      </c>
      <c r="H236" t="s">
        <v>2076</v>
      </c>
      <c r="I236" t="s">
        <v>2077</v>
      </c>
      <c r="J236" t="s">
        <v>2083</v>
      </c>
      <c r="L236" t="s">
        <v>191</v>
      </c>
      <c r="BB236" t="s">
        <v>216</v>
      </c>
    </row>
    <row r="237" spans="1:54" hidden="1" x14ac:dyDescent="0.25">
      <c r="A237" t="s">
        <v>58</v>
      </c>
      <c r="B237" t="s">
        <v>191</v>
      </c>
      <c r="C237">
        <v>6449</v>
      </c>
      <c r="D237" t="s">
        <v>192</v>
      </c>
      <c r="E237" t="s">
        <v>2073</v>
      </c>
      <c r="F237" t="s">
        <v>2074</v>
      </c>
      <c r="G237" t="s">
        <v>2075</v>
      </c>
      <c r="H237" t="s">
        <v>2076</v>
      </c>
      <c r="I237" t="s">
        <v>2077</v>
      </c>
      <c r="J237" t="s">
        <v>2083</v>
      </c>
      <c r="L237" t="s">
        <v>191</v>
      </c>
      <c r="BB237" t="s">
        <v>222</v>
      </c>
    </row>
    <row r="238" spans="1:54" hidden="1" x14ac:dyDescent="0.25">
      <c r="A238" t="s">
        <v>79</v>
      </c>
      <c r="B238" t="s">
        <v>191</v>
      </c>
      <c r="C238">
        <v>10751</v>
      </c>
      <c r="D238" t="s">
        <v>192</v>
      </c>
      <c r="E238" t="s">
        <v>2073</v>
      </c>
      <c r="F238" t="s">
        <v>2074</v>
      </c>
      <c r="G238" t="s">
        <v>2075</v>
      </c>
      <c r="H238" t="s">
        <v>2076</v>
      </c>
      <c r="I238" t="s">
        <v>2077</v>
      </c>
      <c r="J238" t="s">
        <v>2083</v>
      </c>
      <c r="L238" t="s">
        <v>191</v>
      </c>
      <c r="BB238" t="s">
        <v>205</v>
      </c>
    </row>
    <row r="239" spans="1:54" hidden="1" x14ac:dyDescent="0.25">
      <c r="A239" t="s">
        <v>56</v>
      </c>
      <c r="B239" t="s">
        <v>191</v>
      </c>
      <c r="C239">
        <v>110</v>
      </c>
      <c r="D239" t="s">
        <v>192</v>
      </c>
      <c r="E239" t="s">
        <v>2073</v>
      </c>
      <c r="F239" t="s">
        <v>2074</v>
      </c>
      <c r="G239" t="s">
        <v>2075</v>
      </c>
      <c r="H239" t="s">
        <v>2076</v>
      </c>
      <c r="I239" t="s">
        <v>2077</v>
      </c>
      <c r="J239" t="s">
        <v>2083</v>
      </c>
      <c r="L239" t="s">
        <v>191</v>
      </c>
      <c r="BB239" t="s">
        <v>196</v>
      </c>
    </row>
    <row r="240" spans="1:54" hidden="1" x14ac:dyDescent="0.25">
      <c r="A240" t="s">
        <v>19</v>
      </c>
      <c r="B240" t="s">
        <v>191</v>
      </c>
      <c r="C240">
        <v>1050</v>
      </c>
      <c r="D240" t="s">
        <v>192</v>
      </c>
      <c r="E240" t="s">
        <v>2073</v>
      </c>
      <c r="F240" t="s">
        <v>2074</v>
      </c>
      <c r="G240" t="s">
        <v>2075</v>
      </c>
      <c r="H240" t="s">
        <v>2076</v>
      </c>
      <c r="I240" t="s">
        <v>2077</v>
      </c>
      <c r="J240" t="s">
        <v>2083</v>
      </c>
      <c r="L240" t="s">
        <v>191</v>
      </c>
      <c r="BB240" t="s">
        <v>190</v>
      </c>
    </row>
    <row r="241" spans="1:54" hidden="1" x14ac:dyDescent="0.25">
      <c r="A241" t="s">
        <v>70</v>
      </c>
      <c r="B241" t="s">
        <v>191</v>
      </c>
      <c r="C241">
        <v>1606</v>
      </c>
      <c r="D241" t="s">
        <v>192</v>
      </c>
      <c r="E241" t="s">
        <v>2073</v>
      </c>
      <c r="F241" t="s">
        <v>2074</v>
      </c>
      <c r="G241" t="s">
        <v>2075</v>
      </c>
      <c r="H241" t="s">
        <v>2076</v>
      </c>
      <c r="I241" t="s">
        <v>2077</v>
      </c>
      <c r="J241" t="s">
        <v>2083</v>
      </c>
      <c r="L241" t="s">
        <v>191</v>
      </c>
      <c r="BB241" t="s">
        <v>193</v>
      </c>
    </row>
    <row r="242" spans="1:54" hidden="1" x14ac:dyDescent="0.25">
      <c r="A242" t="s">
        <v>83</v>
      </c>
      <c r="B242" t="s">
        <v>191</v>
      </c>
      <c r="C242">
        <v>1363</v>
      </c>
      <c r="D242" t="s">
        <v>192</v>
      </c>
      <c r="E242" t="s">
        <v>2073</v>
      </c>
      <c r="F242" t="s">
        <v>2074</v>
      </c>
      <c r="G242" t="s">
        <v>2075</v>
      </c>
      <c r="H242" t="s">
        <v>2076</v>
      </c>
      <c r="I242" t="s">
        <v>2077</v>
      </c>
      <c r="J242" t="s">
        <v>2083</v>
      </c>
      <c r="L242" t="s">
        <v>191</v>
      </c>
      <c r="BB242" t="s">
        <v>207</v>
      </c>
    </row>
    <row r="243" spans="1:54" hidden="1" x14ac:dyDescent="0.25">
      <c r="A243" t="s">
        <v>7</v>
      </c>
      <c r="B243" t="s">
        <v>191</v>
      </c>
      <c r="C243">
        <v>8887</v>
      </c>
      <c r="D243" t="s">
        <v>192</v>
      </c>
      <c r="E243" t="s">
        <v>2073</v>
      </c>
      <c r="F243" t="s">
        <v>2074</v>
      </c>
      <c r="G243" t="s">
        <v>2075</v>
      </c>
      <c r="H243" t="s">
        <v>2076</v>
      </c>
      <c r="I243" t="s">
        <v>2077</v>
      </c>
      <c r="J243" t="s">
        <v>2083</v>
      </c>
      <c r="L243" t="s">
        <v>191</v>
      </c>
      <c r="BB243" t="s">
        <v>210</v>
      </c>
    </row>
    <row r="244" spans="1:54" hidden="1" x14ac:dyDescent="0.25">
      <c r="A244" t="s">
        <v>8</v>
      </c>
      <c r="B244" t="s">
        <v>191</v>
      </c>
      <c r="C244">
        <v>6393</v>
      </c>
      <c r="D244" t="s">
        <v>192</v>
      </c>
      <c r="E244" t="s">
        <v>2073</v>
      </c>
      <c r="F244" t="s">
        <v>2074</v>
      </c>
      <c r="G244" t="s">
        <v>2075</v>
      </c>
      <c r="H244" t="s">
        <v>2076</v>
      </c>
      <c r="I244" t="s">
        <v>2077</v>
      </c>
      <c r="J244" t="s">
        <v>2083</v>
      </c>
      <c r="L244" t="s">
        <v>191</v>
      </c>
      <c r="BB244" t="s">
        <v>202</v>
      </c>
    </row>
    <row r="245" spans="1:54" hidden="1" x14ac:dyDescent="0.25">
      <c r="A245" t="s">
        <v>11</v>
      </c>
      <c r="B245" t="s">
        <v>191</v>
      </c>
      <c r="C245">
        <v>7161</v>
      </c>
      <c r="D245" t="s">
        <v>192</v>
      </c>
      <c r="E245" t="s">
        <v>2073</v>
      </c>
      <c r="F245" t="s">
        <v>2074</v>
      </c>
      <c r="G245" t="s">
        <v>2075</v>
      </c>
      <c r="H245" t="s">
        <v>2076</v>
      </c>
      <c r="I245" t="s">
        <v>2077</v>
      </c>
      <c r="J245" t="s">
        <v>2083</v>
      </c>
      <c r="L245" t="s">
        <v>191</v>
      </c>
      <c r="BB245" t="s">
        <v>219</v>
      </c>
    </row>
    <row r="246" spans="1:54" hidden="1" x14ac:dyDescent="0.25">
      <c r="A246" t="s">
        <v>46</v>
      </c>
      <c r="B246" t="s">
        <v>191</v>
      </c>
      <c r="C246">
        <v>3280</v>
      </c>
      <c r="D246" t="s">
        <v>192</v>
      </c>
      <c r="E246" t="s">
        <v>2073</v>
      </c>
      <c r="F246" t="s">
        <v>2074</v>
      </c>
      <c r="G246" t="s">
        <v>2075</v>
      </c>
      <c r="H246" t="s">
        <v>2076</v>
      </c>
      <c r="I246" t="s">
        <v>2077</v>
      </c>
      <c r="J246" t="s">
        <v>2083</v>
      </c>
      <c r="L246" t="s">
        <v>191</v>
      </c>
      <c r="BB246" t="s">
        <v>222</v>
      </c>
    </row>
    <row r="247" spans="1:54" hidden="1" x14ac:dyDescent="0.25">
      <c r="A247" t="s">
        <v>28</v>
      </c>
      <c r="B247" t="s">
        <v>191</v>
      </c>
      <c r="C247">
        <v>8496</v>
      </c>
      <c r="D247" t="s">
        <v>192</v>
      </c>
      <c r="E247" t="s">
        <v>2073</v>
      </c>
      <c r="F247" t="s">
        <v>2074</v>
      </c>
      <c r="G247" t="s">
        <v>2075</v>
      </c>
      <c r="H247" t="s">
        <v>2076</v>
      </c>
      <c r="I247" t="s">
        <v>2077</v>
      </c>
      <c r="J247" t="s">
        <v>2083</v>
      </c>
      <c r="L247" t="s">
        <v>191</v>
      </c>
      <c r="BB247" t="s">
        <v>233</v>
      </c>
    </row>
    <row r="248" spans="1:54" hidden="1" x14ac:dyDescent="0.25">
      <c r="A248" t="s">
        <v>39</v>
      </c>
      <c r="B248" t="s">
        <v>191</v>
      </c>
      <c r="C248">
        <v>5921</v>
      </c>
      <c r="D248" t="s">
        <v>192</v>
      </c>
      <c r="E248" t="s">
        <v>2073</v>
      </c>
      <c r="F248" t="s">
        <v>2074</v>
      </c>
      <c r="G248" t="s">
        <v>2075</v>
      </c>
      <c r="H248" t="s">
        <v>2076</v>
      </c>
      <c r="I248" t="s">
        <v>2077</v>
      </c>
      <c r="J248" t="s">
        <v>2083</v>
      </c>
      <c r="L248" t="s">
        <v>191</v>
      </c>
      <c r="BB248" t="s">
        <v>225</v>
      </c>
    </row>
    <row r="249" spans="1:54" hidden="1" x14ac:dyDescent="0.25">
      <c r="A249" t="s">
        <v>75</v>
      </c>
      <c r="B249" t="s">
        <v>191</v>
      </c>
      <c r="C249">
        <v>12730</v>
      </c>
      <c r="D249" t="s">
        <v>192</v>
      </c>
      <c r="E249" t="s">
        <v>2073</v>
      </c>
      <c r="F249" t="s">
        <v>2074</v>
      </c>
      <c r="G249" t="s">
        <v>2075</v>
      </c>
      <c r="H249" t="s">
        <v>2076</v>
      </c>
      <c r="I249" t="s">
        <v>2077</v>
      </c>
      <c r="J249" t="s">
        <v>2083</v>
      </c>
      <c r="L249" t="s">
        <v>191</v>
      </c>
      <c r="BB249" t="s">
        <v>190</v>
      </c>
    </row>
    <row r="250" spans="1:54" hidden="1" x14ac:dyDescent="0.25">
      <c r="A250" t="s">
        <v>50</v>
      </c>
      <c r="B250" t="s">
        <v>191</v>
      </c>
      <c r="C250">
        <v>211</v>
      </c>
      <c r="D250" t="s">
        <v>192</v>
      </c>
      <c r="E250" t="s">
        <v>2073</v>
      </c>
      <c r="F250" t="s">
        <v>2074</v>
      </c>
      <c r="G250" t="s">
        <v>2075</v>
      </c>
      <c r="H250" t="s">
        <v>2076</v>
      </c>
      <c r="I250" t="s">
        <v>2077</v>
      </c>
      <c r="J250" t="s">
        <v>2083</v>
      </c>
      <c r="L250" t="s">
        <v>191</v>
      </c>
      <c r="BB250" t="s">
        <v>207</v>
      </c>
    </row>
    <row r="251" spans="1:54" hidden="1" x14ac:dyDescent="0.25">
      <c r="A251" t="s">
        <v>74</v>
      </c>
      <c r="B251" t="s">
        <v>191</v>
      </c>
      <c r="C251">
        <v>1731</v>
      </c>
      <c r="D251" t="s">
        <v>192</v>
      </c>
      <c r="E251" t="s">
        <v>2073</v>
      </c>
      <c r="F251" t="s">
        <v>2074</v>
      </c>
      <c r="G251" t="s">
        <v>2075</v>
      </c>
      <c r="H251" t="s">
        <v>2076</v>
      </c>
      <c r="I251" t="s">
        <v>2077</v>
      </c>
      <c r="J251" t="s">
        <v>2083</v>
      </c>
      <c r="L251" t="s">
        <v>191</v>
      </c>
      <c r="BB251" t="s">
        <v>193</v>
      </c>
    </row>
    <row r="252" spans="1:54" hidden="1" x14ac:dyDescent="0.25">
      <c r="A252" t="s">
        <v>48</v>
      </c>
      <c r="B252" t="s">
        <v>191</v>
      </c>
      <c r="C252">
        <v>1820</v>
      </c>
      <c r="D252" t="s">
        <v>192</v>
      </c>
      <c r="E252" t="s">
        <v>2073</v>
      </c>
      <c r="F252" t="s">
        <v>2074</v>
      </c>
      <c r="G252" t="s">
        <v>2075</v>
      </c>
      <c r="H252" t="s">
        <v>2076</v>
      </c>
      <c r="I252" t="s">
        <v>2077</v>
      </c>
      <c r="J252" t="s">
        <v>2083</v>
      </c>
      <c r="L252" t="s">
        <v>191</v>
      </c>
      <c r="BB252" t="s">
        <v>196</v>
      </c>
    </row>
    <row r="253" spans="1:54" hidden="1" x14ac:dyDescent="0.25">
      <c r="A253" t="s">
        <v>43</v>
      </c>
      <c r="B253" t="s">
        <v>191</v>
      </c>
      <c r="C253">
        <v>1501</v>
      </c>
      <c r="D253" t="s">
        <v>192</v>
      </c>
      <c r="E253" t="s">
        <v>2073</v>
      </c>
      <c r="F253" t="s">
        <v>2074</v>
      </c>
      <c r="G253" t="s">
        <v>2075</v>
      </c>
      <c r="H253" t="s">
        <v>2076</v>
      </c>
      <c r="I253" t="s">
        <v>2077</v>
      </c>
      <c r="J253" t="s">
        <v>2083</v>
      </c>
      <c r="L253" t="s">
        <v>191</v>
      </c>
      <c r="BB253" t="s">
        <v>202</v>
      </c>
    </row>
    <row r="254" spans="1:54" hidden="1" x14ac:dyDescent="0.25">
      <c r="A254" t="s">
        <v>78</v>
      </c>
      <c r="B254" t="s">
        <v>191</v>
      </c>
      <c r="C254">
        <v>2</v>
      </c>
      <c r="D254" t="s">
        <v>192</v>
      </c>
      <c r="E254" t="s">
        <v>2073</v>
      </c>
      <c r="F254" t="s">
        <v>2074</v>
      </c>
      <c r="G254" t="s">
        <v>2075</v>
      </c>
      <c r="H254" t="s">
        <v>2076</v>
      </c>
      <c r="I254" t="s">
        <v>2077</v>
      </c>
      <c r="J254" t="s">
        <v>2083</v>
      </c>
      <c r="L254" t="s">
        <v>191</v>
      </c>
      <c r="BB254" t="s">
        <v>187</v>
      </c>
    </row>
    <row r="255" spans="1:54" hidden="1" x14ac:dyDescent="0.25">
      <c r="A255" t="s">
        <v>86</v>
      </c>
      <c r="B255" t="s">
        <v>191</v>
      </c>
      <c r="C255">
        <v>61</v>
      </c>
      <c r="D255" t="s">
        <v>192</v>
      </c>
      <c r="E255" t="s">
        <v>2073</v>
      </c>
      <c r="F255" t="s">
        <v>2074</v>
      </c>
      <c r="G255" t="s">
        <v>2075</v>
      </c>
      <c r="H255" t="s">
        <v>2076</v>
      </c>
      <c r="I255" t="s">
        <v>2077</v>
      </c>
      <c r="J255" t="s">
        <v>2083</v>
      </c>
      <c r="L255" t="s">
        <v>191</v>
      </c>
      <c r="BB255" t="s">
        <v>210</v>
      </c>
    </row>
    <row r="256" spans="1:54" hidden="1" x14ac:dyDescent="0.25">
      <c r="A256" t="s">
        <v>31</v>
      </c>
      <c r="B256" t="s">
        <v>191</v>
      </c>
      <c r="C256">
        <v>855</v>
      </c>
      <c r="D256" t="s">
        <v>192</v>
      </c>
      <c r="E256" t="s">
        <v>2073</v>
      </c>
      <c r="F256" t="s">
        <v>2074</v>
      </c>
      <c r="G256" t="s">
        <v>2075</v>
      </c>
      <c r="H256" t="s">
        <v>2076</v>
      </c>
      <c r="I256" t="s">
        <v>2077</v>
      </c>
      <c r="J256" t="s">
        <v>2083</v>
      </c>
      <c r="L256" t="s">
        <v>191</v>
      </c>
      <c r="BB256" t="s">
        <v>219</v>
      </c>
    </row>
    <row r="257" spans="1:54" hidden="1" x14ac:dyDescent="0.25">
      <c r="A257" t="s">
        <v>40</v>
      </c>
      <c r="B257" t="s">
        <v>191</v>
      </c>
      <c r="C257">
        <v>2526</v>
      </c>
      <c r="D257" t="s">
        <v>192</v>
      </c>
      <c r="E257" t="s">
        <v>2073</v>
      </c>
      <c r="F257" t="s">
        <v>2074</v>
      </c>
      <c r="G257" t="s">
        <v>2075</v>
      </c>
      <c r="H257" t="s">
        <v>2076</v>
      </c>
      <c r="I257" t="s">
        <v>2077</v>
      </c>
      <c r="J257" t="s">
        <v>2083</v>
      </c>
      <c r="L257" t="s">
        <v>191</v>
      </c>
      <c r="BB257" t="s">
        <v>205</v>
      </c>
    </row>
    <row r="258" spans="1:54" hidden="1" x14ac:dyDescent="0.25">
      <c r="A258" t="s">
        <v>34</v>
      </c>
      <c r="B258" t="s">
        <v>191</v>
      </c>
      <c r="C258">
        <v>2363</v>
      </c>
      <c r="D258" t="s">
        <v>192</v>
      </c>
      <c r="E258" t="s">
        <v>2073</v>
      </c>
      <c r="F258" t="s">
        <v>2074</v>
      </c>
      <c r="G258" t="s">
        <v>2075</v>
      </c>
      <c r="H258" t="s">
        <v>2076</v>
      </c>
      <c r="I258" t="s">
        <v>2077</v>
      </c>
      <c r="J258" t="s">
        <v>2083</v>
      </c>
      <c r="L258" t="s">
        <v>191</v>
      </c>
      <c r="BB258" t="s">
        <v>225</v>
      </c>
    </row>
    <row r="259" spans="1:54" hidden="1" x14ac:dyDescent="0.25">
      <c r="A259" t="s">
        <v>42</v>
      </c>
      <c r="B259" t="s">
        <v>191</v>
      </c>
      <c r="C259">
        <v>1885</v>
      </c>
      <c r="D259" t="s">
        <v>192</v>
      </c>
      <c r="E259" t="s">
        <v>2073</v>
      </c>
      <c r="F259" t="s">
        <v>2074</v>
      </c>
      <c r="G259" t="s">
        <v>2075</v>
      </c>
      <c r="H259" t="s">
        <v>2076</v>
      </c>
      <c r="I259" t="s">
        <v>2077</v>
      </c>
      <c r="J259" t="s">
        <v>2083</v>
      </c>
      <c r="L259" t="s">
        <v>191</v>
      </c>
      <c r="BB259" t="s">
        <v>228</v>
      </c>
    </row>
    <row r="260" spans="1:54" hidden="1" x14ac:dyDescent="0.25">
      <c r="A260" t="s">
        <v>80</v>
      </c>
      <c r="B260" t="s">
        <v>191</v>
      </c>
      <c r="C260">
        <v>4730</v>
      </c>
      <c r="D260" t="s">
        <v>192</v>
      </c>
      <c r="E260" t="s">
        <v>2073</v>
      </c>
      <c r="F260" t="s">
        <v>2074</v>
      </c>
      <c r="G260" t="s">
        <v>2075</v>
      </c>
      <c r="H260" t="s">
        <v>2076</v>
      </c>
      <c r="I260" t="s">
        <v>2077</v>
      </c>
      <c r="J260" t="s">
        <v>2083</v>
      </c>
      <c r="L260" t="s">
        <v>191</v>
      </c>
      <c r="BB260" t="s">
        <v>222</v>
      </c>
    </row>
    <row r="261" spans="1:54" hidden="1" x14ac:dyDescent="0.25">
      <c r="A261" t="s">
        <v>37</v>
      </c>
      <c r="B261" t="s">
        <v>191</v>
      </c>
      <c r="C261">
        <v>5095</v>
      </c>
      <c r="D261" t="s">
        <v>192</v>
      </c>
      <c r="E261" t="s">
        <v>2073</v>
      </c>
      <c r="F261" t="s">
        <v>2074</v>
      </c>
      <c r="G261" t="s">
        <v>2075</v>
      </c>
      <c r="H261" t="s">
        <v>2076</v>
      </c>
      <c r="I261" t="s">
        <v>2077</v>
      </c>
      <c r="J261" t="s">
        <v>2083</v>
      </c>
      <c r="L261" t="s">
        <v>191</v>
      </c>
      <c r="BB261" t="s">
        <v>216</v>
      </c>
    </row>
    <row r="262" spans="1:54" hidden="1" x14ac:dyDescent="0.25">
      <c r="A262" t="s">
        <v>18</v>
      </c>
      <c r="B262" t="s">
        <v>191</v>
      </c>
      <c r="C262">
        <v>7342</v>
      </c>
      <c r="D262" t="s">
        <v>192</v>
      </c>
      <c r="E262" t="s">
        <v>2073</v>
      </c>
      <c r="F262" t="s">
        <v>2074</v>
      </c>
      <c r="G262" t="s">
        <v>2075</v>
      </c>
      <c r="H262" t="s">
        <v>2076</v>
      </c>
      <c r="I262" t="s">
        <v>2077</v>
      </c>
      <c r="J262" t="s">
        <v>2083</v>
      </c>
      <c r="L262" t="s">
        <v>191</v>
      </c>
      <c r="BB262" t="s">
        <v>187</v>
      </c>
    </row>
    <row r="263" spans="1:54" hidden="1" x14ac:dyDescent="0.25">
      <c r="A263" t="s">
        <v>89</v>
      </c>
      <c r="B263" t="s">
        <v>191</v>
      </c>
      <c r="C263">
        <v>6880</v>
      </c>
      <c r="D263" t="s">
        <v>192</v>
      </c>
      <c r="E263" t="s">
        <v>2073</v>
      </c>
      <c r="F263" t="s">
        <v>2074</v>
      </c>
      <c r="G263" t="s">
        <v>2075</v>
      </c>
      <c r="H263" t="s">
        <v>2076</v>
      </c>
      <c r="I263" t="s">
        <v>2077</v>
      </c>
      <c r="J263" t="s">
        <v>2083</v>
      </c>
      <c r="L263" t="s">
        <v>191</v>
      </c>
      <c r="BB263" t="s">
        <v>193</v>
      </c>
    </row>
    <row r="264" spans="1:54" hidden="1" x14ac:dyDescent="0.25">
      <c r="A264" t="s">
        <v>87</v>
      </c>
      <c r="B264" t="s">
        <v>191</v>
      </c>
      <c r="C264">
        <v>7311</v>
      </c>
      <c r="D264" t="s">
        <v>192</v>
      </c>
      <c r="E264" t="s">
        <v>2073</v>
      </c>
      <c r="F264" t="s">
        <v>2074</v>
      </c>
      <c r="G264" t="s">
        <v>2075</v>
      </c>
      <c r="H264" t="s">
        <v>2076</v>
      </c>
      <c r="I264" t="s">
        <v>2077</v>
      </c>
      <c r="J264" t="s">
        <v>2083</v>
      </c>
      <c r="L264" t="s">
        <v>191</v>
      </c>
      <c r="BB264" t="s">
        <v>205</v>
      </c>
    </row>
    <row r="265" spans="1:54" hidden="1" x14ac:dyDescent="0.25">
      <c r="A265" t="s">
        <v>93</v>
      </c>
      <c r="B265" t="s">
        <v>191</v>
      </c>
      <c r="C265">
        <v>4219</v>
      </c>
      <c r="D265" t="s">
        <v>192</v>
      </c>
      <c r="E265" t="s">
        <v>2073</v>
      </c>
      <c r="F265" t="s">
        <v>2074</v>
      </c>
      <c r="G265" t="s">
        <v>2075</v>
      </c>
      <c r="H265" t="s">
        <v>2076</v>
      </c>
      <c r="I265" t="s">
        <v>2077</v>
      </c>
      <c r="J265" t="s">
        <v>2083</v>
      </c>
      <c r="L265" t="s">
        <v>191</v>
      </c>
      <c r="BB265" t="s">
        <v>210</v>
      </c>
    </row>
    <row r="266" spans="1:54" hidden="1" x14ac:dyDescent="0.25">
      <c r="A266" t="s">
        <v>10</v>
      </c>
      <c r="B266" t="s">
        <v>191</v>
      </c>
      <c r="C266">
        <v>13465</v>
      </c>
      <c r="D266" t="s">
        <v>192</v>
      </c>
      <c r="E266" t="s">
        <v>2073</v>
      </c>
      <c r="F266" t="s">
        <v>2074</v>
      </c>
      <c r="G266" t="s">
        <v>2075</v>
      </c>
      <c r="H266" t="s">
        <v>2076</v>
      </c>
      <c r="I266" t="s">
        <v>2077</v>
      </c>
      <c r="J266" t="s">
        <v>2083</v>
      </c>
      <c r="L266" t="s">
        <v>191</v>
      </c>
      <c r="BB266" t="s">
        <v>216</v>
      </c>
    </row>
    <row r="267" spans="1:54" hidden="1" x14ac:dyDescent="0.25">
      <c r="A267" t="s">
        <v>20</v>
      </c>
      <c r="B267" t="s">
        <v>191</v>
      </c>
      <c r="C267">
        <v>10712</v>
      </c>
      <c r="D267" t="s">
        <v>192</v>
      </c>
      <c r="E267" t="s">
        <v>2073</v>
      </c>
      <c r="F267" t="s">
        <v>2074</v>
      </c>
      <c r="G267" t="s">
        <v>2075</v>
      </c>
      <c r="H267" t="s">
        <v>2076</v>
      </c>
      <c r="I267" t="s">
        <v>2077</v>
      </c>
      <c r="J267" t="s">
        <v>2083</v>
      </c>
      <c r="L267" t="s">
        <v>191</v>
      </c>
      <c r="BB267" t="s">
        <v>190</v>
      </c>
    </row>
    <row r="268" spans="1:54" hidden="1" x14ac:dyDescent="0.25">
      <c r="A268" t="s">
        <v>17</v>
      </c>
      <c r="B268" t="s">
        <v>191</v>
      </c>
      <c r="C268">
        <v>4934</v>
      </c>
      <c r="D268" t="s">
        <v>192</v>
      </c>
      <c r="E268" t="s">
        <v>2073</v>
      </c>
      <c r="F268" t="s">
        <v>2074</v>
      </c>
      <c r="G268" t="s">
        <v>2075</v>
      </c>
      <c r="H268" t="s">
        <v>2076</v>
      </c>
      <c r="I268" t="s">
        <v>2077</v>
      </c>
      <c r="J268" t="s">
        <v>2083</v>
      </c>
      <c r="L268" t="s">
        <v>191</v>
      </c>
      <c r="BB268" t="s">
        <v>187</v>
      </c>
    </row>
    <row r="269" spans="1:54" hidden="1" x14ac:dyDescent="0.25">
      <c r="A269" t="s">
        <v>66</v>
      </c>
      <c r="B269" t="s">
        <v>191</v>
      </c>
      <c r="C269">
        <v>8960</v>
      </c>
      <c r="D269" t="s">
        <v>192</v>
      </c>
      <c r="E269" t="s">
        <v>2073</v>
      </c>
      <c r="F269" t="s">
        <v>2074</v>
      </c>
      <c r="G269" t="s">
        <v>2075</v>
      </c>
      <c r="H269" t="s">
        <v>2076</v>
      </c>
      <c r="I269" t="s">
        <v>2077</v>
      </c>
      <c r="J269" t="s">
        <v>2083</v>
      </c>
      <c r="L269" t="s">
        <v>191</v>
      </c>
      <c r="BB269" t="s">
        <v>193</v>
      </c>
    </row>
    <row r="270" spans="1:54" hidden="1" x14ac:dyDescent="0.25">
      <c r="A270" t="s">
        <v>9</v>
      </c>
      <c r="B270" t="s">
        <v>191</v>
      </c>
      <c r="C270">
        <v>13711</v>
      </c>
      <c r="D270" t="s">
        <v>192</v>
      </c>
      <c r="E270" t="s">
        <v>2073</v>
      </c>
      <c r="F270" t="s">
        <v>2074</v>
      </c>
      <c r="G270" t="s">
        <v>2075</v>
      </c>
      <c r="H270" t="s">
        <v>2076</v>
      </c>
      <c r="I270" t="s">
        <v>2077</v>
      </c>
      <c r="J270" t="s">
        <v>2083</v>
      </c>
      <c r="L270" t="s">
        <v>191</v>
      </c>
      <c r="BB270" t="s">
        <v>202</v>
      </c>
    </row>
    <row r="271" spans="1:54" hidden="1" x14ac:dyDescent="0.25">
      <c r="A271" t="s">
        <v>30</v>
      </c>
      <c r="B271" t="s">
        <v>191</v>
      </c>
      <c r="C271">
        <v>422</v>
      </c>
      <c r="D271" t="s">
        <v>192</v>
      </c>
      <c r="E271" t="s">
        <v>2073</v>
      </c>
      <c r="F271" t="s">
        <v>2074</v>
      </c>
      <c r="G271" t="s">
        <v>2075</v>
      </c>
      <c r="H271" t="s">
        <v>2076</v>
      </c>
      <c r="I271" t="s">
        <v>2077</v>
      </c>
      <c r="J271" t="s">
        <v>2083</v>
      </c>
      <c r="L271" t="s">
        <v>191</v>
      </c>
      <c r="BB271" t="s">
        <v>207</v>
      </c>
    </row>
    <row r="272" spans="1:54" hidden="1" x14ac:dyDescent="0.25">
      <c r="A272" t="s">
        <v>33</v>
      </c>
      <c r="B272" t="s">
        <v>191</v>
      </c>
      <c r="C272">
        <v>546</v>
      </c>
      <c r="D272" t="s">
        <v>192</v>
      </c>
      <c r="E272" t="s">
        <v>2073</v>
      </c>
      <c r="F272" t="s">
        <v>2074</v>
      </c>
      <c r="G272" t="s">
        <v>2075</v>
      </c>
      <c r="H272" t="s">
        <v>2076</v>
      </c>
      <c r="I272" t="s">
        <v>2077</v>
      </c>
      <c r="J272" t="s">
        <v>2083</v>
      </c>
      <c r="L272" t="s">
        <v>191</v>
      </c>
      <c r="BB272" t="s">
        <v>190</v>
      </c>
    </row>
    <row r="273" spans="1:54" hidden="1" x14ac:dyDescent="0.25">
      <c r="A273" t="s">
        <v>25</v>
      </c>
      <c r="B273" t="s">
        <v>191</v>
      </c>
      <c r="C273">
        <v>2006</v>
      </c>
      <c r="D273" t="s">
        <v>192</v>
      </c>
      <c r="E273" t="s">
        <v>2073</v>
      </c>
      <c r="F273" t="s">
        <v>2074</v>
      </c>
      <c r="G273" t="s">
        <v>2075</v>
      </c>
      <c r="H273" t="s">
        <v>2076</v>
      </c>
      <c r="I273" t="s">
        <v>2077</v>
      </c>
      <c r="J273" t="s">
        <v>2083</v>
      </c>
      <c r="L273" t="s">
        <v>191</v>
      </c>
      <c r="BB273" t="s">
        <v>216</v>
      </c>
    </row>
    <row r="274" spans="1:54" hidden="1" x14ac:dyDescent="0.25">
      <c r="A274" t="s">
        <v>29</v>
      </c>
      <c r="B274" t="s">
        <v>191</v>
      </c>
      <c r="C274">
        <v>2416</v>
      </c>
      <c r="D274" t="s">
        <v>192</v>
      </c>
      <c r="E274" t="s">
        <v>2073</v>
      </c>
      <c r="F274" t="s">
        <v>2074</v>
      </c>
      <c r="G274" t="s">
        <v>2075</v>
      </c>
      <c r="H274" t="s">
        <v>2076</v>
      </c>
      <c r="I274" t="s">
        <v>2077</v>
      </c>
      <c r="J274" t="s">
        <v>2083</v>
      </c>
      <c r="L274" t="s">
        <v>191</v>
      </c>
      <c r="BB274" t="s">
        <v>205</v>
      </c>
    </row>
    <row r="275" spans="1:54" hidden="1" x14ac:dyDescent="0.25">
      <c r="A275" t="s">
        <v>35</v>
      </c>
      <c r="B275" t="s">
        <v>191</v>
      </c>
      <c r="C275">
        <v>864</v>
      </c>
      <c r="D275" t="s">
        <v>192</v>
      </c>
      <c r="E275" t="s">
        <v>2073</v>
      </c>
      <c r="F275" t="s">
        <v>2074</v>
      </c>
      <c r="G275" t="s">
        <v>2075</v>
      </c>
      <c r="H275" t="s">
        <v>2076</v>
      </c>
      <c r="I275" t="s">
        <v>2077</v>
      </c>
      <c r="J275" t="s">
        <v>2083</v>
      </c>
      <c r="L275" t="s">
        <v>191</v>
      </c>
      <c r="BB275" t="s">
        <v>196</v>
      </c>
    </row>
    <row r="276" spans="1:54" hidden="1" x14ac:dyDescent="0.25">
      <c r="A276" t="s">
        <v>44</v>
      </c>
      <c r="B276" t="s">
        <v>191</v>
      </c>
      <c r="C276">
        <v>906</v>
      </c>
      <c r="D276" t="s">
        <v>192</v>
      </c>
      <c r="E276" t="s">
        <v>2073</v>
      </c>
      <c r="F276" t="s">
        <v>2074</v>
      </c>
      <c r="G276" t="s">
        <v>2075</v>
      </c>
      <c r="H276" t="s">
        <v>2076</v>
      </c>
      <c r="I276" t="s">
        <v>2077</v>
      </c>
      <c r="J276" t="s">
        <v>2083</v>
      </c>
      <c r="L276" t="s">
        <v>191</v>
      </c>
      <c r="BB276" t="s">
        <v>228</v>
      </c>
    </row>
    <row r="277" spans="1:54" hidden="1" x14ac:dyDescent="0.25">
      <c r="A277" t="s">
        <v>61</v>
      </c>
      <c r="B277" t="s">
        <v>191</v>
      </c>
      <c r="C277">
        <v>116</v>
      </c>
      <c r="D277" t="s">
        <v>192</v>
      </c>
      <c r="E277" t="s">
        <v>2073</v>
      </c>
      <c r="F277" t="s">
        <v>2074</v>
      </c>
      <c r="G277" t="s">
        <v>2075</v>
      </c>
      <c r="H277" t="s">
        <v>2076</v>
      </c>
      <c r="I277" t="s">
        <v>2077</v>
      </c>
      <c r="J277" t="s">
        <v>2083</v>
      </c>
      <c r="L277" t="s">
        <v>191</v>
      </c>
      <c r="BB277" t="s">
        <v>219</v>
      </c>
    </row>
    <row r="278" spans="1:54" hidden="1" x14ac:dyDescent="0.25">
      <c r="A278" t="s">
        <v>81</v>
      </c>
      <c r="B278" t="s">
        <v>191</v>
      </c>
      <c r="C278">
        <v>9987</v>
      </c>
      <c r="D278" t="s">
        <v>192</v>
      </c>
      <c r="E278" t="s">
        <v>2073</v>
      </c>
      <c r="F278" t="s">
        <v>2074</v>
      </c>
      <c r="G278" t="s">
        <v>2075</v>
      </c>
      <c r="H278" t="s">
        <v>2076</v>
      </c>
      <c r="I278" t="s">
        <v>2077</v>
      </c>
      <c r="J278" t="s">
        <v>2083</v>
      </c>
      <c r="L278" t="s">
        <v>191</v>
      </c>
      <c r="BB278" t="s">
        <v>210</v>
      </c>
    </row>
    <row r="279" spans="1:54" hidden="1" x14ac:dyDescent="0.25">
      <c r="A279" t="s">
        <v>32</v>
      </c>
      <c r="B279" t="s">
        <v>191</v>
      </c>
      <c r="C279">
        <v>6592</v>
      </c>
      <c r="D279" t="s">
        <v>192</v>
      </c>
      <c r="E279" t="s">
        <v>2073</v>
      </c>
      <c r="F279" t="s">
        <v>2074</v>
      </c>
      <c r="G279" t="s">
        <v>2075</v>
      </c>
      <c r="H279" t="s">
        <v>2076</v>
      </c>
      <c r="I279" t="s">
        <v>2077</v>
      </c>
      <c r="J279" t="s">
        <v>2083</v>
      </c>
      <c r="L279" t="s">
        <v>191</v>
      </c>
      <c r="BB279" t="s">
        <v>222</v>
      </c>
    </row>
    <row r="280" spans="1:54" hidden="1" x14ac:dyDescent="0.25">
      <c r="A280" t="s">
        <v>65</v>
      </c>
      <c r="B280" t="s">
        <v>191</v>
      </c>
      <c r="C280">
        <v>5822</v>
      </c>
      <c r="D280" t="s">
        <v>192</v>
      </c>
      <c r="E280" t="s">
        <v>2073</v>
      </c>
      <c r="F280" t="s">
        <v>2074</v>
      </c>
      <c r="G280" t="s">
        <v>2075</v>
      </c>
      <c r="H280" t="s">
        <v>2076</v>
      </c>
      <c r="I280" t="s">
        <v>2077</v>
      </c>
      <c r="J280" t="s">
        <v>2083</v>
      </c>
      <c r="L280" t="s">
        <v>191</v>
      </c>
      <c r="BB280" t="s">
        <v>193</v>
      </c>
    </row>
    <row r="281" spans="1:54" hidden="1" x14ac:dyDescent="0.25">
      <c r="A281" t="s">
        <v>59</v>
      </c>
      <c r="B281" t="s">
        <v>191</v>
      </c>
      <c r="C281">
        <v>9013</v>
      </c>
      <c r="D281" t="s">
        <v>192</v>
      </c>
      <c r="E281" t="s">
        <v>2073</v>
      </c>
      <c r="F281" t="s">
        <v>2074</v>
      </c>
      <c r="G281" t="s">
        <v>2075</v>
      </c>
      <c r="H281" t="s">
        <v>2076</v>
      </c>
      <c r="I281" t="s">
        <v>2077</v>
      </c>
      <c r="J281" t="s">
        <v>2083</v>
      </c>
      <c r="L281" t="s">
        <v>191</v>
      </c>
      <c r="BB281" t="s">
        <v>187</v>
      </c>
    </row>
    <row r="282" spans="1:54" hidden="1" x14ac:dyDescent="0.25">
      <c r="A282" t="s">
        <v>77</v>
      </c>
      <c r="B282" t="s">
        <v>191</v>
      </c>
      <c r="C282">
        <v>625</v>
      </c>
      <c r="D282" t="s">
        <v>192</v>
      </c>
      <c r="E282" t="s">
        <v>2073</v>
      </c>
      <c r="F282" t="s">
        <v>2074</v>
      </c>
      <c r="G282" t="s">
        <v>2075</v>
      </c>
      <c r="H282" t="s">
        <v>2076</v>
      </c>
      <c r="I282" t="s">
        <v>2077</v>
      </c>
      <c r="J282" t="s">
        <v>2083</v>
      </c>
      <c r="L282" t="s">
        <v>191</v>
      </c>
      <c r="BB282" t="s">
        <v>190</v>
      </c>
    </row>
    <row r="283" spans="1:54" hidden="1" x14ac:dyDescent="0.25">
      <c r="A283" t="s">
        <v>45</v>
      </c>
      <c r="B283" t="s">
        <v>191</v>
      </c>
      <c r="C283">
        <v>5150</v>
      </c>
      <c r="D283" t="s">
        <v>192</v>
      </c>
      <c r="E283" t="s">
        <v>2073</v>
      </c>
      <c r="F283" t="s">
        <v>2074</v>
      </c>
      <c r="G283" t="s">
        <v>2075</v>
      </c>
      <c r="H283" t="s">
        <v>2076</v>
      </c>
      <c r="I283" t="s">
        <v>2077</v>
      </c>
      <c r="J283" t="s">
        <v>2083</v>
      </c>
      <c r="L283" t="s">
        <v>191</v>
      </c>
      <c r="BB283" t="s">
        <v>210</v>
      </c>
    </row>
    <row r="284" spans="1:54" hidden="1" x14ac:dyDescent="0.25">
      <c r="A284" t="s">
        <v>15</v>
      </c>
      <c r="B284" t="s">
        <v>191</v>
      </c>
      <c r="C284">
        <v>1013</v>
      </c>
      <c r="D284" t="s">
        <v>192</v>
      </c>
      <c r="E284" t="s">
        <v>2073</v>
      </c>
      <c r="F284" t="s">
        <v>2074</v>
      </c>
      <c r="G284" t="s">
        <v>2075</v>
      </c>
      <c r="H284" t="s">
        <v>2076</v>
      </c>
      <c r="I284" t="s">
        <v>2077</v>
      </c>
      <c r="J284" t="s">
        <v>2083</v>
      </c>
      <c r="L284" t="s">
        <v>191</v>
      </c>
      <c r="BB284" t="s">
        <v>207</v>
      </c>
    </row>
    <row r="285" spans="1:54" hidden="1" x14ac:dyDescent="0.25">
      <c r="A285" t="s">
        <v>22</v>
      </c>
      <c r="B285" t="s">
        <v>191</v>
      </c>
      <c r="C285">
        <v>366</v>
      </c>
      <c r="D285" t="s">
        <v>192</v>
      </c>
      <c r="E285" t="s">
        <v>2073</v>
      </c>
      <c r="F285" t="s">
        <v>2074</v>
      </c>
      <c r="G285" t="s">
        <v>2075</v>
      </c>
      <c r="H285" t="s">
        <v>2076</v>
      </c>
      <c r="I285" t="s">
        <v>2077</v>
      </c>
      <c r="J285" t="s">
        <v>2083</v>
      </c>
      <c r="L285" t="s">
        <v>191</v>
      </c>
      <c r="BB285" t="s">
        <v>202</v>
      </c>
    </row>
    <row r="286" spans="1:54" hidden="1" x14ac:dyDescent="0.25">
      <c r="A286" t="s">
        <v>49</v>
      </c>
      <c r="B286" t="s">
        <v>191</v>
      </c>
      <c r="C286">
        <v>2900</v>
      </c>
      <c r="D286" t="s">
        <v>192</v>
      </c>
      <c r="E286" t="s">
        <v>2073</v>
      </c>
      <c r="F286" t="s">
        <v>2074</v>
      </c>
      <c r="G286" t="s">
        <v>2075</v>
      </c>
      <c r="H286" t="s">
        <v>2076</v>
      </c>
      <c r="I286" t="s">
        <v>2077</v>
      </c>
      <c r="J286" t="s">
        <v>2083</v>
      </c>
      <c r="L286" t="s">
        <v>191</v>
      </c>
      <c r="BB286" t="s">
        <v>216</v>
      </c>
    </row>
    <row r="287" spans="1:54" hidden="1" x14ac:dyDescent="0.25">
      <c r="A287" t="s">
        <v>13</v>
      </c>
      <c r="B287" t="s">
        <v>191</v>
      </c>
      <c r="C287">
        <v>11380</v>
      </c>
      <c r="D287" t="s">
        <v>192</v>
      </c>
      <c r="E287" t="s">
        <v>2073</v>
      </c>
      <c r="F287" t="s">
        <v>2074</v>
      </c>
      <c r="G287" t="s">
        <v>2075</v>
      </c>
      <c r="H287" t="s">
        <v>2076</v>
      </c>
      <c r="I287" t="s">
        <v>2077</v>
      </c>
      <c r="J287" t="s">
        <v>2083</v>
      </c>
      <c r="L287" t="s">
        <v>191</v>
      </c>
      <c r="BB287" t="s">
        <v>205</v>
      </c>
    </row>
    <row r="288" spans="1:54" hidden="1" x14ac:dyDescent="0.25">
      <c r="A288" t="s">
        <v>54</v>
      </c>
      <c r="B288" t="s">
        <v>191</v>
      </c>
      <c r="C288">
        <v>791</v>
      </c>
      <c r="D288" t="s">
        <v>192</v>
      </c>
      <c r="E288" t="s">
        <v>2073</v>
      </c>
      <c r="F288" t="s">
        <v>2074</v>
      </c>
      <c r="G288" t="s">
        <v>2075</v>
      </c>
      <c r="H288" t="s">
        <v>2076</v>
      </c>
      <c r="I288" t="s">
        <v>2077</v>
      </c>
      <c r="J288" t="s">
        <v>2083</v>
      </c>
      <c r="L288" t="s">
        <v>191</v>
      </c>
      <c r="BB288" t="s">
        <v>219</v>
      </c>
    </row>
    <row r="289" spans="1:54" hidden="1" x14ac:dyDescent="0.25">
      <c r="A289" t="s">
        <v>41</v>
      </c>
      <c r="B289" t="s">
        <v>191</v>
      </c>
      <c r="C289">
        <v>3745</v>
      </c>
      <c r="D289" t="s">
        <v>192</v>
      </c>
      <c r="E289" t="s">
        <v>2073</v>
      </c>
      <c r="F289" t="s">
        <v>2074</v>
      </c>
      <c r="G289" t="s">
        <v>2075</v>
      </c>
      <c r="H289" t="s">
        <v>2076</v>
      </c>
      <c r="I289" t="s">
        <v>2077</v>
      </c>
      <c r="J289" t="s">
        <v>2083</v>
      </c>
      <c r="L289" t="s">
        <v>191</v>
      </c>
      <c r="BB289" t="s">
        <v>196</v>
      </c>
    </row>
    <row r="290" spans="1:54" hidden="1" x14ac:dyDescent="0.25">
      <c r="A290" t="s">
        <v>72</v>
      </c>
      <c r="B290" t="s">
        <v>191</v>
      </c>
      <c r="C290">
        <v>9921</v>
      </c>
      <c r="D290" t="s">
        <v>192</v>
      </c>
      <c r="E290" t="s">
        <v>2073</v>
      </c>
      <c r="F290" t="s">
        <v>2074</v>
      </c>
      <c r="G290" t="s">
        <v>2075</v>
      </c>
      <c r="H290" t="s">
        <v>2076</v>
      </c>
      <c r="I290" t="s">
        <v>2077</v>
      </c>
      <c r="J290" t="s">
        <v>2083</v>
      </c>
      <c r="L290" t="s">
        <v>191</v>
      </c>
      <c r="BB290" t="s">
        <v>228</v>
      </c>
    </row>
    <row r="291" spans="1:54" hidden="1" x14ac:dyDescent="0.25">
      <c r="A291" t="s">
        <v>26</v>
      </c>
      <c r="B291" t="s">
        <v>191</v>
      </c>
      <c r="C291">
        <v>7692</v>
      </c>
      <c r="D291" t="s">
        <v>192</v>
      </c>
      <c r="E291" t="s">
        <v>2073</v>
      </c>
      <c r="F291" t="s">
        <v>2074</v>
      </c>
      <c r="G291" t="s">
        <v>2075</v>
      </c>
      <c r="H291" t="s">
        <v>2076</v>
      </c>
      <c r="I291" t="s">
        <v>2077</v>
      </c>
      <c r="J291" t="s">
        <v>2083</v>
      </c>
      <c r="L291" t="s">
        <v>191</v>
      </c>
      <c r="BB291" t="s">
        <v>222</v>
      </c>
    </row>
    <row r="292" spans="1:54" hidden="1" x14ac:dyDescent="0.25">
      <c r="A292" t="s">
        <v>55</v>
      </c>
      <c r="B292" t="s">
        <v>191</v>
      </c>
      <c r="C292">
        <v>9619</v>
      </c>
      <c r="D292" t="s">
        <v>192</v>
      </c>
      <c r="E292" t="s">
        <v>2073</v>
      </c>
      <c r="F292" t="s">
        <v>2074</v>
      </c>
      <c r="G292" t="s">
        <v>2075</v>
      </c>
      <c r="H292" t="s">
        <v>2076</v>
      </c>
      <c r="I292" t="s">
        <v>2077</v>
      </c>
      <c r="J292" t="s">
        <v>2083</v>
      </c>
      <c r="L292" t="s">
        <v>191</v>
      </c>
      <c r="BB292" t="s">
        <v>225</v>
      </c>
    </row>
    <row r="293" spans="1:54" hidden="1" x14ac:dyDescent="0.25">
      <c r="A293" t="s">
        <v>47</v>
      </c>
      <c r="B293" t="s">
        <v>191</v>
      </c>
      <c r="C293">
        <v>1856</v>
      </c>
      <c r="D293" t="s">
        <v>192</v>
      </c>
      <c r="E293" t="s">
        <v>2073</v>
      </c>
      <c r="F293" t="s">
        <v>2074</v>
      </c>
      <c r="G293" t="s">
        <v>2075</v>
      </c>
      <c r="H293" t="s">
        <v>2076</v>
      </c>
      <c r="I293" t="s">
        <v>2077</v>
      </c>
      <c r="J293" t="s">
        <v>2083</v>
      </c>
      <c r="L293" t="s">
        <v>191</v>
      </c>
      <c r="BB293" t="s">
        <v>193</v>
      </c>
    </row>
    <row r="294" spans="1:54" hidden="1" x14ac:dyDescent="0.25">
      <c r="A294" t="s">
        <v>14</v>
      </c>
      <c r="B294" t="s">
        <v>191</v>
      </c>
      <c r="C294">
        <v>803</v>
      </c>
      <c r="D294" t="s">
        <v>192</v>
      </c>
      <c r="E294" t="s">
        <v>2073</v>
      </c>
      <c r="F294" t="s">
        <v>2074</v>
      </c>
      <c r="G294" t="s">
        <v>2075</v>
      </c>
      <c r="H294" t="s">
        <v>2076</v>
      </c>
      <c r="I294" t="s">
        <v>2077</v>
      </c>
      <c r="J294" t="s">
        <v>2083</v>
      </c>
      <c r="L294" t="s">
        <v>191</v>
      </c>
      <c r="BB294" t="s">
        <v>187</v>
      </c>
    </row>
    <row r="295" spans="1:54" hidden="1" x14ac:dyDescent="0.25">
      <c r="A295" t="s">
        <v>67</v>
      </c>
      <c r="B295" t="s">
        <v>191</v>
      </c>
      <c r="C295">
        <v>2158</v>
      </c>
      <c r="D295" t="s">
        <v>192</v>
      </c>
      <c r="E295" t="s">
        <v>2073</v>
      </c>
      <c r="F295" t="s">
        <v>2074</v>
      </c>
      <c r="G295" t="s">
        <v>2075</v>
      </c>
      <c r="H295" t="s">
        <v>2076</v>
      </c>
      <c r="I295" t="s">
        <v>2077</v>
      </c>
      <c r="J295" t="s">
        <v>2083</v>
      </c>
      <c r="L295" t="s">
        <v>191</v>
      </c>
      <c r="BB295" t="s">
        <v>216</v>
      </c>
    </row>
    <row r="296" spans="1:54" hidden="1" x14ac:dyDescent="0.25">
      <c r="A296" t="s">
        <v>24</v>
      </c>
      <c r="B296" t="s">
        <v>191</v>
      </c>
      <c r="C296">
        <v>850</v>
      </c>
      <c r="D296" t="s">
        <v>192</v>
      </c>
      <c r="E296" t="s">
        <v>2073</v>
      </c>
      <c r="F296" t="s">
        <v>2074</v>
      </c>
      <c r="G296" t="s">
        <v>2075</v>
      </c>
      <c r="H296" t="s">
        <v>2076</v>
      </c>
      <c r="I296" t="s">
        <v>2077</v>
      </c>
      <c r="J296" t="s">
        <v>2083</v>
      </c>
      <c r="L296" t="s">
        <v>191</v>
      </c>
      <c r="BB296" t="s">
        <v>196</v>
      </c>
    </row>
    <row r="297" spans="1:54" hidden="1" x14ac:dyDescent="0.25">
      <c r="A297" t="s">
        <v>62</v>
      </c>
      <c r="B297" t="s">
        <v>191</v>
      </c>
      <c r="C297">
        <v>402</v>
      </c>
      <c r="D297" t="s">
        <v>192</v>
      </c>
      <c r="E297" t="s">
        <v>2073</v>
      </c>
      <c r="F297" t="s">
        <v>2074</v>
      </c>
      <c r="G297" t="s">
        <v>2075</v>
      </c>
      <c r="H297" t="s">
        <v>2076</v>
      </c>
      <c r="I297" t="s">
        <v>2077</v>
      </c>
      <c r="J297" t="s">
        <v>2083</v>
      </c>
      <c r="L297" t="s">
        <v>191</v>
      </c>
      <c r="BB297" t="s">
        <v>210</v>
      </c>
    </row>
    <row r="298" spans="1:54" hidden="1" x14ac:dyDescent="0.25">
      <c r="A298" t="s">
        <v>57</v>
      </c>
      <c r="B298" t="s">
        <v>191</v>
      </c>
      <c r="C298">
        <v>3109</v>
      </c>
      <c r="D298" t="s">
        <v>192</v>
      </c>
      <c r="E298" t="s">
        <v>2073</v>
      </c>
      <c r="F298" t="s">
        <v>2074</v>
      </c>
      <c r="G298" t="s">
        <v>2075</v>
      </c>
      <c r="H298" t="s">
        <v>2076</v>
      </c>
      <c r="I298" t="s">
        <v>2077</v>
      </c>
      <c r="J298" t="s">
        <v>2083</v>
      </c>
      <c r="L298" t="s">
        <v>191</v>
      </c>
      <c r="BB298" t="s">
        <v>207</v>
      </c>
    </row>
    <row r="299" spans="1:54" hidden="1" x14ac:dyDescent="0.25">
      <c r="A299" t="s">
        <v>68</v>
      </c>
      <c r="B299" t="s">
        <v>191</v>
      </c>
      <c r="C299">
        <v>3213</v>
      </c>
      <c r="D299" t="s">
        <v>192</v>
      </c>
      <c r="E299" t="s">
        <v>2073</v>
      </c>
      <c r="F299" t="s">
        <v>2074</v>
      </c>
      <c r="G299" t="s">
        <v>2075</v>
      </c>
      <c r="H299" t="s">
        <v>2076</v>
      </c>
      <c r="I299" t="s">
        <v>2077</v>
      </c>
      <c r="J299" t="s">
        <v>2083</v>
      </c>
      <c r="L299" t="s">
        <v>191</v>
      </c>
      <c r="BB299" t="s">
        <v>190</v>
      </c>
    </row>
    <row r="300" spans="1:54" hidden="1" x14ac:dyDescent="0.25">
      <c r="A300" t="s">
        <v>73</v>
      </c>
      <c r="B300" t="s">
        <v>191</v>
      </c>
      <c r="C300">
        <v>1170</v>
      </c>
      <c r="D300" t="s">
        <v>192</v>
      </c>
      <c r="E300" t="s">
        <v>2073</v>
      </c>
      <c r="F300" t="s">
        <v>2074</v>
      </c>
      <c r="G300" t="s">
        <v>2075</v>
      </c>
      <c r="H300" t="s">
        <v>2076</v>
      </c>
      <c r="I300" t="s">
        <v>2077</v>
      </c>
      <c r="J300" t="s">
        <v>2083</v>
      </c>
      <c r="L300" t="s">
        <v>191</v>
      </c>
      <c r="BB300" t="s">
        <v>202</v>
      </c>
    </row>
    <row r="301" spans="1:54" hidden="1" x14ac:dyDescent="0.25">
      <c r="A301" t="s">
        <v>36</v>
      </c>
      <c r="B301" t="s">
        <v>191</v>
      </c>
      <c r="C301">
        <v>8221</v>
      </c>
      <c r="D301" t="s">
        <v>192</v>
      </c>
      <c r="E301" t="s">
        <v>2073</v>
      </c>
      <c r="F301" t="s">
        <v>2074</v>
      </c>
      <c r="G301" t="s">
        <v>2075</v>
      </c>
      <c r="H301" t="s">
        <v>2076</v>
      </c>
      <c r="I301" t="s">
        <v>2077</v>
      </c>
      <c r="J301" t="s">
        <v>2083</v>
      </c>
      <c r="L301" t="s">
        <v>191</v>
      </c>
      <c r="BB301" t="s">
        <v>205</v>
      </c>
    </row>
    <row r="302" spans="1:54" hidden="1" x14ac:dyDescent="0.25">
      <c r="A302" t="s">
        <v>60</v>
      </c>
      <c r="B302" t="s">
        <v>191</v>
      </c>
      <c r="C302">
        <v>12808</v>
      </c>
      <c r="D302" t="s">
        <v>192</v>
      </c>
      <c r="E302" t="s">
        <v>2073</v>
      </c>
      <c r="F302" t="s">
        <v>2074</v>
      </c>
      <c r="G302" t="s">
        <v>2075</v>
      </c>
      <c r="H302" t="s">
        <v>2076</v>
      </c>
      <c r="I302" t="s">
        <v>2077</v>
      </c>
      <c r="J302" t="s">
        <v>2083</v>
      </c>
      <c r="L302" t="s">
        <v>191</v>
      </c>
      <c r="BB302" t="s">
        <v>219</v>
      </c>
    </row>
    <row r="303" spans="1:54" hidden="1" x14ac:dyDescent="0.25">
      <c r="A303" t="s">
        <v>91</v>
      </c>
      <c r="B303" t="s">
        <v>191</v>
      </c>
      <c r="C303">
        <v>10436</v>
      </c>
      <c r="D303" t="s">
        <v>192</v>
      </c>
      <c r="E303" t="s">
        <v>2073</v>
      </c>
      <c r="F303" t="s">
        <v>2074</v>
      </c>
      <c r="G303" t="s">
        <v>2075</v>
      </c>
      <c r="H303" t="s">
        <v>2076</v>
      </c>
      <c r="I303" t="s">
        <v>2077</v>
      </c>
      <c r="J303" t="s">
        <v>2083</v>
      </c>
      <c r="L303" t="s">
        <v>191</v>
      </c>
      <c r="BB303" t="s">
        <v>222</v>
      </c>
    </row>
    <row r="304" spans="1:54" hidden="1" x14ac:dyDescent="0.25">
      <c r="A304" t="s">
        <v>23</v>
      </c>
      <c r="B304" t="s">
        <v>191</v>
      </c>
      <c r="C304">
        <v>2815</v>
      </c>
      <c r="D304" t="s">
        <v>192</v>
      </c>
      <c r="E304" t="s">
        <v>2073</v>
      </c>
      <c r="F304" t="s">
        <v>2074</v>
      </c>
      <c r="G304" t="s">
        <v>2075</v>
      </c>
      <c r="H304" t="s">
        <v>2076</v>
      </c>
      <c r="I304" t="s">
        <v>2077</v>
      </c>
      <c r="J304" t="s">
        <v>2083</v>
      </c>
      <c r="L304" t="s">
        <v>191</v>
      </c>
      <c r="BB304" t="s">
        <v>228</v>
      </c>
    </row>
    <row r="305" spans="1:54" hidden="1" x14ac:dyDescent="0.25">
      <c r="A305" t="s">
        <v>21</v>
      </c>
      <c r="B305" t="s">
        <v>191</v>
      </c>
      <c r="C305">
        <v>1124</v>
      </c>
      <c r="D305" t="s">
        <v>192</v>
      </c>
      <c r="E305" t="s">
        <v>2073</v>
      </c>
      <c r="F305" t="s">
        <v>2074</v>
      </c>
      <c r="G305" t="s">
        <v>2075</v>
      </c>
      <c r="H305" t="s">
        <v>2076</v>
      </c>
      <c r="I305" t="s">
        <v>2077</v>
      </c>
      <c r="J305" t="s">
        <v>2083</v>
      </c>
      <c r="L305" t="s">
        <v>191</v>
      </c>
      <c r="BB305" t="s">
        <v>193</v>
      </c>
    </row>
    <row r="306" spans="1:54" hidden="1" x14ac:dyDescent="0.25">
      <c r="A306" t="s">
        <v>85</v>
      </c>
      <c r="B306" t="s">
        <v>191</v>
      </c>
      <c r="C306">
        <v>3436</v>
      </c>
      <c r="D306" t="s">
        <v>192</v>
      </c>
      <c r="E306" t="s">
        <v>2073</v>
      </c>
      <c r="F306" t="s">
        <v>2074</v>
      </c>
      <c r="G306" t="s">
        <v>2075</v>
      </c>
      <c r="H306" t="s">
        <v>2076</v>
      </c>
      <c r="I306" t="s">
        <v>2077</v>
      </c>
      <c r="J306" t="s">
        <v>2083</v>
      </c>
      <c r="L306" t="s">
        <v>191</v>
      </c>
      <c r="BB306" t="s">
        <v>190</v>
      </c>
    </row>
    <row r="307" spans="1:54" hidden="1" x14ac:dyDescent="0.25">
      <c r="A307" t="s">
        <v>52</v>
      </c>
      <c r="B307" t="s">
        <v>191</v>
      </c>
      <c r="C307">
        <v>505</v>
      </c>
      <c r="D307" t="s">
        <v>192</v>
      </c>
      <c r="E307" t="s">
        <v>2073</v>
      </c>
      <c r="F307" t="s">
        <v>2074</v>
      </c>
      <c r="G307" t="s">
        <v>2075</v>
      </c>
      <c r="H307" t="s">
        <v>2076</v>
      </c>
      <c r="I307" t="s">
        <v>2077</v>
      </c>
      <c r="J307" t="s">
        <v>2083</v>
      </c>
      <c r="L307" t="s">
        <v>191</v>
      </c>
      <c r="BB307" t="s">
        <v>187</v>
      </c>
    </row>
    <row r="308" spans="1:54" hidden="1" x14ac:dyDescent="0.25">
      <c r="A308" t="s">
        <v>6</v>
      </c>
      <c r="B308" t="s">
        <v>191</v>
      </c>
      <c r="C308">
        <v>666</v>
      </c>
      <c r="D308" t="s">
        <v>192</v>
      </c>
      <c r="E308" t="s">
        <v>2073</v>
      </c>
      <c r="F308" t="s">
        <v>2074</v>
      </c>
      <c r="G308" t="s">
        <v>2075</v>
      </c>
      <c r="H308" t="s">
        <v>2076</v>
      </c>
      <c r="I308" t="s">
        <v>2077</v>
      </c>
      <c r="J308" t="s">
        <v>2083</v>
      </c>
      <c r="L308" t="s">
        <v>191</v>
      </c>
      <c r="BB308" t="s">
        <v>207</v>
      </c>
    </row>
    <row r="309" spans="1:54" hidden="1" x14ac:dyDescent="0.25">
      <c r="A309" t="s">
        <v>92</v>
      </c>
      <c r="B309" t="s">
        <v>191</v>
      </c>
      <c r="C309">
        <v>32</v>
      </c>
      <c r="D309" t="s">
        <v>192</v>
      </c>
      <c r="E309" t="s">
        <v>2073</v>
      </c>
      <c r="F309" t="s">
        <v>2074</v>
      </c>
      <c r="G309" t="s">
        <v>2075</v>
      </c>
      <c r="H309" t="s">
        <v>2076</v>
      </c>
      <c r="I309" t="s">
        <v>2077</v>
      </c>
      <c r="J309" t="s">
        <v>2083</v>
      </c>
      <c r="L309" t="s">
        <v>191</v>
      </c>
      <c r="BB309" t="s">
        <v>205</v>
      </c>
    </row>
    <row r="310" spans="1:54" hidden="1" x14ac:dyDescent="0.25">
      <c r="A310" t="s">
        <v>63</v>
      </c>
      <c r="B310" t="s">
        <v>191</v>
      </c>
      <c r="C310">
        <v>424</v>
      </c>
      <c r="D310" t="s">
        <v>192</v>
      </c>
      <c r="E310" t="s">
        <v>2073</v>
      </c>
      <c r="F310" t="s">
        <v>2074</v>
      </c>
      <c r="G310" t="s">
        <v>2075</v>
      </c>
      <c r="H310" t="s">
        <v>2076</v>
      </c>
      <c r="I310" t="s">
        <v>2077</v>
      </c>
      <c r="J310" t="s">
        <v>2083</v>
      </c>
      <c r="L310" t="s">
        <v>191</v>
      </c>
      <c r="BB310" t="s">
        <v>210</v>
      </c>
    </row>
    <row r="311" spans="1:54" hidden="1" x14ac:dyDescent="0.25">
      <c r="A311" t="s">
        <v>53</v>
      </c>
      <c r="B311" t="s">
        <v>191</v>
      </c>
      <c r="C311">
        <v>3988</v>
      </c>
      <c r="D311" t="s">
        <v>192</v>
      </c>
      <c r="E311" t="s">
        <v>2073</v>
      </c>
      <c r="F311" t="s">
        <v>2074</v>
      </c>
      <c r="G311" t="s">
        <v>2075</v>
      </c>
      <c r="H311" t="s">
        <v>2076</v>
      </c>
      <c r="I311" t="s">
        <v>2077</v>
      </c>
      <c r="J311" t="s">
        <v>2083</v>
      </c>
      <c r="L311" t="s">
        <v>191</v>
      </c>
      <c r="BB311" t="s">
        <v>196</v>
      </c>
    </row>
    <row r="312" spans="1:54" hidden="1" x14ac:dyDescent="0.25">
      <c r="A312" t="s">
        <v>76</v>
      </c>
      <c r="B312" t="s">
        <v>191</v>
      </c>
      <c r="C312">
        <v>4788</v>
      </c>
      <c r="D312" t="s">
        <v>192</v>
      </c>
      <c r="E312" t="s">
        <v>2073</v>
      </c>
      <c r="F312" t="s">
        <v>2074</v>
      </c>
      <c r="G312" t="s">
        <v>2075</v>
      </c>
      <c r="H312" t="s">
        <v>2076</v>
      </c>
      <c r="I312" t="s">
        <v>2077</v>
      </c>
      <c r="J312" t="s">
        <v>2083</v>
      </c>
      <c r="L312" t="s">
        <v>191</v>
      </c>
      <c r="BB312" t="s">
        <v>187</v>
      </c>
    </row>
    <row r="313" spans="1:54" hidden="1" x14ac:dyDescent="0.25">
      <c r="A313" t="s">
        <v>90</v>
      </c>
      <c r="B313" t="s">
        <v>191</v>
      </c>
      <c r="C313">
        <v>3282</v>
      </c>
      <c r="D313" t="s">
        <v>192</v>
      </c>
      <c r="E313" t="s">
        <v>2073</v>
      </c>
      <c r="F313" t="s">
        <v>2074</v>
      </c>
      <c r="G313" t="s">
        <v>2075</v>
      </c>
      <c r="H313" t="s">
        <v>2076</v>
      </c>
      <c r="I313" t="s">
        <v>2077</v>
      </c>
      <c r="J313" t="s">
        <v>2083</v>
      </c>
      <c r="L313" t="s">
        <v>191</v>
      </c>
      <c r="BB313" t="s">
        <v>193</v>
      </c>
    </row>
    <row r="314" spans="1:54" hidden="1" x14ac:dyDescent="0.25">
      <c r="A314" t="s">
        <v>71</v>
      </c>
      <c r="B314" t="s">
        <v>191</v>
      </c>
      <c r="C314">
        <v>192</v>
      </c>
      <c r="D314" t="s">
        <v>192</v>
      </c>
      <c r="E314" t="s">
        <v>2073</v>
      </c>
      <c r="F314" t="s">
        <v>2074</v>
      </c>
      <c r="G314" t="s">
        <v>2075</v>
      </c>
      <c r="H314" t="s">
        <v>2076</v>
      </c>
      <c r="I314" t="s">
        <v>2077</v>
      </c>
      <c r="J314" t="s">
        <v>2083</v>
      </c>
      <c r="L314" t="s">
        <v>191</v>
      </c>
      <c r="BB314" t="s">
        <v>190</v>
      </c>
    </row>
    <row r="315" spans="1:54" hidden="1" x14ac:dyDescent="0.25">
      <c r="A315" t="s">
        <v>16</v>
      </c>
      <c r="B315" t="s">
        <v>191</v>
      </c>
      <c r="C315">
        <v>2406</v>
      </c>
      <c r="D315" t="s">
        <v>192</v>
      </c>
      <c r="E315" t="s">
        <v>2073</v>
      </c>
      <c r="F315" t="s">
        <v>2074</v>
      </c>
      <c r="G315" t="s">
        <v>2075</v>
      </c>
      <c r="H315" t="s">
        <v>2076</v>
      </c>
      <c r="I315" t="s">
        <v>2077</v>
      </c>
      <c r="J315" t="s">
        <v>2083</v>
      </c>
      <c r="L315" t="s">
        <v>191</v>
      </c>
      <c r="BB315" t="s">
        <v>202</v>
      </c>
    </row>
    <row r="316" spans="1:54" hidden="1" x14ac:dyDescent="0.25">
      <c r="A316" t="s">
        <v>82</v>
      </c>
      <c r="B316" t="s">
        <v>191</v>
      </c>
      <c r="C316">
        <v>3171</v>
      </c>
      <c r="D316" t="s">
        <v>192</v>
      </c>
      <c r="E316" t="s">
        <v>2073</v>
      </c>
      <c r="F316" t="s">
        <v>2074</v>
      </c>
      <c r="G316" t="s">
        <v>2075</v>
      </c>
      <c r="H316" t="s">
        <v>2076</v>
      </c>
      <c r="I316" t="s">
        <v>2077</v>
      </c>
      <c r="J316" t="s">
        <v>2083</v>
      </c>
      <c r="L316" t="s">
        <v>191</v>
      </c>
      <c r="BB316" t="s">
        <v>210</v>
      </c>
    </row>
    <row r="317" spans="1:54" hidden="1" x14ac:dyDescent="0.25">
      <c r="A317" t="s">
        <v>38</v>
      </c>
      <c r="B317" t="s">
        <v>191</v>
      </c>
      <c r="C317">
        <v>7489</v>
      </c>
      <c r="D317" t="s">
        <v>192</v>
      </c>
      <c r="E317" t="s">
        <v>2073</v>
      </c>
      <c r="F317" t="s">
        <v>2074</v>
      </c>
      <c r="G317" t="s">
        <v>2075</v>
      </c>
      <c r="H317" t="s">
        <v>2076</v>
      </c>
      <c r="I317" t="s">
        <v>2077</v>
      </c>
      <c r="J317" t="s">
        <v>2083</v>
      </c>
      <c r="L317" t="s">
        <v>191</v>
      </c>
      <c r="BB317" t="s">
        <v>196</v>
      </c>
    </row>
    <row r="318" spans="1:54" hidden="1" x14ac:dyDescent="0.25">
      <c r="A318" t="s">
        <v>51</v>
      </c>
      <c r="B318" t="s">
        <v>214</v>
      </c>
      <c r="C318">
        <v>15</v>
      </c>
      <c r="D318" t="s">
        <v>215</v>
      </c>
      <c r="E318" t="s">
        <v>2073</v>
      </c>
      <c r="F318" t="s">
        <v>2074</v>
      </c>
      <c r="G318" t="s">
        <v>2079</v>
      </c>
      <c r="H318" t="s">
        <v>2092</v>
      </c>
      <c r="I318" t="s">
        <v>2093</v>
      </c>
      <c r="J318" t="s">
        <v>2097</v>
      </c>
      <c r="K318" t="s">
        <v>1438</v>
      </c>
      <c r="L318" t="s">
        <v>214</v>
      </c>
      <c r="BB318" t="s">
        <v>199</v>
      </c>
    </row>
    <row r="319" spans="1:54" hidden="1" x14ac:dyDescent="0.25">
      <c r="A319" t="s">
        <v>84</v>
      </c>
      <c r="B319" t="s">
        <v>214</v>
      </c>
      <c r="C319">
        <v>3</v>
      </c>
      <c r="D319" t="s">
        <v>215</v>
      </c>
      <c r="E319" t="s">
        <v>2073</v>
      </c>
      <c r="F319" t="s">
        <v>2074</v>
      </c>
      <c r="G319" t="s">
        <v>2079</v>
      </c>
      <c r="H319" t="s">
        <v>2092</v>
      </c>
      <c r="I319" t="s">
        <v>2093</v>
      </c>
      <c r="J319" t="s">
        <v>2097</v>
      </c>
      <c r="K319" t="s">
        <v>1438</v>
      </c>
      <c r="L319" t="s">
        <v>214</v>
      </c>
      <c r="BB319" t="s">
        <v>193</v>
      </c>
    </row>
    <row r="320" spans="1:54" hidden="1" x14ac:dyDescent="0.25">
      <c r="A320" t="s">
        <v>56</v>
      </c>
      <c r="B320" t="s">
        <v>214</v>
      </c>
      <c r="C320">
        <v>46</v>
      </c>
      <c r="D320" t="s">
        <v>215</v>
      </c>
      <c r="E320" t="s">
        <v>2073</v>
      </c>
      <c r="F320" t="s">
        <v>2074</v>
      </c>
      <c r="G320" t="s">
        <v>2079</v>
      </c>
      <c r="H320" t="s">
        <v>2092</v>
      </c>
      <c r="I320" t="s">
        <v>2093</v>
      </c>
      <c r="J320" t="s">
        <v>2097</v>
      </c>
      <c r="K320" t="s">
        <v>1438</v>
      </c>
      <c r="L320" t="s">
        <v>214</v>
      </c>
      <c r="BB320" t="s">
        <v>187</v>
      </c>
    </row>
    <row r="321" spans="1:54" hidden="1" x14ac:dyDescent="0.25">
      <c r="A321" t="s">
        <v>19</v>
      </c>
      <c r="B321" t="s">
        <v>214</v>
      </c>
      <c r="C321">
        <v>987</v>
      </c>
      <c r="D321" t="s">
        <v>215</v>
      </c>
      <c r="E321" t="s">
        <v>2073</v>
      </c>
      <c r="F321" t="s">
        <v>2074</v>
      </c>
      <c r="G321" t="s">
        <v>2079</v>
      </c>
      <c r="H321" t="s">
        <v>2092</v>
      </c>
      <c r="I321" t="s">
        <v>2093</v>
      </c>
      <c r="J321" t="s">
        <v>2097</v>
      </c>
      <c r="K321" t="s">
        <v>1438</v>
      </c>
      <c r="L321" t="s">
        <v>214</v>
      </c>
      <c r="BB321" t="s">
        <v>207</v>
      </c>
    </row>
    <row r="322" spans="1:54" hidden="1" x14ac:dyDescent="0.25">
      <c r="A322" t="s">
        <v>70</v>
      </c>
      <c r="B322" t="s">
        <v>214</v>
      </c>
      <c r="C322">
        <v>756</v>
      </c>
      <c r="D322" t="s">
        <v>215</v>
      </c>
      <c r="E322" t="s">
        <v>2073</v>
      </c>
      <c r="F322" t="s">
        <v>2074</v>
      </c>
      <c r="G322" t="s">
        <v>2079</v>
      </c>
      <c r="H322" t="s">
        <v>2092</v>
      </c>
      <c r="I322" t="s">
        <v>2093</v>
      </c>
      <c r="J322" t="s">
        <v>2097</v>
      </c>
      <c r="K322" t="s">
        <v>1438</v>
      </c>
      <c r="L322" t="s">
        <v>214</v>
      </c>
      <c r="BB322" t="s">
        <v>202</v>
      </c>
    </row>
    <row r="323" spans="1:54" hidden="1" x14ac:dyDescent="0.25">
      <c r="A323" t="s">
        <v>83</v>
      </c>
      <c r="B323" t="s">
        <v>214</v>
      </c>
      <c r="C323">
        <v>1255</v>
      </c>
      <c r="D323" t="s">
        <v>215</v>
      </c>
      <c r="E323" t="s">
        <v>2073</v>
      </c>
      <c r="F323" t="s">
        <v>2074</v>
      </c>
      <c r="G323" t="s">
        <v>2079</v>
      </c>
      <c r="H323" t="s">
        <v>2092</v>
      </c>
      <c r="I323" t="s">
        <v>2093</v>
      </c>
      <c r="J323" t="s">
        <v>2097</v>
      </c>
      <c r="K323" t="s">
        <v>1438</v>
      </c>
      <c r="L323" t="s">
        <v>214</v>
      </c>
      <c r="BB323" t="s">
        <v>196</v>
      </c>
    </row>
    <row r="324" spans="1:54" hidden="1" x14ac:dyDescent="0.25">
      <c r="A324" t="s">
        <v>39</v>
      </c>
      <c r="B324" t="s">
        <v>214</v>
      </c>
      <c r="C324">
        <v>51</v>
      </c>
      <c r="D324" t="s">
        <v>215</v>
      </c>
      <c r="E324" t="s">
        <v>2073</v>
      </c>
      <c r="F324" t="s">
        <v>2074</v>
      </c>
      <c r="G324" t="s">
        <v>2079</v>
      </c>
      <c r="H324" t="s">
        <v>2092</v>
      </c>
      <c r="I324" t="s">
        <v>2093</v>
      </c>
      <c r="J324" t="s">
        <v>2097</v>
      </c>
      <c r="K324" t="s">
        <v>1438</v>
      </c>
      <c r="L324" t="s">
        <v>214</v>
      </c>
      <c r="BB324" t="s">
        <v>219</v>
      </c>
    </row>
    <row r="325" spans="1:54" hidden="1" x14ac:dyDescent="0.25">
      <c r="A325" t="s">
        <v>50</v>
      </c>
      <c r="B325" t="s">
        <v>214</v>
      </c>
      <c r="C325">
        <v>137</v>
      </c>
      <c r="D325" t="s">
        <v>215</v>
      </c>
      <c r="E325" t="s">
        <v>2073</v>
      </c>
      <c r="F325" t="s">
        <v>2074</v>
      </c>
      <c r="G325" t="s">
        <v>2079</v>
      </c>
      <c r="H325" t="s">
        <v>2092</v>
      </c>
      <c r="I325" t="s">
        <v>2093</v>
      </c>
      <c r="J325" t="s">
        <v>2097</v>
      </c>
      <c r="K325" t="s">
        <v>1438</v>
      </c>
      <c r="L325" t="s">
        <v>214</v>
      </c>
      <c r="BB325" t="s">
        <v>199</v>
      </c>
    </row>
    <row r="326" spans="1:54" hidden="1" x14ac:dyDescent="0.25">
      <c r="A326" t="s">
        <v>74</v>
      </c>
      <c r="B326" t="s">
        <v>214</v>
      </c>
      <c r="C326">
        <v>84</v>
      </c>
      <c r="D326" t="s">
        <v>215</v>
      </c>
      <c r="E326" t="s">
        <v>2073</v>
      </c>
      <c r="F326" t="s">
        <v>2074</v>
      </c>
      <c r="G326" t="s">
        <v>2079</v>
      </c>
      <c r="H326" t="s">
        <v>2092</v>
      </c>
      <c r="I326" t="s">
        <v>2093</v>
      </c>
      <c r="J326" t="s">
        <v>2097</v>
      </c>
      <c r="K326" t="s">
        <v>1438</v>
      </c>
      <c r="L326" t="s">
        <v>214</v>
      </c>
      <c r="BB326" t="s">
        <v>193</v>
      </c>
    </row>
    <row r="327" spans="1:54" hidden="1" x14ac:dyDescent="0.25">
      <c r="A327" t="s">
        <v>48</v>
      </c>
      <c r="B327" t="s">
        <v>214</v>
      </c>
      <c r="C327">
        <v>538</v>
      </c>
      <c r="D327" t="s">
        <v>215</v>
      </c>
      <c r="E327" t="s">
        <v>2073</v>
      </c>
      <c r="F327" t="s">
        <v>2074</v>
      </c>
      <c r="G327" t="s">
        <v>2079</v>
      </c>
      <c r="H327" t="s">
        <v>2092</v>
      </c>
      <c r="I327" t="s">
        <v>2093</v>
      </c>
      <c r="J327" t="s">
        <v>2097</v>
      </c>
      <c r="K327" t="s">
        <v>1438</v>
      </c>
      <c r="L327" t="s">
        <v>214</v>
      </c>
      <c r="BB327" t="s">
        <v>187</v>
      </c>
    </row>
    <row r="328" spans="1:54" hidden="1" x14ac:dyDescent="0.25">
      <c r="A328" t="s">
        <v>43</v>
      </c>
      <c r="B328" t="s">
        <v>214</v>
      </c>
      <c r="C328">
        <v>135</v>
      </c>
      <c r="D328" t="s">
        <v>215</v>
      </c>
      <c r="E328" t="s">
        <v>2073</v>
      </c>
      <c r="F328" t="s">
        <v>2074</v>
      </c>
      <c r="G328" t="s">
        <v>2079</v>
      </c>
      <c r="H328" t="s">
        <v>2092</v>
      </c>
      <c r="I328" t="s">
        <v>2093</v>
      </c>
      <c r="J328" t="s">
        <v>2097</v>
      </c>
      <c r="K328" t="s">
        <v>1438</v>
      </c>
      <c r="L328" t="s">
        <v>214</v>
      </c>
      <c r="BB328" t="s">
        <v>242</v>
      </c>
    </row>
    <row r="329" spans="1:54" hidden="1" x14ac:dyDescent="0.25">
      <c r="A329" t="s">
        <v>40</v>
      </c>
      <c r="B329" t="s">
        <v>214</v>
      </c>
      <c r="C329">
        <v>41</v>
      </c>
      <c r="D329" t="s">
        <v>215</v>
      </c>
      <c r="E329" t="s">
        <v>2073</v>
      </c>
      <c r="F329" t="s">
        <v>2074</v>
      </c>
      <c r="G329" t="s">
        <v>2079</v>
      </c>
      <c r="H329" t="s">
        <v>2092</v>
      </c>
      <c r="I329" t="s">
        <v>2093</v>
      </c>
      <c r="J329" t="s">
        <v>2097</v>
      </c>
      <c r="K329" t="s">
        <v>1438</v>
      </c>
      <c r="L329" t="s">
        <v>214</v>
      </c>
      <c r="BB329" t="s">
        <v>210</v>
      </c>
    </row>
    <row r="330" spans="1:54" hidden="1" x14ac:dyDescent="0.25">
      <c r="A330" t="s">
        <v>42</v>
      </c>
      <c r="B330" t="s">
        <v>214</v>
      </c>
      <c r="C330">
        <v>4</v>
      </c>
      <c r="D330" t="s">
        <v>215</v>
      </c>
      <c r="E330" t="s">
        <v>2073</v>
      </c>
      <c r="F330" t="s">
        <v>2074</v>
      </c>
      <c r="G330" t="s">
        <v>2079</v>
      </c>
      <c r="H330" t="s">
        <v>2092</v>
      </c>
      <c r="I330" t="s">
        <v>2093</v>
      </c>
      <c r="J330" t="s">
        <v>2097</v>
      </c>
      <c r="K330" t="s">
        <v>1438</v>
      </c>
      <c r="L330" t="s">
        <v>214</v>
      </c>
      <c r="BB330" t="s">
        <v>205</v>
      </c>
    </row>
    <row r="331" spans="1:54" hidden="1" x14ac:dyDescent="0.25">
      <c r="A331" t="s">
        <v>80</v>
      </c>
      <c r="B331" t="s">
        <v>214</v>
      </c>
      <c r="C331">
        <v>39</v>
      </c>
      <c r="D331" t="s">
        <v>215</v>
      </c>
      <c r="E331" t="s">
        <v>2073</v>
      </c>
      <c r="F331" t="s">
        <v>2074</v>
      </c>
      <c r="G331" t="s">
        <v>2079</v>
      </c>
      <c r="H331" t="s">
        <v>2092</v>
      </c>
      <c r="I331" t="s">
        <v>2093</v>
      </c>
      <c r="J331" t="s">
        <v>2097</v>
      </c>
      <c r="K331" t="s">
        <v>1438</v>
      </c>
      <c r="L331" t="s">
        <v>214</v>
      </c>
      <c r="BB331" t="s">
        <v>190</v>
      </c>
    </row>
    <row r="332" spans="1:54" hidden="1" x14ac:dyDescent="0.25">
      <c r="A332" t="s">
        <v>37</v>
      </c>
      <c r="B332" t="s">
        <v>214</v>
      </c>
      <c r="C332">
        <v>108</v>
      </c>
      <c r="D332" t="s">
        <v>215</v>
      </c>
      <c r="E332" t="s">
        <v>2073</v>
      </c>
      <c r="F332" t="s">
        <v>2074</v>
      </c>
      <c r="G332" t="s">
        <v>2079</v>
      </c>
      <c r="H332" t="s">
        <v>2092</v>
      </c>
      <c r="I332" t="s">
        <v>2093</v>
      </c>
      <c r="J332" t="s">
        <v>2097</v>
      </c>
      <c r="K332" t="s">
        <v>1438</v>
      </c>
      <c r="L332" t="s">
        <v>214</v>
      </c>
      <c r="BB332" t="s">
        <v>216</v>
      </c>
    </row>
    <row r="333" spans="1:54" hidden="1" x14ac:dyDescent="0.25">
      <c r="A333" t="s">
        <v>18</v>
      </c>
      <c r="B333" t="s">
        <v>214</v>
      </c>
      <c r="C333">
        <v>101</v>
      </c>
      <c r="D333" t="s">
        <v>215</v>
      </c>
      <c r="E333" t="s">
        <v>2073</v>
      </c>
      <c r="F333" t="s">
        <v>2074</v>
      </c>
      <c r="G333" t="s">
        <v>2079</v>
      </c>
      <c r="H333" t="s">
        <v>2092</v>
      </c>
      <c r="I333" t="s">
        <v>2093</v>
      </c>
      <c r="J333" t="s">
        <v>2097</v>
      </c>
      <c r="K333" t="s">
        <v>1438</v>
      </c>
      <c r="L333" t="s">
        <v>214</v>
      </c>
      <c r="BB333" t="s">
        <v>193</v>
      </c>
    </row>
    <row r="334" spans="1:54" hidden="1" x14ac:dyDescent="0.25">
      <c r="A334" t="s">
        <v>89</v>
      </c>
      <c r="B334" t="s">
        <v>214</v>
      </c>
      <c r="C334">
        <v>663</v>
      </c>
      <c r="D334" t="s">
        <v>215</v>
      </c>
      <c r="E334" t="s">
        <v>2073</v>
      </c>
      <c r="F334" t="s">
        <v>2074</v>
      </c>
      <c r="G334" t="s">
        <v>2079</v>
      </c>
      <c r="H334" t="s">
        <v>2092</v>
      </c>
      <c r="I334" t="s">
        <v>2093</v>
      </c>
      <c r="J334" t="s">
        <v>2097</v>
      </c>
      <c r="K334" t="s">
        <v>1438</v>
      </c>
      <c r="L334" t="s">
        <v>214</v>
      </c>
      <c r="BB334" t="s">
        <v>210</v>
      </c>
    </row>
    <row r="335" spans="1:54" hidden="1" x14ac:dyDescent="0.25">
      <c r="A335" t="s">
        <v>20</v>
      </c>
      <c r="B335" t="s">
        <v>214</v>
      </c>
      <c r="C335">
        <v>27</v>
      </c>
      <c r="D335" t="s">
        <v>215</v>
      </c>
      <c r="E335" t="s">
        <v>2073</v>
      </c>
      <c r="F335" t="s">
        <v>2074</v>
      </c>
      <c r="G335" t="s">
        <v>2079</v>
      </c>
      <c r="H335" t="s">
        <v>2092</v>
      </c>
      <c r="I335" t="s">
        <v>2093</v>
      </c>
      <c r="J335" t="s">
        <v>2097</v>
      </c>
      <c r="K335" t="s">
        <v>1438</v>
      </c>
      <c r="L335" t="s">
        <v>214</v>
      </c>
      <c r="BB335" t="s">
        <v>187</v>
      </c>
    </row>
    <row r="336" spans="1:54" hidden="1" x14ac:dyDescent="0.25">
      <c r="A336" t="s">
        <v>17</v>
      </c>
      <c r="B336" t="s">
        <v>214</v>
      </c>
      <c r="C336">
        <v>8</v>
      </c>
      <c r="D336" t="s">
        <v>215</v>
      </c>
      <c r="E336" t="s">
        <v>2073</v>
      </c>
      <c r="F336" t="s">
        <v>2074</v>
      </c>
      <c r="G336" t="s">
        <v>2079</v>
      </c>
      <c r="H336" t="s">
        <v>2092</v>
      </c>
      <c r="I336" t="s">
        <v>2093</v>
      </c>
      <c r="J336" t="s">
        <v>2097</v>
      </c>
      <c r="K336" t="s">
        <v>1438</v>
      </c>
      <c r="L336" t="s">
        <v>214</v>
      </c>
      <c r="BB336" t="s">
        <v>190</v>
      </c>
    </row>
    <row r="337" spans="1:54" hidden="1" x14ac:dyDescent="0.25">
      <c r="A337" t="s">
        <v>30</v>
      </c>
      <c r="B337" t="s">
        <v>214</v>
      </c>
      <c r="C337">
        <v>9</v>
      </c>
      <c r="D337" t="s">
        <v>215</v>
      </c>
      <c r="E337" t="s">
        <v>2073</v>
      </c>
      <c r="F337" t="s">
        <v>2074</v>
      </c>
      <c r="G337" t="s">
        <v>2079</v>
      </c>
      <c r="H337" t="s">
        <v>2092</v>
      </c>
      <c r="I337" t="s">
        <v>2093</v>
      </c>
      <c r="J337" t="s">
        <v>2097</v>
      </c>
      <c r="K337" t="s">
        <v>1438</v>
      </c>
      <c r="L337" t="s">
        <v>214</v>
      </c>
      <c r="BB337" t="s">
        <v>202</v>
      </c>
    </row>
    <row r="338" spans="1:54" hidden="1" x14ac:dyDescent="0.25">
      <c r="A338" t="s">
        <v>25</v>
      </c>
      <c r="B338" t="s">
        <v>214</v>
      </c>
      <c r="C338">
        <v>80</v>
      </c>
      <c r="D338" t="s">
        <v>215</v>
      </c>
      <c r="E338" t="s">
        <v>2073</v>
      </c>
      <c r="F338" t="s">
        <v>2074</v>
      </c>
      <c r="G338" t="s">
        <v>2079</v>
      </c>
      <c r="H338" t="s">
        <v>2092</v>
      </c>
      <c r="I338" t="s">
        <v>2093</v>
      </c>
      <c r="J338" t="s">
        <v>2097</v>
      </c>
      <c r="K338" t="s">
        <v>1438</v>
      </c>
      <c r="L338" t="s">
        <v>214</v>
      </c>
      <c r="BB338" t="s">
        <v>196</v>
      </c>
    </row>
    <row r="339" spans="1:54" hidden="1" x14ac:dyDescent="0.25">
      <c r="A339" t="s">
        <v>65</v>
      </c>
      <c r="B339" t="s">
        <v>214</v>
      </c>
      <c r="C339">
        <v>11</v>
      </c>
      <c r="D339" t="s">
        <v>215</v>
      </c>
      <c r="E339" t="s">
        <v>2073</v>
      </c>
      <c r="F339" t="s">
        <v>2074</v>
      </c>
      <c r="G339" t="s">
        <v>2079</v>
      </c>
      <c r="H339" t="s">
        <v>2092</v>
      </c>
      <c r="I339" t="s">
        <v>2093</v>
      </c>
      <c r="J339" t="s">
        <v>2097</v>
      </c>
      <c r="K339" t="s">
        <v>1438</v>
      </c>
      <c r="L339" t="s">
        <v>214</v>
      </c>
      <c r="BB339" t="s">
        <v>219</v>
      </c>
    </row>
    <row r="340" spans="1:54" hidden="1" x14ac:dyDescent="0.25">
      <c r="A340" t="s">
        <v>59</v>
      </c>
      <c r="B340" t="s">
        <v>214</v>
      </c>
      <c r="C340">
        <v>60</v>
      </c>
      <c r="D340" t="s">
        <v>215</v>
      </c>
      <c r="E340" t="s">
        <v>2073</v>
      </c>
      <c r="F340" t="s">
        <v>2074</v>
      </c>
      <c r="G340" t="s">
        <v>2079</v>
      </c>
      <c r="H340" t="s">
        <v>2092</v>
      </c>
      <c r="I340" t="s">
        <v>2093</v>
      </c>
      <c r="J340" t="s">
        <v>2097</v>
      </c>
      <c r="K340" t="s">
        <v>1438</v>
      </c>
      <c r="L340" t="s">
        <v>214</v>
      </c>
      <c r="BB340" t="s">
        <v>216</v>
      </c>
    </row>
    <row r="341" spans="1:54" hidden="1" x14ac:dyDescent="0.25">
      <c r="A341" t="s">
        <v>77</v>
      </c>
      <c r="B341" t="s">
        <v>214</v>
      </c>
      <c r="C341">
        <v>5</v>
      </c>
      <c r="D341" t="s">
        <v>215</v>
      </c>
      <c r="E341" t="s">
        <v>2073</v>
      </c>
      <c r="F341" t="s">
        <v>2074</v>
      </c>
      <c r="G341" t="s">
        <v>2079</v>
      </c>
      <c r="H341" t="s">
        <v>2092</v>
      </c>
      <c r="I341" t="s">
        <v>2093</v>
      </c>
      <c r="J341" t="s">
        <v>2097</v>
      </c>
      <c r="K341" t="s">
        <v>1438</v>
      </c>
      <c r="L341" t="s">
        <v>214</v>
      </c>
      <c r="BB341" t="s">
        <v>222</v>
      </c>
    </row>
    <row r="342" spans="1:54" hidden="1" x14ac:dyDescent="0.25">
      <c r="A342" t="s">
        <v>45</v>
      </c>
      <c r="B342" t="s">
        <v>214</v>
      </c>
      <c r="C342">
        <v>56</v>
      </c>
      <c r="D342" t="s">
        <v>215</v>
      </c>
      <c r="E342" t="s">
        <v>2073</v>
      </c>
      <c r="F342" t="s">
        <v>2074</v>
      </c>
      <c r="G342" t="s">
        <v>2079</v>
      </c>
      <c r="H342" t="s">
        <v>2092</v>
      </c>
      <c r="I342" t="s">
        <v>2093</v>
      </c>
      <c r="J342" t="s">
        <v>2097</v>
      </c>
      <c r="K342" t="s">
        <v>1438</v>
      </c>
      <c r="L342" t="s">
        <v>214</v>
      </c>
      <c r="BB342" t="s">
        <v>205</v>
      </c>
    </row>
    <row r="343" spans="1:54" hidden="1" x14ac:dyDescent="0.25">
      <c r="A343" t="s">
        <v>15</v>
      </c>
      <c r="B343" t="s">
        <v>214</v>
      </c>
      <c r="C343">
        <v>263</v>
      </c>
      <c r="D343" t="s">
        <v>215</v>
      </c>
      <c r="E343" t="s">
        <v>2073</v>
      </c>
      <c r="F343" t="s">
        <v>2074</v>
      </c>
      <c r="G343" t="s">
        <v>2079</v>
      </c>
      <c r="H343" t="s">
        <v>2092</v>
      </c>
      <c r="I343" t="s">
        <v>2093</v>
      </c>
      <c r="J343" t="s">
        <v>2097</v>
      </c>
      <c r="K343" t="s">
        <v>1438</v>
      </c>
      <c r="L343" t="s">
        <v>214</v>
      </c>
      <c r="BB343" t="s">
        <v>193</v>
      </c>
    </row>
    <row r="344" spans="1:54" hidden="1" x14ac:dyDescent="0.25">
      <c r="A344" t="s">
        <v>47</v>
      </c>
      <c r="B344" t="s">
        <v>214</v>
      </c>
      <c r="C344">
        <v>3</v>
      </c>
      <c r="D344" t="s">
        <v>215</v>
      </c>
      <c r="E344" t="s">
        <v>2073</v>
      </c>
      <c r="F344" t="s">
        <v>2074</v>
      </c>
      <c r="G344" t="s">
        <v>2079</v>
      </c>
      <c r="H344" t="s">
        <v>2092</v>
      </c>
      <c r="I344" t="s">
        <v>2093</v>
      </c>
      <c r="J344" t="s">
        <v>2097</v>
      </c>
      <c r="K344" t="s">
        <v>1438</v>
      </c>
      <c r="L344" t="s">
        <v>214</v>
      </c>
      <c r="BB344" t="s">
        <v>210</v>
      </c>
    </row>
    <row r="345" spans="1:54" hidden="1" x14ac:dyDescent="0.25">
      <c r="A345" t="s">
        <v>14</v>
      </c>
      <c r="B345" t="s">
        <v>214</v>
      </c>
      <c r="C345">
        <v>55</v>
      </c>
      <c r="D345" t="s">
        <v>215</v>
      </c>
      <c r="E345" t="s">
        <v>2073</v>
      </c>
      <c r="F345" t="s">
        <v>2074</v>
      </c>
      <c r="G345" t="s">
        <v>2079</v>
      </c>
      <c r="H345" t="s">
        <v>2092</v>
      </c>
      <c r="I345" t="s">
        <v>2093</v>
      </c>
      <c r="J345" t="s">
        <v>2097</v>
      </c>
      <c r="K345" t="s">
        <v>1438</v>
      </c>
      <c r="L345" t="s">
        <v>214</v>
      </c>
      <c r="BB345" t="s">
        <v>190</v>
      </c>
    </row>
    <row r="346" spans="1:54" hidden="1" x14ac:dyDescent="0.25">
      <c r="A346" t="s">
        <v>67</v>
      </c>
      <c r="B346" t="s">
        <v>214</v>
      </c>
      <c r="C346">
        <v>83</v>
      </c>
      <c r="D346" t="s">
        <v>215</v>
      </c>
      <c r="E346" t="s">
        <v>2073</v>
      </c>
      <c r="F346" t="s">
        <v>2074</v>
      </c>
      <c r="G346" t="s">
        <v>2079</v>
      </c>
      <c r="H346" t="s">
        <v>2092</v>
      </c>
      <c r="I346" t="s">
        <v>2093</v>
      </c>
      <c r="J346" t="s">
        <v>2097</v>
      </c>
      <c r="K346" t="s">
        <v>1438</v>
      </c>
      <c r="L346" t="s">
        <v>214</v>
      </c>
      <c r="BB346" t="s">
        <v>187</v>
      </c>
    </row>
    <row r="347" spans="1:54" hidden="1" x14ac:dyDescent="0.25">
      <c r="A347" t="s">
        <v>24</v>
      </c>
      <c r="B347" t="s">
        <v>214</v>
      </c>
      <c r="C347">
        <v>25</v>
      </c>
      <c r="D347" t="s">
        <v>215</v>
      </c>
      <c r="E347" t="s">
        <v>2073</v>
      </c>
      <c r="F347" t="s">
        <v>2074</v>
      </c>
      <c r="G347" t="s">
        <v>2079</v>
      </c>
      <c r="H347" t="s">
        <v>2092</v>
      </c>
      <c r="I347" t="s">
        <v>2093</v>
      </c>
      <c r="J347" t="s">
        <v>2097</v>
      </c>
      <c r="K347" t="s">
        <v>1438</v>
      </c>
      <c r="L347" t="s">
        <v>214</v>
      </c>
      <c r="BB347" t="s">
        <v>207</v>
      </c>
    </row>
    <row r="348" spans="1:54" hidden="1" x14ac:dyDescent="0.25">
      <c r="A348" t="s">
        <v>62</v>
      </c>
      <c r="B348" t="s">
        <v>214</v>
      </c>
      <c r="C348">
        <v>21</v>
      </c>
      <c r="D348" t="s">
        <v>215</v>
      </c>
      <c r="E348" t="s">
        <v>2073</v>
      </c>
      <c r="F348" t="s">
        <v>2074</v>
      </c>
      <c r="G348" t="s">
        <v>2079</v>
      </c>
      <c r="H348" t="s">
        <v>2092</v>
      </c>
      <c r="I348" t="s">
        <v>2093</v>
      </c>
      <c r="J348" t="s">
        <v>2097</v>
      </c>
      <c r="K348" t="s">
        <v>1438</v>
      </c>
      <c r="L348" t="s">
        <v>214</v>
      </c>
      <c r="BB348" t="s">
        <v>219</v>
      </c>
    </row>
    <row r="349" spans="1:54" hidden="1" x14ac:dyDescent="0.25">
      <c r="A349" t="s">
        <v>23</v>
      </c>
      <c r="B349" t="s">
        <v>214</v>
      </c>
      <c r="C349">
        <v>5899</v>
      </c>
      <c r="D349" t="s">
        <v>215</v>
      </c>
      <c r="E349" t="s">
        <v>2073</v>
      </c>
      <c r="F349" t="s">
        <v>2074</v>
      </c>
      <c r="G349" t="s">
        <v>2079</v>
      </c>
      <c r="H349" t="s">
        <v>2092</v>
      </c>
      <c r="I349" t="s">
        <v>2093</v>
      </c>
      <c r="J349" t="s">
        <v>2097</v>
      </c>
      <c r="K349" t="s">
        <v>1438</v>
      </c>
      <c r="L349" t="s">
        <v>214</v>
      </c>
      <c r="BB349" t="s">
        <v>202</v>
      </c>
    </row>
    <row r="350" spans="1:54" hidden="1" x14ac:dyDescent="0.25">
      <c r="A350" t="s">
        <v>21</v>
      </c>
      <c r="B350" t="s">
        <v>214</v>
      </c>
      <c r="C350">
        <v>70</v>
      </c>
      <c r="D350" t="s">
        <v>215</v>
      </c>
      <c r="E350" t="s">
        <v>2073</v>
      </c>
      <c r="F350" t="s">
        <v>2074</v>
      </c>
      <c r="G350" t="s">
        <v>2079</v>
      </c>
      <c r="H350" t="s">
        <v>2092</v>
      </c>
      <c r="I350" t="s">
        <v>2093</v>
      </c>
      <c r="J350" t="s">
        <v>2097</v>
      </c>
      <c r="K350" t="s">
        <v>1438</v>
      </c>
      <c r="L350" t="s">
        <v>214</v>
      </c>
      <c r="BB350" t="s">
        <v>233</v>
      </c>
    </row>
    <row r="351" spans="1:54" hidden="1" x14ac:dyDescent="0.25">
      <c r="A351" t="s">
        <v>85</v>
      </c>
      <c r="B351" t="s">
        <v>214</v>
      </c>
      <c r="C351">
        <v>360</v>
      </c>
      <c r="D351" t="s">
        <v>215</v>
      </c>
      <c r="E351" t="s">
        <v>2073</v>
      </c>
      <c r="F351" t="s">
        <v>2074</v>
      </c>
      <c r="G351" t="s">
        <v>2079</v>
      </c>
      <c r="H351" t="s">
        <v>2092</v>
      </c>
      <c r="I351" t="s">
        <v>2093</v>
      </c>
      <c r="J351" t="s">
        <v>2097</v>
      </c>
      <c r="K351" t="s">
        <v>1438</v>
      </c>
      <c r="L351" t="s">
        <v>214</v>
      </c>
      <c r="BB351" t="s">
        <v>222</v>
      </c>
    </row>
    <row r="352" spans="1:54" hidden="1" x14ac:dyDescent="0.25">
      <c r="A352" t="s">
        <v>52</v>
      </c>
      <c r="B352" t="s">
        <v>214</v>
      </c>
      <c r="C352">
        <v>56</v>
      </c>
      <c r="D352" t="s">
        <v>215</v>
      </c>
      <c r="E352" t="s">
        <v>2073</v>
      </c>
      <c r="F352" t="s">
        <v>2074</v>
      </c>
      <c r="G352" t="s">
        <v>2079</v>
      </c>
      <c r="H352" t="s">
        <v>2092</v>
      </c>
      <c r="I352" t="s">
        <v>2093</v>
      </c>
      <c r="J352" t="s">
        <v>2097</v>
      </c>
      <c r="K352" t="s">
        <v>1438</v>
      </c>
      <c r="L352" t="s">
        <v>214</v>
      </c>
      <c r="BB352" t="s">
        <v>193</v>
      </c>
    </row>
    <row r="353" spans="1:54" hidden="1" x14ac:dyDescent="0.25">
      <c r="A353" t="s">
        <v>92</v>
      </c>
      <c r="B353" t="s">
        <v>214</v>
      </c>
      <c r="C353">
        <v>97</v>
      </c>
      <c r="D353" t="s">
        <v>215</v>
      </c>
      <c r="E353" t="s">
        <v>2073</v>
      </c>
      <c r="F353" t="s">
        <v>2074</v>
      </c>
      <c r="G353" t="s">
        <v>2079</v>
      </c>
      <c r="H353" t="s">
        <v>2092</v>
      </c>
      <c r="I353" t="s">
        <v>2093</v>
      </c>
      <c r="J353" t="s">
        <v>2097</v>
      </c>
      <c r="K353" t="s">
        <v>1438</v>
      </c>
      <c r="L353" t="s">
        <v>214</v>
      </c>
      <c r="BB353" t="s">
        <v>187</v>
      </c>
    </row>
    <row r="354" spans="1:54" hidden="1" x14ac:dyDescent="0.25">
      <c r="A354" t="s">
        <v>63</v>
      </c>
      <c r="B354" t="s">
        <v>214</v>
      </c>
      <c r="C354">
        <v>109</v>
      </c>
      <c r="D354" t="s">
        <v>215</v>
      </c>
      <c r="E354" t="s">
        <v>2073</v>
      </c>
      <c r="F354" t="s">
        <v>2074</v>
      </c>
      <c r="G354" t="s">
        <v>2079</v>
      </c>
      <c r="H354" t="s">
        <v>2092</v>
      </c>
      <c r="I354" t="s">
        <v>2093</v>
      </c>
      <c r="J354" t="s">
        <v>2097</v>
      </c>
      <c r="K354" t="s">
        <v>1438</v>
      </c>
      <c r="L354" t="s">
        <v>214</v>
      </c>
      <c r="BB354" t="s">
        <v>210</v>
      </c>
    </row>
    <row r="355" spans="1:54" hidden="1" x14ac:dyDescent="0.25">
      <c r="A355" t="s">
        <v>53</v>
      </c>
      <c r="B355" t="s">
        <v>214</v>
      </c>
      <c r="C355">
        <v>23</v>
      </c>
      <c r="D355" t="s">
        <v>215</v>
      </c>
      <c r="E355" t="s">
        <v>2073</v>
      </c>
      <c r="F355" t="s">
        <v>2074</v>
      </c>
      <c r="G355" t="s">
        <v>2079</v>
      </c>
      <c r="H355" t="s">
        <v>2092</v>
      </c>
      <c r="I355" t="s">
        <v>2093</v>
      </c>
      <c r="J355" t="s">
        <v>2097</v>
      </c>
      <c r="K355" t="s">
        <v>1438</v>
      </c>
      <c r="L355" t="s">
        <v>214</v>
      </c>
      <c r="BB355" t="s">
        <v>207</v>
      </c>
    </row>
    <row r="356" spans="1:54" hidden="1" x14ac:dyDescent="0.25">
      <c r="A356" t="s">
        <v>16</v>
      </c>
      <c r="B356" t="s">
        <v>214</v>
      </c>
      <c r="C356">
        <v>549</v>
      </c>
      <c r="D356" t="s">
        <v>215</v>
      </c>
      <c r="E356" t="s">
        <v>2073</v>
      </c>
      <c r="F356" t="s">
        <v>2074</v>
      </c>
      <c r="G356" t="s">
        <v>2079</v>
      </c>
      <c r="H356" t="s">
        <v>2092</v>
      </c>
      <c r="I356" t="s">
        <v>2093</v>
      </c>
      <c r="J356" t="s">
        <v>2097</v>
      </c>
      <c r="K356" t="s">
        <v>1438</v>
      </c>
      <c r="L356" t="s">
        <v>214</v>
      </c>
      <c r="BB356" t="s">
        <v>190</v>
      </c>
    </row>
    <row r="357" spans="1:54" hidden="1" x14ac:dyDescent="0.25">
      <c r="A357" t="s">
        <v>82</v>
      </c>
      <c r="B357" t="s">
        <v>214</v>
      </c>
      <c r="C357">
        <v>1354</v>
      </c>
      <c r="D357" t="s">
        <v>215</v>
      </c>
      <c r="E357" t="s">
        <v>2073</v>
      </c>
      <c r="F357" t="s">
        <v>2074</v>
      </c>
      <c r="G357" t="s">
        <v>2079</v>
      </c>
      <c r="H357" t="s">
        <v>2092</v>
      </c>
      <c r="I357" t="s">
        <v>2093</v>
      </c>
      <c r="J357" t="s">
        <v>2097</v>
      </c>
      <c r="K357" t="s">
        <v>1438</v>
      </c>
      <c r="L357" t="s">
        <v>214</v>
      </c>
      <c r="BB357" t="s">
        <v>222</v>
      </c>
    </row>
    <row r="358" spans="1:54" hidden="1" x14ac:dyDescent="0.25">
      <c r="A358" t="s">
        <v>38</v>
      </c>
      <c r="B358" t="s">
        <v>214</v>
      </c>
      <c r="C358">
        <v>318</v>
      </c>
      <c r="D358" t="s">
        <v>215</v>
      </c>
      <c r="E358" t="s">
        <v>2073</v>
      </c>
      <c r="F358" t="s">
        <v>2074</v>
      </c>
      <c r="G358" t="s">
        <v>2079</v>
      </c>
      <c r="H358" t="s">
        <v>2092</v>
      </c>
      <c r="I358" t="s">
        <v>2093</v>
      </c>
      <c r="J358" t="s">
        <v>2097</v>
      </c>
      <c r="K358" t="s">
        <v>1438</v>
      </c>
      <c r="L358" t="s">
        <v>214</v>
      </c>
      <c r="BB358" t="s">
        <v>219</v>
      </c>
    </row>
    <row r="359" spans="1:54" hidden="1" x14ac:dyDescent="0.25">
      <c r="A359" t="s">
        <v>84</v>
      </c>
      <c r="B359" t="s">
        <v>223</v>
      </c>
      <c r="C359">
        <v>5</v>
      </c>
      <c r="D359" t="s">
        <v>224</v>
      </c>
      <c r="E359" t="s">
        <v>2073</v>
      </c>
      <c r="F359" t="s">
        <v>2074</v>
      </c>
      <c r="G359" t="s">
        <v>2075</v>
      </c>
      <c r="H359" t="s">
        <v>2107</v>
      </c>
      <c r="I359" t="s">
        <v>2108</v>
      </c>
      <c r="J359" t="s">
        <v>2109</v>
      </c>
      <c r="K359" t="s">
        <v>1450</v>
      </c>
      <c r="L359" t="s">
        <v>223</v>
      </c>
      <c r="BB359" t="s">
        <v>202</v>
      </c>
    </row>
    <row r="360" spans="1:54" hidden="1" x14ac:dyDescent="0.25">
      <c r="A360" t="s">
        <v>40</v>
      </c>
      <c r="B360" t="s">
        <v>223</v>
      </c>
      <c r="C360">
        <v>59</v>
      </c>
      <c r="D360" t="s">
        <v>224</v>
      </c>
      <c r="E360" t="s">
        <v>2073</v>
      </c>
      <c r="F360" t="s">
        <v>2074</v>
      </c>
      <c r="G360" t="s">
        <v>2075</v>
      </c>
      <c r="H360" t="s">
        <v>2107</v>
      </c>
      <c r="I360" t="s">
        <v>2108</v>
      </c>
      <c r="J360" t="s">
        <v>2109</v>
      </c>
      <c r="K360" t="s">
        <v>1450</v>
      </c>
      <c r="L360" t="s">
        <v>223</v>
      </c>
      <c r="BB360" t="s">
        <v>196</v>
      </c>
    </row>
    <row r="361" spans="1:54" hidden="1" x14ac:dyDescent="0.25">
      <c r="A361" t="s">
        <v>34</v>
      </c>
      <c r="B361" t="s">
        <v>223</v>
      </c>
      <c r="C361">
        <v>8</v>
      </c>
      <c r="D361" t="s">
        <v>224</v>
      </c>
      <c r="E361" t="s">
        <v>2073</v>
      </c>
      <c r="F361" t="s">
        <v>2074</v>
      </c>
      <c r="G361" t="s">
        <v>2075</v>
      </c>
      <c r="H361" t="s">
        <v>2107</v>
      </c>
      <c r="I361" t="s">
        <v>2108</v>
      </c>
      <c r="J361" t="s">
        <v>2109</v>
      </c>
      <c r="K361" t="s">
        <v>1450</v>
      </c>
      <c r="L361" t="s">
        <v>223</v>
      </c>
      <c r="BB361" t="s">
        <v>205</v>
      </c>
    </row>
    <row r="362" spans="1:54" hidden="1" x14ac:dyDescent="0.25">
      <c r="A362" t="s">
        <v>42</v>
      </c>
      <c r="B362" t="s">
        <v>223</v>
      </c>
      <c r="C362">
        <v>27</v>
      </c>
      <c r="D362" t="s">
        <v>224</v>
      </c>
      <c r="E362" t="s">
        <v>2073</v>
      </c>
      <c r="F362" t="s">
        <v>2074</v>
      </c>
      <c r="G362" t="s">
        <v>2075</v>
      </c>
      <c r="H362" t="s">
        <v>2107</v>
      </c>
      <c r="I362" t="s">
        <v>2108</v>
      </c>
      <c r="J362" t="s">
        <v>2109</v>
      </c>
      <c r="K362" t="s">
        <v>1450</v>
      </c>
      <c r="L362" t="s">
        <v>223</v>
      </c>
      <c r="BB362" t="s">
        <v>187</v>
      </c>
    </row>
    <row r="363" spans="1:54" hidden="1" x14ac:dyDescent="0.25">
      <c r="A363" t="s">
        <v>18</v>
      </c>
      <c r="B363" t="s">
        <v>223</v>
      </c>
      <c r="C363">
        <v>3</v>
      </c>
      <c r="D363" t="s">
        <v>224</v>
      </c>
      <c r="E363" t="s">
        <v>2073</v>
      </c>
      <c r="F363" t="s">
        <v>2074</v>
      </c>
      <c r="G363" t="s">
        <v>2075</v>
      </c>
      <c r="H363" t="s">
        <v>2107</v>
      </c>
      <c r="I363" t="s">
        <v>2108</v>
      </c>
      <c r="J363" t="s">
        <v>2109</v>
      </c>
      <c r="K363" t="s">
        <v>1450</v>
      </c>
      <c r="L363" t="s">
        <v>223</v>
      </c>
      <c r="BB363" t="s">
        <v>205</v>
      </c>
    </row>
    <row r="364" spans="1:54" hidden="1" x14ac:dyDescent="0.25">
      <c r="A364" t="s">
        <v>49</v>
      </c>
      <c r="B364" t="s">
        <v>223</v>
      </c>
      <c r="C364">
        <v>38</v>
      </c>
      <c r="D364" t="s">
        <v>224</v>
      </c>
      <c r="E364" t="s">
        <v>2073</v>
      </c>
      <c r="F364" t="s">
        <v>2074</v>
      </c>
      <c r="G364" t="s">
        <v>2075</v>
      </c>
      <c r="H364" t="s">
        <v>2107</v>
      </c>
      <c r="I364" t="s">
        <v>2108</v>
      </c>
      <c r="J364" t="s">
        <v>2109</v>
      </c>
      <c r="K364" t="s">
        <v>1450</v>
      </c>
      <c r="L364" t="s">
        <v>223</v>
      </c>
      <c r="BB364" t="s">
        <v>210</v>
      </c>
    </row>
    <row r="365" spans="1:54" hidden="1" x14ac:dyDescent="0.25">
      <c r="A365" t="s">
        <v>6</v>
      </c>
      <c r="B365" t="s">
        <v>223</v>
      </c>
      <c r="C365">
        <v>136</v>
      </c>
      <c r="D365" t="s">
        <v>224</v>
      </c>
      <c r="E365" t="s">
        <v>2073</v>
      </c>
      <c r="F365" t="s">
        <v>2074</v>
      </c>
      <c r="G365" t="s">
        <v>2075</v>
      </c>
      <c r="H365" t="s">
        <v>2107</v>
      </c>
      <c r="I365" t="s">
        <v>2108</v>
      </c>
      <c r="J365" t="s">
        <v>2109</v>
      </c>
      <c r="K365" t="s">
        <v>1450</v>
      </c>
      <c r="L365" t="s">
        <v>223</v>
      </c>
      <c r="BB365" t="s">
        <v>193</v>
      </c>
    </row>
    <row r="366" spans="1:54" hidden="1" x14ac:dyDescent="0.25">
      <c r="A366" t="s">
        <v>92</v>
      </c>
      <c r="B366" t="s">
        <v>223</v>
      </c>
      <c r="C366">
        <v>86</v>
      </c>
      <c r="D366" t="s">
        <v>224</v>
      </c>
      <c r="E366" t="s">
        <v>2073</v>
      </c>
      <c r="F366" t="s">
        <v>2074</v>
      </c>
      <c r="G366" t="s">
        <v>2075</v>
      </c>
      <c r="H366" t="s">
        <v>2107</v>
      </c>
      <c r="I366" t="s">
        <v>2108</v>
      </c>
      <c r="J366" t="s">
        <v>2109</v>
      </c>
      <c r="K366" t="s">
        <v>1450</v>
      </c>
      <c r="L366" t="s">
        <v>223</v>
      </c>
      <c r="BB366" t="s">
        <v>233</v>
      </c>
    </row>
    <row r="367" spans="1:54" hidden="1" x14ac:dyDescent="0.25">
      <c r="A367" t="s">
        <v>53</v>
      </c>
      <c r="B367" t="s">
        <v>223</v>
      </c>
      <c r="C367">
        <v>13</v>
      </c>
      <c r="D367" t="s">
        <v>224</v>
      </c>
      <c r="E367" t="s">
        <v>2073</v>
      </c>
      <c r="F367" t="s">
        <v>2074</v>
      </c>
      <c r="G367" t="s">
        <v>2075</v>
      </c>
      <c r="H367" t="s">
        <v>2107</v>
      </c>
      <c r="I367" t="s">
        <v>2108</v>
      </c>
      <c r="J367" t="s">
        <v>2109</v>
      </c>
      <c r="K367" t="s">
        <v>1450</v>
      </c>
      <c r="L367" t="s">
        <v>223</v>
      </c>
      <c r="BB367" t="s">
        <v>216</v>
      </c>
    </row>
    <row r="368" spans="1:54" hidden="1" x14ac:dyDescent="0.25">
      <c r="A368" t="s">
        <v>76</v>
      </c>
      <c r="B368" t="s">
        <v>223</v>
      </c>
      <c r="C368">
        <v>9</v>
      </c>
      <c r="D368" t="s">
        <v>224</v>
      </c>
      <c r="E368" t="s">
        <v>2073</v>
      </c>
      <c r="F368" t="s">
        <v>2074</v>
      </c>
      <c r="G368" t="s">
        <v>2075</v>
      </c>
      <c r="H368" t="s">
        <v>2107</v>
      </c>
      <c r="I368" t="s">
        <v>2108</v>
      </c>
      <c r="J368" t="s">
        <v>2109</v>
      </c>
      <c r="K368" t="s">
        <v>1450</v>
      </c>
      <c r="L368" t="s">
        <v>223</v>
      </c>
      <c r="BB368" t="s">
        <v>244</v>
      </c>
    </row>
    <row r="369" spans="1:54" hidden="1" x14ac:dyDescent="0.25">
      <c r="A369" t="s">
        <v>90</v>
      </c>
      <c r="B369" t="s">
        <v>223</v>
      </c>
      <c r="C369">
        <v>13</v>
      </c>
      <c r="D369" t="s">
        <v>224</v>
      </c>
      <c r="E369" t="s">
        <v>2073</v>
      </c>
      <c r="F369" t="s">
        <v>2074</v>
      </c>
      <c r="G369" t="s">
        <v>2075</v>
      </c>
      <c r="H369" t="s">
        <v>2107</v>
      </c>
      <c r="I369" t="s">
        <v>2108</v>
      </c>
      <c r="J369" t="s">
        <v>2109</v>
      </c>
      <c r="K369" t="s">
        <v>1450</v>
      </c>
      <c r="L369" t="s">
        <v>223</v>
      </c>
      <c r="BB369" t="s">
        <v>187</v>
      </c>
    </row>
    <row r="370" spans="1:54" hidden="1" x14ac:dyDescent="0.25">
      <c r="A370" t="s">
        <v>69</v>
      </c>
      <c r="B370" t="s">
        <v>194</v>
      </c>
      <c r="C370">
        <v>58</v>
      </c>
      <c r="D370" t="s">
        <v>195</v>
      </c>
      <c r="E370" t="s">
        <v>2073</v>
      </c>
      <c r="F370" t="s">
        <v>2074</v>
      </c>
      <c r="G370" t="s">
        <v>2079</v>
      </c>
      <c r="H370" t="s">
        <v>2080</v>
      </c>
      <c r="I370" t="s">
        <v>2081</v>
      </c>
      <c r="J370" t="s">
        <v>2084</v>
      </c>
      <c r="K370" t="s">
        <v>1429</v>
      </c>
      <c r="L370" t="s">
        <v>194</v>
      </c>
      <c r="BB370" t="s">
        <v>193</v>
      </c>
    </row>
    <row r="371" spans="1:54" hidden="1" x14ac:dyDescent="0.25">
      <c r="A371" t="s">
        <v>64</v>
      </c>
      <c r="B371" t="s">
        <v>194</v>
      </c>
      <c r="C371">
        <v>30</v>
      </c>
      <c r="D371" t="s">
        <v>195</v>
      </c>
      <c r="E371" t="s">
        <v>2073</v>
      </c>
      <c r="F371" t="s">
        <v>2074</v>
      </c>
      <c r="G371" t="s">
        <v>2079</v>
      </c>
      <c r="H371" t="s">
        <v>2080</v>
      </c>
      <c r="I371" t="s">
        <v>2081</v>
      </c>
      <c r="J371" t="s">
        <v>2084</v>
      </c>
      <c r="K371" t="s">
        <v>1429</v>
      </c>
      <c r="L371" t="s">
        <v>194</v>
      </c>
      <c r="BB371" t="s">
        <v>210</v>
      </c>
    </row>
    <row r="372" spans="1:54" hidden="1" x14ac:dyDescent="0.25">
      <c r="A372" t="s">
        <v>51</v>
      </c>
      <c r="B372" t="s">
        <v>194</v>
      </c>
      <c r="C372">
        <v>12</v>
      </c>
      <c r="D372" t="s">
        <v>195</v>
      </c>
      <c r="E372" t="s">
        <v>2073</v>
      </c>
      <c r="F372" t="s">
        <v>2074</v>
      </c>
      <c r="G372" t="s">
        <v>2079</v>
      </c>
      <c r="H372" t="s">
        <v>2080</v>
      </c>
      <c r="I372" t="s">
        <v>2081</v>
      </c>
      <c r="J372" t="s">
        <v>2084</v>
      </c>
      <c r="K372" t="s">
        <v>1429</v>
      </c>
      <c r="L372" t="s">
        <v>194</v>
      </c>
      <c r="BB372" t="s">
        <v>207</v>
      </c>
    </row>
    <row r="373" spans="1:54" hidden="1" x14ac:dyDescent="0.25">
      <c r="A373" t="s">
        <v>83</v>
      </c>
      <c r="B373" t="s">
        <v>194</v>
      </c>
      <c r="C373">
        <v>17</v>
      </c>
      <c r="D373" t="s">
        <v>195</v>
      </c>
      <c r="E373" t="s">
        <v>2073</v>
      </c>
      <c r="F373" t="s">
        <v>2074</v>
      </c>
      <c r="G373" t="s">
        <v>2079</v>
      </c>
      <c r="H373" t="s">
        <v>2080</v>
      </c>
      <c r="I373" t="s">
        <v>2081</v>
      </c>
      <c r="J373" t="s">
        <v>2084</v>
      </c>
      <c r="K373" t="s">
        <v>1429</v>
      </c>
      <c r="L373" t="s">
        <v>194</v>
      </c>
      <c r="BB373" t="s">
        <v>202</v>
      </c>
    </row>
    <row r="374" spans="1:54" hidden="1" x14ac:dyDescent="0.25">
      <c r="A374" t="s">
        <v>7</v>
      </c>
      <c r="B374" t="s">
        <v>194</v>
      </c>
      <c r="C374">
        <v>77</v>
      </c>
      <c r="D374" t="s">
        <v>195</v>
      </c>
      <c r="E374" t="s">
        <v>2073</v>
      </c>
      <c r="F374" t="s">
        <v>2074</v>
      </c>
      <c r="G374" t="s">
        <v>2079</v>
      </c>
      <c r="H374" t="s">
        <v>2080</v>
      </c>
      <c r="I374" t="s">
        <v>2081</v>
      </c>
      <c r="J374" t="s">
        <v>2084</v>
      </c>
      <c r="K374" t="s">
        <v>1429</v>
      </c>
      <c r="L374" t="s">
        <v>194</v>
      </c>
      <c r="BB374" t="s">
        <v>205</v>
      </c>
    </row>
    <row r="375" spans="1:54" hidden="1" x14ac:dyDescent="0.25">
      <c r="A375" t="s">
        <v>8</v>
      </c>
      <c r="B375" t="s">
        <v>194</v>
      </c>
      <c r="C375">
        <v>301</v>
      </c>
      <c r="D375" t="s">
        <v>195</v>
      </c>
      <c r="E375" t="s">
        <v>2073</v>
      </c>
      <c r="F375" t="s">
        <v>2074</v>
      </c>
      <c r="G375" t="s">
        <v>2079</v>
      </c>
      <c r="H375" t="s">
        <v>2080</v>
      </c>
      <c r="I375" t="s">
        <v>2081</v>
      </c>
      <c r="J375" t="s">
        <v>2084</v>
      </c>
      <c r="K375" t="s">
        <v>1429</v>
      </c>
      <c r="L375" t="s">
        <v>194</v>
      </c>
      <c r="BB375" t="s">
        <v>219</v>
      </c>
    </row>
    <row r="376" spans="1:54" hidden="1" x14ac:dyDescent="0.25">
      <c r="A376" t="s">
        <v>11</v>
      </c>
      <c r="B376" t="s">
        <v>194</v>
      </c>
      <c r="C376">
        <v>45</v>
      </c>
      <c r="D376" t="s">
        <v>195</v>
      </c>
      <c r="E376" t="s">
        <v>2073</v>
      </c>
      <c r="F376" t="s">
        <v>2074</v>
      </c>
      <c r="G376" t="s">
        <v>2079</v>
      </c>
      <c r="H376" t="s">
        <v>2080</v>
      </c>
      <c r="I376" t="s">
        <v>2081</v>
      </c>
      <c r="J376" t="s">
        <v>2084</v>
      </c>
      <c r="K376" t="s">
        <v>1429</v>
      </c>
      <c r="L376" t="s">
        <v>194</v>
      </c>
      <c r="BB376" t="s">
        <v>210</v>
      </c>
    </row>
    <row r="377" spans="1:54" hidden="1" x14ac:dyDescent="0.25">
      <c r="A377" t="s">
        <v>39</v>
      </c>
      <c r="B377" t="s">
        <v>194</v>
      </c>
      <c r="C377">
        <v>11</v>
      </c>
      <c r="D377" t="s">
        <v>195</v>
      </c>
      <c r="E377" t="s">
        <v>2073</v>
      </c>
      <c r="F377" t="s">
        <v>2074</v>
      </c>
      <c r="G377" t="s">
        <v>2079</v>
      </c>
      <c r="H377" t="s">
        <v>2080</v>
      </c>
      <c r="I377" t="s">
        <v>2081</v>
      </c>
      <c r="J377" t="s">
        <v>2084</v>
      </c>
      <c r="K377" t="s">
        <v>1429</v>
      </c>
      <c r="L377" t="s">
        <v>194</v>
      </c>
      <c r="BB377" t="s">
        <v>187</v>
      </c>
    </row>
    <row r="378" spans="1:54" hidden="1" x14ac:dyDescent="0.25">
      <c r="A378" t="s">
        <v>48</v>
      </c>
      <c r="B378" t="s">
        <v>194</v>
      </c>
      <c r="C378">
        <v>12</v>
      </c>
      <c r="D378" t="s">
        <v>195</v>
      </c>
      <c r="E378" t="s">
        <v>2073</v>
      </c>
      <c r="F378" t="s">
        <v>2074</v>
      </c>
      <c r="G378" t="s">
        <v>2079</v>
      </c>
      <c r="H378" t="s">
        <v>2080</v>
      </c>
      <c r="I378" t="s">
        <v>2081</v>
      </c>
      <c r="J378" t="s">
        <v>2084</v>
      </c>
      <c r="K378" t="s">
        <v>1429</v>
      </c>
      <c r="L378" t="s">
        <v>194</v>
      </c>
      <c r="BB378" t="s">
        <v>193</v>
      </c>
    </row>
    <row r="379" spans="1:54" hidden="1" x14ac:dyDescent="0.25">
      <c r="A379" t="s">
        <v>43</v>
      </c>
      <c r="B379" t="s">
        <v>194</v>
      </c>
      <c r="C379">
        <v>7</v>
      </c>
      <c r="D379" t="s">
        <v>195</v>
      </c>
      <c r="E379" t="s">
        <v>2073</v>
      </c>
      <c r="F379" t="s">
        <v>2074</v>
      </c>
      <c r="G379" t="s">
        <v>2079</v>
      </c>
      <c r="H379" t="s">
        <v>2080</v>
      </c>
      <c r="I379" t="s">
        <v>2081</v>
      </c>
      <c r="J379" t="s">
        <v>2084</v>
      </c>
      <c r="K379" t="s">
        <v>1429</v>
      </c>
      <c r="L379" t="s">
        <v>194</v>
      </c>
      <c r="BB379" t="s">
        <v>202</v>
      </c>
    </row>
    <row r="380" spans="1:54" hidden="1" x14ac:dyDescent="0.25">
      <c r="A380" t="s">
        <v>27</v>
      </c>
      <c r="B380" t="s">
        <v>194</v>
      </c>
      <c r="C380">
        <v>169</v>
      </c>
      <c r="D380" t="s">
        <v>195</v>
      </c>
      <c r="E380" t="s">
        <v>2073</v>
      </c>
      <c r="F380" t="s">
        <v>2074</v>
      </c>
      <c r="G380" t="s">
        <v>2079</v>
      </c>
      <c r="H380" t="s">
        <v>2080</v>
      </c>
      <c r="I380" t="s">
        <v>2081</v>
      </c>
      <c r="J380" t="s">
        <v>2084</v>
      </c>
      <c r="K380" t="s">
        <v>1429</v>
      </c>
      <c r="L380" t="s">
        <v>194</v>
      </c>
      <c r="BB380" t="s">
        <v>205</v>
      </c>
    </row>
    <row r="381" spans="1:54" hidden="1" x14ac:dyDescent="0.25">
      <c r="A381" t="s">
        <v>78</v>
      </c>
      <c r="B381" t="s">
        <v>194</v>
      </c>
      <c r="C381">
        <v>443</v>
      </c>
      <c r="D381" t="s">
        <v>195</v>
      </c>
      <c r="E381" t="s">
        <v>2073</v>
      </c>
      <c r="F381" t="s">
        <v>2074</v>
      </c>
      <c r="G381" t="s">
        <v>2079</v>
      </c>
      <c r="H381" t="s">
        <v>2080</v>
      </c>
      <c r="I381" t="s">
        <v>2081</v>
      </c>
      <c r="J381" t="s">
        <v>2084</v>
      </c>
      <c r="K381" t="s">
        <v>1429</v>
      </c>
      <c r="L381" t="s">
        <v>194</v>
      </c>
      <c r="BB381" t="s">
        <v>233</v>
      </c>
    </row>
    <row r="382" spans="1:54" hidden="1" x14ac:dyDescent="0.25">
      <c r="A382" t="s">
        <v>86</v>
      </c>
      <c r="B382" t="s">
        <v>194</v>
      </c>
      <c r="C382">
        <v>196</v>
      </c>
      <c r="D382" t="s">
        <v>195</v>
      </c>
      <c r="E382" t="s">
        <v>2073</v>
      </c>
      <c r="F382" t="s">
        <v>2074</v>
      </c>
      <c r="G382" t="s">
        <v>2079</v>
      </c>
      <c r="H382" t="s">
        <v>2080</v>
      </c>
      <c r="I382" t="s">
        <v>2081</v>
      </c>
      <c r="J382" t="s">
        <v>2084</v>
      </c>
      <c r="K382" t="s">
        <v>1429</v>
      </c>
      <c r="L382" t="s">
        <v>194</v>
      </c>
      <c r="BB382" t="s">
        <v>207</v>
      </c>
    </row>
    <row r="383" spans="1:54" hidden="1" x14ac:dyDescent="0.25">
      <c r="A383" t="s">
        <v>31</v>
      </c>
      <c r="B383" t="s">
        <v>194</v>
      </c>
      <c r="C383">
        <v>11279</v>
      </c>
      <c r="D383" t="s">
        <v>195</v>
      </c>
      <c r="E383" t="s">
        <v>2073</v>
      </c>
      <c r="F383" t="s">
        <v>2074</v>
      </c>
      <c r="G383" t="s">
        <v>2079</v>
      </c>
      <c r="H383" t="s">
        <v>2080</v>
      </c>
      <c r="I383" t="s">
        <v>2081</v>
      </c>
      <c r="J383" t="s">
        <v>2084</v>
      </c>
      <c r="K383" t="s">
        <v>1429</v>
      </c>
      <c r="L383" t="s">
        <v>194</v>
      </c>
      <c r="BB383" t="s">
        <v>216</v>
      </c>
    </row>
    <row r="384" spans="1:54" hidden="1" x14ac:dyDescent="0.25">
      <c r="A384" t="s">
        <v>40</v>
      </c>
      <c r="B384" t="s">
        <v>194</v>
      </c>
      <c r="C384">
        <v>1138</v>
      </c>
      <c r="D384" t="s">
        <v>195</v>
      </c>
      <c r="E384" t="s">
        <v>2073</v>
      </c>
      <c r="F384" t="s">
        <v>2074</v>
      </c>
      <c r="G384" t="s">
        <v>2079</v>
      </c>
      <c r="H384" t="s">
        <v>2080</v>
      </c>
      <c r="I384" t="s">
        <v>2081</v>
      </c>
      <c r="J384" t="s">
        <v>2084</v>
      </c>
      <c r="K384" t="s">
        <v>1429</v>
      </c>
      <c r="L384" t="s">
        <v>194</v>
      </c>
      <c r="BB384" t="s">
        <v>219</v>
      </c>
    </row>
    <row r="385" spans="1:54" hidden="1" x14ac:dyDescent="0.25">
      <c r="A385" t="s">
        <v>34</v>
      </c>
      <c r="B385" t="s">
        <v>194</v>
      </c>
      <c r="C385">
        <v>4811</v>
      </c>
      <c r="D385" t="s">
        <v>195</v>
      </c>
      <c r="E385" t="s">
        <v>2073</v>
      </c>
      <c r="F385" t="s">
        <v>2074</v>
      </c>
      <c r="G385" t="s">
        <v>2079</v>
      </c>
      <c r="H385" t="s">
        <v>2080</v>
      </c>
      <c r="I385" t="s">
        <v>2081</v>
      </c>
      <c r="J385" t="s">
        <v>2084</v>
      </c>
      <c r="K385" t="s">
        <v>1429</v>
      </c>
      <c r="L385" t="s">
        <v>194</v>
      </c>
      <c r="BB385" t="s">
        <v>222</v>
      </c>
    </row>
    <row r="386" spans="1:54" hidden="1" x14ac:dyDescent="0.25">
      <c r="A386" t="s">
        <v>42</v>
      </c>
      <c r="B386" t="s">
        <v>194</v>
      </c>
      <c r="C386">
        <v>1522</v>
      </c>
      <c r="D386" t="s">
        <v>195</v>
      </c>
      <c r="E386" t="s">
        <v>2073</v>
      </c>
      <c r="F386" t="s">
        <v>2074</v>
      </c>
      <c r="G386" t="s">
        <v>2079</v>
      </c>
      <c r="H386" t="s">
        <v>2080</v>
      </c>
      <c r="I386" t="s">
        <v>2081</v>
      </c>
      <c r="J386" t="s">
        <v>2084</v>
      </c>
      <c r="K386" t="s">
        <v>1429</v>
      </c>
      <c r="L386" t="s">
        <v>194</v>
      </c>
      <c r="BB386" t="s">
        <v>228</v>
      </c>
    </row>
    <row r="387" spans="1:54" hidden="1" x14ac:dyDescent="0.25">
      <c r="A387" t="s">
        <v>37</v>
      </c>
      <c r="B387" t="s">
        <v>194</v>
      </c>
      <c r="C387">
        <v>45</v>
      </c>
      <c r="D387" t="s">
        <v>195</v>
      </c>
      <c r="E387" t="s">
        <v>2073</v>
      </c>
      <c r="F387" t="s">
        <v>2074</v>
      </c>
      <c r="G387" t="s">
        <v>2079</v>
      </c>
      <c r="H387" t="s">
        <v>2080</v>
      </c>
      <c r="I387" t="s">
        <v>2081</v>
      </c>
      <c r="J387" t="s">
        <v>2084</v>
      </c>
      <c r="K387" t="s">
        <v>1429</v>
      </c>
      <c r="L387" t="s">
        <v>194</v>
      </c>
      <c r="BB387" t="s">
        <v>199</v>
      </c>
    </row>
    <row r="388" spans="1:54" hidden="1" x14ac:dyDescent="0.25">
      <c r="A388" t="s">
        <v>18</v>
      </c>
      <c r="B388" t="s">
        <v>194</v>
      </c>
      <c r="C388">
        <v>32</v>
      </c>
      <c r="D388" t="s">
        <v>195</v>
      </c>
      <c r="E388" t="s">
        <v>2073</v>
      </c>
      <c r="F388" t="s">
        <v>2074</v>
      </c>
      <c r="G388" t="s">
        <v>2079</v>
      </c>
      <c r="H388" t="s">
        <v>2080</v>
      </c>
      <c r="I388" t="s">
        <v>2081</v>
      </c>
      <c r="J388" t="s">
        <v>2084</v>
      </c>
      <c r="K388" t="s">
        <v>1429</v>
      </c>
      <c r="L388" t="s">
        <v>194</v>
      </c>
      <c r="BB388" t="s">
        <v>187</v>
      </c>
    </row>
    <row r="389" spans="1:54" hidden="1" x14ac:dyDescent="0.25">
      <c r="A389" t="s">
        <v>89</v>
      </c>
      <c r="B389" t="s">
        <v>194</v>
      </c>
      <c r="C389">
        <v>441</v>
      </c>
      <c r="D389" t="s">
        <v>195</v>
      </c>
      <c r="E389" t="s">
        <v>2073</v>
      </c>
      <c r="F389" t="s">
        <v>2074</v>
      </c>
      <c r="G389" t="s">
        <v>2079</v>
      </c>
      <c r="H389" t="s">
        <v>2080</v>
      </c>
      <c r="I389" t="s">
        <v>2081</v>
      </c>
      <c r="J389" t="s">
        <v>2084</v>
      </c>
      <c r="K389" t="s">
        <v>1429</v>
      </c>
      <c r="L389" t="s">
        <v>194</v>
      </c>
      <c r="BB389" t="s">
        <v>193</v>
      </c>
    </row>
    <row r="390" spans="1:54" hidden="1" x14ac:dyDescent="0.25">
      <c r="A390" t="s">
        <v>87</v>
      </c>
      <c r="B390" t="s">
        <v>194</v>
      </c>
      <c r="C390">
        <v>49</v>
      </c>
      <c r="D390" t="s">
        <v>195</v>
      </c>
      <c r="E390" t="s">
        <v>2073</v>
      </c>
      <c r="F390" t="s">
        <v>2074</v>
      </c>
      <c r="G390" t="s">
        <v>2079</v>
      </c>
      <c r="H390" t="s">
        <v>2080</v>
      </c>
      <c r="I390" t="s">
        <v>2081</v>
      </c>
      <c r="J390" t="s">
        <v>2084</v>
      </c>
      <c r="K390" t="s">
        <v>1429</v>
      </c>
      <c r="L390" t="s">
        <v>194</v>
      </c>
      <c r="BB390" t="s">
        <v>210</v>
      </c>
    </row>
    <row r="391" spans="1:54" hidden="1" x14ac:dyDescent="0.25">
      <c r="A391" t="s">
        <v>93</v>
      </c>
      <c r="B391" t="s">
        <v>194</v>
      </c>
      <c r="C391">
        <v>30</v>
      </c>
      <c r="D391" t="s">
        <v>195</v>
      </c>
      <c r="E391" t="s">
        <v>2073</v>
      </c>
      <c r="F391" t="s">
        <v>2074</v>
      </c>
      <c r="G391" t="s">
        <v>2079</v>
      </c>
      <c r="H391" t="s">
        <v>2080</v>
      </c>
      <c r="I391" t="s">
        <v>2081</v>
      </c>
      <c r="J391" t="s">
        <v>2084</v>
      </c>
      <c r="K391" t="s">
        <v>1429</v>
      </c>
      <c r="L391" t="s">
        <v>194</v>
      </c>
      <c r="BB391" t="s">
        <v>202</v>
      </c>
    </row>
    <row r="392" spans="1:54" hidden="1" x14ac:dyDescent="0.25">
      <c r="A392" t="s">
        <v>10</v>
      </c>
      <c r="B392" t="s">
        <v>194</v>
      </c>
      <c r="C392">
        <v>132</v>
      </c>
      <c r="D392" t="s">
        <v>195</v>
      </c>
      <c r="E392" t="s">
        <v>2073</v>
      </c>
      <c r="F392" t="s">
        <v>2074</v>
      </c>
      <c r="G392" t="s">
        <v>2079</v>
      </c>
      <c r="H392" t="s">
        <v>2080</v>
      </c>
      <c r="I392" t="s">
        <v>2081</v>
      </c>
      <c r="J392" t="s">
        <v>2084</v>
      </c>
      <c r="K392" t="s">
        <v>1429</v>
      </c>
      <c r="L392" t="s">
        <v>194</v>
      </c>
      <c r="BB392" t="s">
        <v>219</v>
      </c>
    </row>
    <row r="393" spans="1:54" hidden="1" x14ac:dyDescent="0.25">
      <c r="A393" t="s">
        <v>17</v>
      </c>
      <c r="B393" t="s">
        <v>194</v>
      </c>
      <c r="C393">
        <v>9</v>
      </c>
      <c r="D393" t="s">
        <v>195</v>
      </c>
      <c r="E393" t="s">
        <v>2073</v>
      </c>
      <c r="F393" t="s">
        <v>2074</v>
      </c>
      <c r="G393" t="s">
        <v>2079</v>
      </c>
      <c r="H393" t="s">
        <v>2080</v>
      </c>
      <c r="I393" t="s">
        <v>2081</v>
      </c>
      <c r="J393" t="s">
        <v>2084</v>
      </c>
      <c r="K393" t="s">
        <v>1429</v>
      </c>
      <c r="L393" t="s">
        <v>194</v>
      </c>
      <c r="BB393" t="s">
        <v>190</v>
      </c>
    </row>
    <row r="394" spans="1:54" hidden="1" x14ac:dyDescent="0.25">
      <c r="A394" t="s">
        <v>9</v>
      </c>
      <c r="B394" t="s">
        <v>194</v>
      </c>
      <c r="C394">
        <v>7</v>
      </c>
      <c r="D394" t="s">
        <v>195</v>
      </c>
      <c r="E394" t="s">
        <v>2073</v>
      </c>
      <c r="F394" t="s">
        <v>2074</v>
      </c>
      <c r="G394" t="s">
        <v>2079</v>
      </c>
      <c r="H394" t="s">
        <v>2080</v>
      </c>
      <c r="I394" t="s">
        <v>2081</v>
      </c>
      <c r="J394" t="s">
        <v>2084</v>
      </c>
      <c r="K394" t="s">
        <v>1429</v>
      </c>
      <c r="L394" t="s">
        <v>194</v>
      </c>
      <c r="BB394" t="s">
        <v>233</v>
      </c>
    </row>
    <row r="395" spans="1:54" hidden="1" x14ac:dyDescent="0.25">
      <c r="A395" t="s">
        <v>29</v>
      </c>
      <c r="B395" t="s">
        <v>194</v>
      </c>
      <c r="C395">
        <v>15</v>
      </c>
      <c r="D395" t="s">
        <v>195</v>
      </c>
      <c r="E395" t="s">
        <v>2073</v>
      </c>
      <c r="F395" t="s">
        <v>2074</v>
      </c>
      <c r="G395" t="s">
        <v>2079</v>
      </c>
      <c r="H395" t="s">
        <v>2080</v>
      </c>
      <c r="I395" t="s">
        <v>2081</v>
      </c>
      <c r="J395" t="s">
        <v>2084</v>
      </c>
      <c r="K395" t="s">
        <v>1429</v>
      </c>
      <c r="L395" t="s">
        <v>194</v>
      </c>
      <c r="BB395" t="s">
        <v>239</v>
      </c>
    </row>
    <row r="396" spans="1:54" hidden="1" x14ac:dyDescent="0.25">
      <c r="A396" t="s">
        <v>35</v>
      </c>
      <c r="B396" t="s">
        <v>194</v>
      </c>
      <c r="C396">
        <v>84</v>
      </c>
      <c r="D396" t="s">
        <v>195</v>
      </c>
      <c r="E396" t="s">
        <v>2073</v>
      </c>
      <c r="F396" t="s">
        <v>2074</v>
      </c>
      <c r="G396" t="s">
        <v>2079</v>
      </c>
      <c r="H396" t="s">
        <v>2080</v>
      </c>
      <c r="I396" t="s">
        <v>2081</v>
      </c>
      <c r="J396" t="s">
        <v>2084</v>
      </c>
      <c r="K396" t="s">
        <v>1429</v>
      </c>
      <c r="L396" t="s">
        <v>194</v>
      </c>
      <c r="BB396" t="s">
        <v>205</v>
      </c>
    </row>
    <row r="397" spans="1:54" hidden="1" x14ac:dyDescent="0.25">
      <c r="A397" t="s">
        <v>44</v>
      </c>
      <c r="B397" t="s">
        <v>194</v>
      </c>
      <c r="C397">
        <v>228</v>
      </c>
      <c r="D397" t="s">
        <v>195</v>
      </c>
      <c r="E397" t="s">
        <v>2073</v>
      </c>
      <c r="F397" t="s">
        <v>2074</v>
      </c>
      <c r="G397" t="s">
        <v>2079</v>
      </c>
      <c r="H397" t="s">
        <v>2080</v>
      </c>
      <c r="I397" t="s">
        <v>2081</v>
      </c>
      <c r="J397" t="s">
        <v>2084</v>
      </c>
      <c r="K397" t="s">
        <v>1429</v>
      </c>
      <c r="L397" t="s">
        <v>194</v>
      </c>
      <c r="BB397" t="s">
        <v>196</v>
      </c>
    </row>
    <row r="398" spans="1:54" hidden="1" x14ac:dyDescent="0.25">
      <c r="A398" t="s">
        <v>61</v>
      </c>
      <c r="B398" t="s">
        <v>194</v>
      </c>
      <c r="C398">
        <v>292</v>
      </c>
      <c r="D398" t="s">
        <v>195</v>
      </c>
      <c r="E398" t="s">
        <v>2073</v>
      </c>
      <c r="F398" t="s">
        <v>2074</v>
      </c>
      <c r="G398" t="s">
        <v>2079</v>
      </c>
      <c r="H398" t="s">
        <v>2080</v>
      </c>
      <c r="I398" t="s">
        <v>2081</v>
      </c>
      <c r="J398" t="s">
        <v>2084</v>
      </c>
      <c r="K398" t="s">
        <v>1429</v>
      </c>
      <c r="L398" t="s">
        <v>194</v>
      </c>
      <c r="BB398" t="s">
        <v>193</v>
      </c>
    </row>
    <row r="399" spans="1:54" hidden="1" x14ac:dyDescent="0.25">
      <c r="A399" t="s">
        <v>81</v>
      </c>
      <c r="B399" t="s">
        <v>194</v>
      </c>
      <c r="C399">
        <v>27</v>
      </c>
      <c r="D399" t="s">
        <v>195</v>
      </c>
      <c r="E399" t="s">
        <v>2073</v>
      </c>
      <c r="F399" t="s">
        <v>2074</v>
      </c>
      <c r="G399" t="s">
        <v>2079</v>
      </c>
      <c r="H399" t="s">
        <v>2080</v>
      </c>
      <c r="I399" t="s">
        <v>2081</v>
      </c>
      <c r="J399" t="s">
        <v>2084</v>
      </c>
      <c r="K399" t="s">
        <v>1429</v>
      </c>
      <c r="L399" t="s">
        <v>194</v>
      </c>
      <c r="BB399" t="s">
        <v>199</v>
      </c>
    </row>
    <row r="400" spans="1:54" hidden="1" x14ac:dyDescent="0.25">
      <c r="A400" t="s">
        <v>32</v>
      </c>
      <c r="B400" t="s">
        <v>194</v>
      </c>
      <c r="C400">
        <v>88</v>
      </c>
      <c r="D400" t="s">
        <v>195</v>
      </c>
      <c r="E400" t="s">
        <v>2073</v>
      </c>
      <c r="F400" t="s">
        <v>2074</v>
      </c>
      <c r="G400" t="s">
        <v>2079</v>
      </c>
      <c r="H400" t="s">
        <v>2080</v>
      </c>
      <c r="I400" t="s">
        <v>2081</v>
      </c>
      <c r="J400" t="s">
        <v>2084</v>
      </c>
      <c r="K400" t="s">
        <v>1429</v>
      </c>
      <c r="L400" t="s">
        <v>194</v>
      </c>
      <c r="BB400" t="s">
        <v>196</v>
      </c>
    </row>
    <row r="401" spans="1:54" hidden="1" x14ac:dyDescent="0.25">
      <c r="A401" t="s">
        <v>65</v>
      </c>
      <c r="B401" t="s">
        <v>194</v>
      </c>
      <c r="C401">
        <v>54</v>
      </c>
      <c r="D401" t="s">
        <v>195</v>
      </c>
      <c r="E401" t="s">
        <v>2073</v>
      </c>
      <c r="F401" t="s">
        <v>2074</v>
      </c>
      <c r="G401" t="s">
        <v>2079</v>
      </c>
      <c r="H401" t="s">
        <v>2080</v>
      </c>
      <c r="I401" t="s">
        <v>2081</v>
      </c>
      <c r="J401" t="s">
        <v>2084</v>
      </c>
      <c r="K401" t="s">
        <v>1429</v>
      </c>
      <c r="L401" t="s">
        <v>194</v>
      </c>
      <c r="BB401" t="s">
        <v>210</v>
      </c>
    </row>
    <row r="402" spans="1:54" hidden="1" x14ac:dyDescent="0.25">
      <c r="A402" t="s">
        <v>59</v>
      </c>
      <c r="B402" t="s">
        <v>194</v>
      </c>
      <c r="C402">
        <v>552</v>
      </c>
      <c r="D402" t="s">
        <v>195</v>
      </c>
      <c r="E402" t="s">
        <v>2073</v>
      </c>
      <c r="F402" t="s">
        <v>2074</v>
      </c>
      <c r="G402" t="s">
        <v>2079</v>
      </c>
      <c r="H402" t="s">
        <v>2080</v>
      </c>
      <c r="I402" t="s">
        <v>2081</v>
      </c>
      <c r="J402" t="s">
        <v>2084</v>
      </c>
      <c r="K402" t="s">
        <v>1429</v>
      </c>
      <c r="L402" t="s">
        <v>194</v>
      </c>
      <c r="BB402" t="s">
        <v>187</v>
      </c>
    </row>
    <row r="403" spans="1:54" hidden="1" x14ac:dyDescent="0.25">
      <c r="A403" t="s">
        <v>45</v>
      </c>
      <c r="B403" t="s">
        <v>194</v>
      </c>
      <c r="C403">
        <v>8</v>
      </c>
      <c r="D403" t="s">
        <v>195</v>
      </c>
      <c r="E403" t="s">
        <v>2073</v>
      </c>
      <c r="F403" t="s">
        <v>2074</v>
      </c>
      <c r="G403" t="s">
        <v>2079</v>
      </c>
      <c r="H403" t="s">
        <v>2080</v>
      </c>
      <c r="I403" t="s">
        <v>2081</v>
      </c>
      <c r="J403" t="s">
        <v>2084</v>
      </c>
      <c r="K403" t="s">
        <v>1429</v>
      </c>
      <c r="L403" t="s">
        <v>194</v>
      </c>
      <c r="BB403" t="s">
        <v>233</v>
      </c>
    </row>
    <row r="404" spans="1:54" hidden="1" x14ac:dyDescent="0.25">
      <c r="A404" t="s">
        <v>15</v>
      </c>
      <c r="B404" t="s">
        <v>194</v>
      </c>
      <c r="C404">
        <v>23</v>
      </c>
      <c r="D404" t="s">
        <v>195</v>
      </c>
      <c r="E404" t="s">
        <v>2073</v>
      </c>
      <c r="F404" t="s">
        <v>2074</v>
      </c>
      <c r="G404" t="s">
        <v>2079</v>
      </c>
      <c r="H404" t="s">
        <v>2080</v>
      </c>
      <c r="I404" t="s">
        <v>2081</v>
      </c>
      <c r="J404" t="s">
        <v>2084</v>
      </c>
      <c r="K404" t="s">
        <v>1429</v>
      </c>
      <c r="L404" t="s">
        <v>194</v>
      </c>
      <c r="BB404" t="s">
        <v>228</v>
      </c>
    </row>
    <row r="405" spans="1:54" hidden="1" x14ac:dyDescent="0.25">
      <c r="A405" t="s">
        <v>49</v>
      </c>
      <c r="B405" t="s">
        <v>194</v>
      </c>
      <c r="C405">
        <v>310</v>
      </c>
      <c r="D405" t="s">
        <v>195</v>
      </c>
      <c r="E405" t="s">
        <v>2073</v>
      </c>
      <c r="F405" t="s">
        <v>2074</v>
      </c>
      <c r="G405" t="s">
        <v>2079</v>
      </c>
      <c r="H405" t="s">
        <v>2080</v>
      </c>
      <c r="I405" t="s">
        <v>2081</v>
      </c>
      <c r="J405" t="s">
        <v>2084</v>
      </c>
      <c r="K405" t="s">
        <v>1429</v>
      </c>
      <c r="L405" t="s">
        <v>194</v>
      </c>
      <c r="BB405" t="s">
        <v>193</v>
      </c>
    </row>
    <row r="406" spans="1:54" hidden="1" x14ac:dyDescent="0.25">
      <c r="A406" t="s">
        <v>54</v>
      </c>
      <c r="B406" t="s">
        <v>194</v>
      </c>
      <c r="C406">
        <v>280</v>
      </c>
      <c r="D406" t="s">
        <v>195</v>
      </c>
      <c r="E406" t="s">
        <v>2073</v>
      </c>
      <c r="F406" t="s">
        <v>2074</v>
      </c>
      <c r="G406" t="s">
        <v>2079</v>
      </c>
      <c r="H406" t="s">
        <v>2080</v>
      </c>
      <c r="I406" t="s">
        <v>2081</v>
      </c>
      <c r="J406" t="s">
        <v>2084</v>
      </c>
      <c r="K406" t="s">
        <v>1429</v>
      </c>
      <c r="L406" t="s">
        <v>194</v>
      </c>
      <c r="BB406" t="s">
        <v>196</v>
      </c>
    </row>
    <row r="407" spans="1:54" hidden="1" x14ac:dyDescent="0.25">
      <c r="A407" t="s">
        <v>41</v>
      </c>
      <c r="B407" t="s">
        <v>194</v>
      </c>
      <c r="C407">
        <v>92</v>
      </c>
      <c r="D407" t="s">
        <v>195</v>
      </c>
      <c r="E407" t="s">
        <v>2073</v>
      </c>
      <c r="F407" t="s">
        <v>2074</v>
      </c>
      <c r="G407" t="s">
        <v>2079</v>
      </c>
      <c r="H407" t="s">
        <v>2080</v>
      </c>
      <c r="I407" t="s">
        <v>2081</v>
      </c>
      <c r="J407" t="s">
        <v>2084</v>
      </c>
      <c r="K407" t="s">
        <v>1429</v>
      </c>
      <c r="L407" t="s">
        <v>194</v>
      </c>
      <c r="BB407" t="s">
        <v>210</v>
      </c>
    </row>
    <row r="408" spans="1:54" hidden="1" x14ac:dyDescent="0.25">
      <c r="A408" t="s">
        <v>26</v>
      </c>
      <c r="B408" t="s">
        <v>194</v>
      </c>
      <c r="C408">
        <v>39</v>
      </c>
      <c r="D408" t="s">
        <v>195</v>
      </c>
      <c r="E408" t="s">
        <v>2073</v>
      </c>
      <c r="F408" t="s">
        <v>2074</v>
      </c>
      <c r="G408" t="s">
        <v>2079</v>
      </c>
      <c r="H408" t="s">
        <v>2080</v>
      </c>
      <c r="I408" t="s">
        <v>2081</v>
      </c>
      <c r="J408" t="s">
        <v>2084</v>
      </c>
      <c r="K408" t="s">
        <v>1429</v>
      </c>
      <c r="L408" t="s">
        <v>194</v>
      </c>
      <c r="BB408" t="s">
        <v>202</v>
      </c>
    </row>
    <row r="409" spans="1:54" hidden="1" x14ac:dyDescent="0.25">
      <c r="A409" t="s">
        <v>55</v>
      </c>
      <c r="B409" t="s">
        <v>194</v>
      </c>
      <c r="C409">
        <v>16</v>
      </c>
      <c r="D409" t="s">
        <v>195</v>
      </c>
      <c r="E409" t="s">
        <v>2073</v>
      </c>
      <c r="F409" t="s">
        <v>2074</v>
      </c>
      <c r="G409" t="s">
        <v>2079</v>
      </c>
      <c r="H409" t="s">
        <v>2080</v>
      </c>
      <c r="I409" t="s">
        <v>2081</v>
      </c>
      <c r="J409" t="s">
        <v>2084</v>
      </c>
      <c r="K409" t="s">
        <v>1429</v>
      </c>
      <c r="L409" t="s">
        <v>194</v>
      </c>
      <c r="BB409" t="s">
        <v>228</v>
      </c>
    </row>
    <row r="410" spans="1:54" hidden="1" x14ac:dyDescent="0.25">
      <c r="A410" t="s">
        <v>14</v>
      </c>
      <c r="B410" t="s">
        <v>194</v>
      </c>
      <c r="C410">
        <v>6</v>
      </c>
      <c r="D410" t="s">
        <v>195</v>
      </c>
      <c r="E410" t="s">
        <v>2073</v>
      </c>
      <c r="F410" t="s">
        <v>2074</v>
      </c>
      <c r="G410" t="s">
        <v>2079</v>
      </c>
      <c r="H410" t="s">
        <v>2080</v>
      </c>
      <c r="I410" t="s">
        <v>2081</v>
      </c>
      <c r="J410" t="s">
        <v>2084</v>
      </c>
      <c r="K410" t="s">
        <v>1429</v>
      </c>
      <c r="L410" t="s">
        <v>194</v>
      </c>
      <c r="BB410" t="s">
        <v>202</v>
      </c>
    </row>
    <row r="411" spans="1:54" hidden="1" x14ac:dyDescent="0.25">
      <c r="A411" t="s">
        <v>67</v>
      </c>
      <c r="B411" t="s">
        <v>194</v>
      </c>
      <c r="C411">
        <v>14</v>
      </c>
      <c r="D411" t="s">
        <v>195</v>
      </c>
      <c r="E411" t="s">
        <v>2073</v>
      </c>
      <c r="F411" t="s">
        <v>2074</v>
      </c>
      <c r="G411" t="s">
        <v>2079</v>
      </c>
      <c r="H411" t="s">
        <v>2080</v>
      </c>
      <c r="I411" t="s">
        <v>2081</v>
      </c>
      <c r="J411" t="s">
        <v>2084</v>
      </c>
      <c r="K411" t="s">
        <v>1429</v>
      </c>
      <c r="L411" t="s">
        <v>194</v>
      </c>
      <c r="BB411" t="s">
        <v>210</v>
      </c>
    </row>
    <row r="412" spans="1:54" hidden="1" x14ac:dyDescent="0.25">
      <c r="A412" t="s">
        <v>24</v>
      </c>
      <c r="B412" t="s">
        <v>194</v>
      </c>
      <c r="C412">
        <v>11</v>
      </c>
      <c r="D412" t="s">
        <v>195</v>
      </c>
      <c r="E412" t="s">
        <v>2073</v>
      </c>
      <c r="F412" t="s">
        <v>2074</v>
      </c>
      <c r="G412" t="s">
        <v>2079</v>
      </c>
      <c r="H412" t="s">
        <v>2080</v>
      </c>
      <c r="I412" t="s">
        <v>2081</v>
      </c>
      <c r="J412" t="s">
        <v>2084</v>
      </c>
      <c r="K412" t="s">
        <v>1429</v>
      </c>
      <c r="L412" t="s">
        <v>194</v>
      </c>
      <c r="BB412" t="s">
        <v>196</v>
      </c>
    </row>
    <row r="413" spans="1:54" hidden="1" x14ac:dyDescent="0.25">
      <c r="A413" t="s">
        <v>62</v>
      </c>
      <c r="B413" t="s">
        <v>194</v>
      </c>
      <c r="C413">
        <v>583</v>
      </c>
      <c r="D413" t="s">
        <v>195</v>
      </c>
      <c r="E413" t="s">
        <v>2073</v>
      </c>
      <c r="F413" t="s">
        <v>2074</v>
      </c>
      <c r="G413" t="s">
        <v>2079</v>
      </c>
      <c r="H413" t="s">
        <v>2080</v>
      </c>
      <c r="I413" t="s">
        <v>2081</v>
      </c>
      <c r="J413" t="s">
        <v>2084</v>
      </c>
      <c r="K413" t="s">
        <v>1429</v>
      </c>
      <c r="L413" t="s">
        <v>194</v>
      </c>
      <c r="BB413" t="s">
        <v>193</v>
      </c>
    </row>
    <row r="414" spans="1:54" hidden="1" x14ac:dyDescent="0.25">
      <c r="A414" t="s">
        <v>57</v>
      </c>
      <c r="B414" t="s">
        <v>194</v>
      </c>
      <c r="C414">
        <v>752</v>
      </c>
      <c r="D414" t="s">
        <v>195</v>
      </c>
      <c r="E414" t="s">
        <v>2073</v>
      </c>
      <c r="F414" t="s">
        <v>2074</v>
      </c>
      <c r="G414" t="s">
        <v>2079</v>
      </c>
      <c r="H414" t="s">
        <v>2080</v>
      </c>
      <c r="I414" t="s">
        <v>2081</v>
      </c>
      <c r="J414" t="s">
        <v>2084</v>
      </c>
      <c r="K414" t="s">
        <v>1429</v>
      </c>
      <c r="L414" t="s">
        <v>194</v>
      </c>
      <c r="BB414" t="s">
        <v>193</v>
      </c>
    </row>
    <row r="415" spans="1:54" hidden="1" x14ac:dyDescent="0.25">
      <c r="A415" t="s">
        <v>68</v>
      </c>
      <c r="B415" t="s">
        <v>194</v>
      </c>
      <c r="C415">
        <v>248</v>
      </c>
      <c r="D415" t="s">
        <v>195</v>
      </c>
      <c r="E415" t="s">
        <v>2073</v>
      </c>
      <c r="F415" t="s">
        <v>2074</v>
      </c>
      <c r="G415" t="s">
        <v>2079</v>
      </c>
      <c r="H415" t="s">
        <v>2080</v>
      </c>
      <c r="I415" t="s">
        <v>2081</v>
      </c>
      <c r="J415" t="s">
        <v>2084</v>
      </c>
      <c r="K415" t="s">
        <v>1429</v>
      </c>
      <c r="L415" t="s">
        <v>194</v>
      </c>
      <c r="BB415" t="s">
        <v>190</v>
      </c>
    </row>
    <row r="416" spans="1:54" hidden="1" x14ac:dyDescent="0.25">
      <c r="A416" t="s">
        <v>73</v>
      </c>
      <c r="B416" t="s">
        <v>194</v>
      </c>
      <c r="C416">
        <v>6855</v>
      </c>
      <c r="D416" t="s">
        <v>195</v>
      </c>
      <c r="E416" t="s">
        <v>2073</v>
      </c>
      <c r="F416" t="s">
        <v>2074</v>
      </c>
      <c r="G416" t="s">
        <v>2079</v>
      </c>
      <c r="H416" t="s">
        <v>2080</v>
      </c>
      <c r="I416" t="s">
        <v>2081</v>
      </c>
      <c r="J416" t="s">
        <v>2084</v>
      </c>
      <c r="K416" t="s">
        <v>1429</v>
      </c>
      <c r="L416" t="s">
        <v>194</v>
      </c>
      <c r="BB416" t="s">
        <v>207</v>
      </c>
    </row>
    <row r="417" spans="1:54" hidden="1" x14ac:dyDescent="0.25">
      <c r="A417" t="s">
        <v>36</v>
      </c>
      <c r="B417" t="s">
        <v>194</v>
      </c>
      <c r="C417">
        <v>45</v>
      </c>
      <c r="D417" t="s">
        <v>195</v>
      </c>
      <c r="E417" t="s">
        <v>2073</v>
      </c>
      <c r="F417" t="s">
        <v>2074</v>
      </c>
      <c r="G417" t="s">
        <v>2079</v>
      </c>
      <c r="H417" t="s">
        <v>2080</v>
      </c>
      <c r="I417" t="s">
        <v>2081</v>
      </c>
      <c r="J417" t="s">
        <v>2084</v>
      </c>
      <c r="K417" t="s">
        <v>1429</v>
      </c>
      <c r="L417" t="s">
        <v>194</v>
      </c>
      <c r="BB417" t="s">
        <v>210</v>
      </c>
    </row>
    <row r="418" spans="1:54" hidden="1" x14ac:dyDescent="0.25">
      <c r="A418" t="s">
        <v>60</v>
      </c>
      <c r="B418" t="s">
        <v>194</v>
      </c>
      <c r="C418">
        <v>97</v>
      </c>
      <c r="D418" t="s">
        <v>195</v>
      </c>
      <c r="E418" t="s">
        <v>2073</v>
      </c>
      <c r="F418" t="s">
        <v>2074</v>
      </c>
      <c r="G418" t="s">
        <v>2079</v>
      </c>
      <c r="H418" t="s">
        <v>2080</v>
      </c>
      <c r="I418" t="s">
        <v>2081</v>
      </c>
      <c r="J418" t="s">
        <v>2084</v>
      </c>
      <c r="K418" t="s">
        <v>1429</v>
      </c>
      <c r="L418" t="s">
        <v>194</v>
      </c>
      <c r="BB418" t="s">
        <v>187</v>
      </c>
    </row>
    <row r="419" spans="1:54" hidden="1" x14ac:dyDescent="0.25">
      <c r="A419" t="s">
        <v>91</v>
      </c>
      <c r="B419" t="s">
        <v>194</v>
      </c>
      <c r="C419">
        <v>96</v>
      </c>
      <c r="D419" t="s">
        <v>195</v>
      </c>
      <c r="E419" t="s">
        <v>2073</v>
      </c>
      <c r="F419" t="s">
        <v>2074</v>
      </c>
      <c r="G419" t="s">
        <v>2079</v>
      </c>
      <c r="H419" t="s">
        <v>2080</v>
      </c>
      <c r="I419" t="s">
        <v>2081</v>
      </c>
      <c r="J419" t="s">
        <v>2084</v>
      </c>
      <c r="K419" t="s">
        <v>1429</v>
      </c>
      <c r="L419" t="s">
        <v>194</v>
      </c>
      <c r="BB419" t="s">
        <v>244</v>
      </c>
    </row>
    <row r="420" spans="1:54" hidden="1" x14ac:dyDescent="0.25">
      <c r="A420" t="s">
        <v>23</v>
      </c>
      <c r="B420" t="s">
        <v>194</v>
      </c>
      <c r="C420">
        <v>40</v>
      </c>
      <c r="D420" t="s">
        <v>195</v>
      </c>
      <c r="E420" t="s">
        <v>2073</v>
      </c>
      <c r="F420" t="s">
        <v>2074</v>
      </c>
      <c r="G420" t="s">
        <v>2079</v>
      </c>
      <c r="H420" t="s">
        <v>2080</v>
      </c>
      <c r="I420" t="s">
        <v>2081</v>
      </c>
      <c r="J420" t="s">
        <v>2084</v>
      </c>
      <c r="K420" t="s">
        <v>1429</v>
      </c>
      <c r="L420" t="s">
        <v>194</v>
      </c>
      <c r="BB420" t="s">
        <v>196</v>
      </c>
    </row>
    <row r="421" spans="1:54" hidden="1" x14ac:dyDescent="0.25">
      <c r="A421" t="s">
        <v>21</v>
      </c>
      <c r="B421" t="s">
        <v>194</v>
      </c>
      <c r="C421">
        <v>10</v>
      </c>
      <c r="D421" t="s">
        <v>195</v>
      </c>
      <c r="E421" t="s">
        <v>2073</v>
      </c>
      <c r="F421" t="s">
        <v>2074</v>
      </c>
      <c r="G421" t="s">
        <v>2079</v>
      </c>
      <c r="H421" t="s">
        <v>2080</v>
      </c>
      <c r="I421" t="s">
        <v>2081</v>
      </c>
      <c r="J421" t="s">
        <v>2084</v>
      </c>
      <c r="K421" t="s">
        <v>1429</v>
      </c>
      <c r="L421" t="s">
        <v>194</v>
      </c>
      <c r="BB421" t="s">
        <v>193</v>
      </c>
    </row>
    <row r="422" spans="1:54" hidden="1" x14ac:dyDescent="0.25">
      <c r="A422" t="s">
        <v>85</v>
      </c>
      <c r="B422" t="s">
        <v>194</v>
      </c>
      <c r="C422">
        <v>13</v>
      </c>
      <c r="D422" t="s">
        <v>195</v>
      </c>
      <c r="E422" t="s">
        <v>2073</v>
      </c>
      <c r="F422" t="s">
        <v>2074</v>
      </c>
      <c r="G422" t="s">
        <v>2079</v>
      </c>
      <c r="H422" t="s">
        <v>2080</v>
      </c>
      <c r="I422" t="s">
        <v>2081</v>
      </c>
      <c r="J422" t="s">
        <v>2084</v>
      </c>
      <c r="K422" t="s">
        <v>1429</v>
      </c>
      <c r="L422" t="s">
        <v>194</v>
      </c>
      <c r="BB422" t="s">
        <v>190</v>
      </c>
    </row>
    <row r="423" spans="1:54" hidden="1" x14ac:dyDescent="0.25">
      <c r="A423" t="s">
        <v>6</v>
      </c>
      <c r="B423" t="s">
        <v>194</v>
      </c>
      <c r="C423">
        <v>519</v>
      </c>
      <c r="D423" t="s">
        <v>195</v>
      </c>
      <c r="E423" t="s">
        <v>2073</v>
      </c>
      <c r="F423" t="s">
        <v>2074</v>
      </c>
      <c r="G423" t="s">
        <v>2079</v>
      </c>
      <c r="H423" t="s">
        <v>2080</v>
      </c>
      <c r="I423" t="s">
        <v>2081</v>
      </c>
      <c r="J423" t="s">
        <v>2084</v>
      </c>
      <c r="K423" t="s">
        <v>1429</v>
      </c>
      <c r="L423" t="s">
        <v>194</v>
      </c>
      <c r="BB423" t="s">
        <v>187</v>
      </c>
    </row>
    <row r="424" spans="1:54" hidden="1" x14ac:dyDescent="0.25">
      <c r="A424" t="s">
        <v>12</v>
      </c>
      <c r="B424" t="s">
        <v>194</v>
      </c>
      <c r="C424">
        <v>501</v>
      </c>
      <c r="D424" t="s">
        <v>195</v>
      </c>
      <c r="E424" t="s">
        <v>2073</v>
      </c>
      <c r="F424" t="s">
        <v>2074</v>
      </c>
      <c r="G424" t="s">
        <v>2079</v>
      </c>
      <c r="H424" t="s">
        <v>2080</v>
      </c>
      <c r="I424" t="s">
        <v>2081</v>
      </c>
      <c r="J424" t="s">
        <v>2084</v>
      </c>
      <c r="K424" t="s">
        <v>1429</v>
      </c>
      <c r="L424" t="s">
        <v>194</v>
      </c>
      <c r="BB424" t="s">
        <v>207</v>
      </c>
    </row>
    <row r="425" spans="1:54" hidden="1" x14ac:dyDescent="0.25">
      <c r="A425" t="s">
        <v>92</v>
      </c>
      <c r="B425" t="s">
        <v>194</v>
      </c>
      <c r="C425">
        <v>158</v>
      </c>
      <c r="D425" t="s">
        <v>195</v>
      </c>
      <c r="E425" t="s">
        <v>2073</v>
      </c>
      <c r="F425" t="s">
        <v>2074</v>
      </c>
      <c r="G425" t="s">
        <v>2079</v>
      </c>
      <c r="H425" t="s">
        <v>2080</v>
      </c>
      <c r="I425" t="s">
        <v>2081</v>
      </c>
      <c r="J425" t="s">
        <v>2084</v>
      </c>
      <c r="K425" t="s">
        <v>1429</v>
      </c>
      <c r="L425" t="s">
        <v>194</v>
      </c>
      <c r="BB425" t="s">
        <v>210</v>
      </c>
    </row>
    <row r="426" spans="1:54" hidden="1" x14ac:dyDescent="0.25">
      <c r="A426" t="s">
        <v>53</v>
      </c>
      <c r="B426" t="s">
        <v>194</v>
      </c>
      <c r="C426">
        <v>281</v>
      </c>
      <c r="D426" t="s">
        <v>195</v>
      </c>
      <c r="E426" t="s">
        <v>2073</v>
      </c>
      <c r="F426" t="s">
        <v>2074</v>
      </c>
      <c r="G426" t="s">
        <v>2079</v>
      </c>
      <c r="H426" t="s">
        <v>2080</v>
      </c>
      <c r="I426" t="s">
        <v>2081</v>
      </c>
      <c r="J426" t="s">
        <v>2084</v>
      </c>
      <c r="K426" t="s">
        <v>1429</v>
      </c>
      <c r="L426" t="s">
        <v>194</v>
      </c>
      <c r="BB426" t="s">
        <v>196</v>
      </c>
    </row>
    <row r="427" spans="1:54" hidden="1" x14ac:dyDescent="0.25">
      <c r="A427" t="s">
        <v>76</v>
      </c>
      <c r="B427" t="s">
        <v>194</v>
      </c>
      <c r="C427">
        <v>424</v>
      </c>
      <c r="D427" t="s">
        <v>195</v>
      </c>
      <c r="E427" t="s">
        <v>2073</v>
      </c>
      <c r="F427" t="s">
        <v>2074</v>
      </c>
      <c r="G427" t="s">
        <v>2079</v>
      </c>
      <c r="H427" t="s">
        <v>2080</v>
      </c>
      <c r="I427" t="s">
        <v>2081</v>
      </c>
      <c r="J427" t="s">
        <v>2084</v>
      </c>
      <c r="K427" t="s">
        <v>1429</v>
      </c>
      <c r="L427" t="s">
        <v>194</v>
      </c>
      <c r="BB427" t="s">
        <v>202</v>
      </c>
    </row>
    <row r="428" spans="1:54" hidden="1" x14ac:dyDescent="0.25">
      <c r="A428" t="s">
        <v>90</v>
      </c>
      <c r="B428" t="s">
        <v>194</v>
      </c>
      <c r="C428">
        <v>359</v>
      </c>
      <c r="D428" t="s">
        <v>195</v>
      </c>
      <c r="E428" t="s">
        <v>2073</v>
      </c>
      <c r="F428" t="s">
        <v>2074</v>
      </c>
      <c r="G428" t="s">
        <v>2079</v>
      </c>
      <c r="H428" t="s">
        <v>2080</v>
      </c>
      <c r="I428" t="s">
        <v>2081</v>
      </c>
      <c r="J428" t="s">
        <v>2084</v>
      </c>
      <c r="K428" t="s">
        <v>1429</v>
      </c>
      <c r="L428" t="s">
        <v>194</v>
      </c>
      <c r="BB428" t="s">
        <v>205</v>
      </c>
    </row>
    <row r="429" spans="1:54" hidden="1" x14ac:dyDescent="0.25">
      <c r="A429" t="s">
        <v>16</v>
      </c>
      <c r="B429" t="s">
        <v>194</v>
      </c>
      <c r="C429">
        <v>67</v>
      </c>
      <c r="D429" t="s">
        <v>195</v>
      </c>
      <c r="E429" t="s">
        <v>2073</v>
      </c>
      <c r="F429" t="s">
        <v>2074</v>
      </c>
      <c r="G429" t="s">
        <v>2079</v>
      </c>
      <c r="H429" t="s">
        <v>2080</v>
      </c>
      <c r="I429" t="s">
        <v>2081</v>
      </c>
      <c r="J429" t="s">
        <v>2084</v>
      </c>
      <c r="K429" t="s">
        <v>1429</v>
      </c>
      <c r="L429" t="s">
        <v>194</v>
      </c>
      <c r="BB429" t="s">
        <v>222</v>
      </c>
    </row>
    <row r="430" spans="1:54" hidden="1" x14ac:dyDescent="0.25">
      <c r="A430" t="s">
        <v>69</v>
      </c>
      <c r="B430" t="s">
        <v>185</v>
      </c>
      <c r="C430">
        <v>7094</v>
      </c>
      <c r="D430" t="s">
        <v>186</v>
      </c>
      <c r="E430" t="s">
        <v>2073</v>
      </c>
      <c r="F430" t="s">
        <v>2074</v>
      </c>
      <c r="G430" t="s">
        <v>2075</v>
      </c>
      <c r="H430" t="s">
        <v>2076</v>
      </c>
      <c r="I430" t="s">
        <v>2077</v>
      </c>
      <c r="J430" t="s">
        <v>2078</v>
      </c>
      <c r="K430" t="s">
        <v>1419</v>
      </c>
      <c r="L430" t="s">
        <v>185</v>
      </c>
      <c r="BB430" t="s">
        <v>219</v>
      </c>
    </row>
    <row r="431" spans="1:54" hidden="1" x14ac:dyDescent="0.25">
      <c r="A431" t="s">
        <v>64</v>
      </c>
      <c r="B431" t="s">
        <v>185</v>
      </c>
      <c r="C431">
        <v>3296</v>
      </c>
      <c r="D431" t="s">
        <v>186</v>
      </c>
      <c r="E431" t="s">
        <v>2073</v>
      </c>
      <c r="F431" t="s">
        <v>2074</v>
      </c>
      <c r="G431" t="s">
        <v>2075</v>
      </c>
      <c r="H431" t="s">
        <v>2076</v>
      </c>
      <c r="I431" t="s">
        <v>2077</v>
      </c>
      <c r="J431" t="s">
        <v>2078</v>
      </c>
      <c r="K431" t="s">
        <v>1419</v>
      </c>
      <c r="L431" t="s">
        <v>185</v>
      </c>
      <c r="BB431" t="s">
        <v>193</v>
      </c>
    </row>
    <row r="432" spans="1:54" hidden="1" x14ac:dyDescent="0.25">
      <c r="A432" t="s">
        <v>88</v>
      </c>
      <c r="B432" t="s">
        <v>185</v>
      </c>
      <c r="C432">
        <v>2261</v>
      </c>
      <c r="D432" t="s">
        <v>186</v>
      </c>
      <c r="E432" t="s">
        <v>2073</v>
      </c>
      <c r="F432" t="s">
        <v>2074</v>
      </c>
      <c r="G432" t="s">
        <v>2075</v>
      </c>
      <c r="H432" t="s">
        <v>2076</v>
      </c>
      <c r="I432" t="s">
        <v>2077</v>
      </c>
      <c r="J432" t="s">
        <v>2078</v>
      </c>
      <c r="K432" t="s">
        <v>1419</v>
      </c>
      <c r="L432" t="s">
        <v>185</v>
      </c>
      <c r="BB432" t="s">
        <v>190</v>
      </c>
    </row>
    <row r="433" spans="1:54" hidden="1" x14ac:dyDescent="0.25">
      <c r="A433" t="s">
        <v>51</v>
      </c>
      <c r="B433" t="s">
        <v>185</v>
      </c>
      <c r="C433">
        <v>15603</v>
      </c>
      <c r="D433" t="s">
        <v>186</v>
      </c>
      <c r="E433" t="s">
        <v>2073</v>
      </c>
      <c r="F433" t="s">
        <v>2074</v>
      </c>
      <c r="G433" t="s">
        <v>2075</v>
      </c>
      <c r="H433" t="s">
        <v>2076</v>
      </c>
      <c r="I433" t="s">
        <v>2077</v>
      </c>
      <c r="J433" t="s">
        <v>2078</v>
      </c>
      <c r="K433" t="s">
        <v>1419</v>
      </c>
      <c r="L433" t="s">
        <v>185</v>
      </c>
      <c r="BB433" t="s">
        <v>187</v>
      </c>
    </row>
    <row r="434" spans="1:54" hidden="1" x14ac:dyDescent="0.25">
      <c r="A434" t="s">
        <v>84</v>
      </c>
      <c r="B434" t="s">
        <v>185</v>
      </c>
      <c r="C434">
        <v>8279</v>
      </c>
      <c r="D434" t="s">
        <v>186</v>
      </c>
      <c r="E434" t="s">
        <v>2073</v>
      </c>
      <c r="F434" t="s">
        <v>2074</v>
      </c>
      <c r="G434" t="s">
        <v>2075</v>
      </c>
      <c r="H434" t="s">
        <v>2076</v>
      </c>
      <c r="I434" t="s">
        <v>2077</v>
      </c>
      <c r="J434" t="s">
        <v>2078</v>
      </c>
      <c r="K434" t="s">
        <v>1419</v>
      </c>
      <c r="L434" t="s">
        <v>185</v>
      </c>
      <c r="BB434" t="s">
        <v>210</v>
      </c>
    </row>
    <row r="435" spans="1:54" hidden="1" x14ac:dyDescent="0.25">
      <c r="A435" t="s">
        <v>58</v>
      </c>
      <c r="B435" t="s">
        <v>185</v>
      </c>
      <c r="C435">
        <v>4633</v>
      </c>
      <c r="D435" t="s">
        <v>186</v>
      </c>
      <c r="E435" t="s">
        <v>2073</v>
      </c>
      <c r="F435" t="s">
        <v>2074</v>
      </c>
      <c r="G435" t="s">
        <v>2075</v>
      </c>
      <c r="H435" t="s">
        <v>2076</v>
      </c>
      <c r="I435" t="s">
        <v>2077</v>
      </c>
      <c r="J435" t="s">
        <v>2078</v>
      </c>
      <c r="K435" t="s">
        <v>1419</v>
      </c>
      <c r="L435" t="s">
        <v>185</v>
      </c>
      <c r="BB435" t="s">
        <v>207</v>
      </c>
    </row>
    <row r="436" spans="1:54" hidden="1" x14ac:dyDescent="0.25">
      <c r="A436" t="s">
        <v>79</v>
      </c>
      <c r="B436" t="s">
        <v>185</v>
      </c>
      <c r="C436">
        <v>2041</v>
      </c>
      <c r="D436" t="s">
        <v>186</v>
      </c>
      <c r="E436" t="s">
        <v>2073</v>
      </c>
      <c r="F436" t="s">
        <v>2074</v>
      </c>
      <c r="G436" t="s">
        <v>2075</v>
      </c>
      <c r="H436" t="s">
        <v>2076</v>
      </c>
      <c r="I436" t="s">
        <v>2077</v>
      </c>
      <c r="J436" t="s">
        <v>2078</v>
      </c>
      <c r="K436" t="s">
        <v>1419</v>
      </c>
      <c r="L436" t="s">
        <v>185</v>
      </c>
      <c r="BB436" t="s">
        <v>202</v>
      </c>
    </row>
    <row r="437" spans="1:54" hidden="1" x14ac:dyDescent="0.25">
      <c r="A437" t="s">
        <v>56</v>
      </c>
      <c r="B437" t="s">
        <v>185</v>
      </c>
      <c r="C437">
        <v>3967</v>
      </c>
      <c r="D437" t="s">
        <v>186</v>
      </c>
      <c r="E437" t="s">
        <v>2073</v>
      </c>
      <c r="F437" t="s">
        <v>2074</v>
      </c>
      <c r="G437" t="s">
        <v>2075</v>
      </c>
      <c r="H437" t="s">
        <v>2076</v>
      </c>
      <c r="I437" t="s">
        <v>2077</v>
      </c>
      <c r="J437" t="s">
        <v>2078</v>
      </c>
      <c r="K437" t="s">
        <v>1419</v>
      </c>
      <c r="L437" t="s">
        <v>185</v>
      </c>
      <c r="BB437" t="s">
        <v>205</v>
      </c>
    </row>
    <row r="438" spans="1:54" hidden="1" x14ac:dyDescent="0.25">
      <c r="A438" t="s">
        <v>19</v>
      </c>
      <c r="B438" t="s">
        <v>185</v>
      </c>
      <c r="C438">
        <v>8126</v>
      </c>
      <c r="D438" t="s">
        <v>186</v>
      </c>
      <c r="E438" t="s">
        <v>2073</v>
      </c>
      <c r="F438" t="s">
        <v>2074</v>
      </c>
      <c r="G438" t="s">
        <v>2075</v>
      </c>
      <c r="H438" t="s">
        <v>2076</v>
      </c>
      <c r="I438" t="s">
        <v>2077</v>
      </c>
      <c r="J438" t="s">
        <v>2078</v>
      </c>
      <c r="K438" t="s">
        <v>1419</v>
      </c>
      <c r="L438" t="s">
        <v>185</v>
      </c>
      <c r="BB438" t="s">
        <v>196</v>
      </c>
    </row>
    <row r="439" spans="1:54" hidden="1" x14ac:dyDescent="0.25">
      <c r="A439" t="s">
        <v>70</v>
      </c>
      <c r="B439" t="s">
        <v>185</v>
      </c>
      <c r="C439">
        <v>11578</v>
      </c>
      <c r="D439" t="s">
        <v>186</v>
      </c>
      <c r="E439" t="s">
        <v>2073</v>
      </c>
      <c r="F439" t="s">
        <v>2074</v>
      </c>
      <c r="G439" t="s">
        <v>2075</v>
      </c>
      <c r="H439" t="s">
        <v>2076</v>
      </c>
      <c r="I439" t="s">
        <v>2077</v>
      </c>
      <c r="J439" t="s">
        <v>2078</v>
      </c>
      <c r="K439" t="s">
        <v>1419</v>
      </c>
      <c r="L439" t="s">
        <v>185</v>
      </c>
      <c r="BB439" t="s">
        <v>219</v>
      </c>
    </row>
    <row r="440" spans="1:54" hidden="1" x14ac:dyDescent="0.25">
      <c r="A440" t="s">
        <v>83</v>
      </c>
      <c r="B440" t="s">
        <v>185</v>
      </c>
      <c r="C440">
        <v>6812</v>
      </c>
      <c r="D440" t="s">
        <v>186</v>
      </c>
      <c r="E440" t="s">
        <v>2073</v>
      </c>
      <c r="F440" t="s">
        <v>2074</v>
      </c>
      <c r="G440" t="s">
        <v>2075</v>
      </c>
      <c r="H440" t="s">
        <v>2076</v>
      </c>
      <c r="I440" t="s">
        <v>2077</v>
      </c>
      <c r="J440" t="s">
        <v>2078</v>
      </c>
      <c r="K440" t="s">
        <v>1419</v>
      </c>
      <c r="L440" t="s">
        <v>185</v>
      </c>
      <c r="BB440" t="s">
        <v>222</v>
      </c>
    </row>
    <row r="441" spans="1:54" hidden="1" x14ac:dyDescent="0.25">
      <c r="A441" t="s">
        <v>7</v>
      </c>
      <c r="B441" t="s">
        <v>185</v>
      </c>
      <c r="C441">
        <v>767</v>
      </c>
      <c r="D441" t="s">
        <v>186</v>
      </c>
      <c r="E441" t="s">
        <v>2073</v>
      </c>
      <c r="F441" t="s">
        <v>2074</v>
      </c>
      <c r="G441" t="s">
        <v>2075</v>
      </c>
      <c r="H441" t="s">
        <v>2076</v>
      </c>
      <c r="I441" t="s">
        <v>2077</v>
      </c>
      <c r="J441" t="s">
        <v>2078</v>
      </c>
      <c r="K441" t="s">
        <v>1419</v>
      </c>
      <c r="L441" t="s">
        <v>185</v>
      </c>
      <c r="BB441" t="s">
        <v>239</v>
      </c>
    </row>
    <row r="442" spans="1:54" hidden="1" x14ac:dyDescent="0.25">
      <c r="A442" t="s">
        <v>8</v>
      </c>
      <c r="B442" t="s">
        <v>185</v>
      </c>
      <c r="C442">
        <v>2991</v>
      </c>
      <c r="D442" t="s">
        <v>186</v>
      </c>
      <c r="E442" t="s">
        <v>2073</v>
      </c>
      <c r="F442" t="s">
        <v>2074</v>
      </c>
      <c r="G442" t="s">
        <v>2075</v>
      </c>
      <c r="H442" t="s">
        <v>2076</v>
      </c>
      <c r="I442" t="s">
        <v>2077</v>
      </c>
      <c r="J442" t="s">
        <v>2078</v>
      </c>
      <c r="K442" t="s">
        <v>1419</v>
      </c>
      <c r="L442" t="s">
        <v>185</v>
      </c>
      <c r="BB442" t="s">
        <v>216</v>
      </c>
    </row>
    <row r="443" spans="1:54" hidden="1" x14ac:dyDescent="0.25">
      <c r="A443" t="s">
        <v>11</v>
      </c>
      <c r="B443" t="s">
        <v>185</v>
      </c>
      <c r="C443">
        <v>6037</v>
      </c>
      <c r="D443" t="s">
        <v>186</v>
      </c>
      <c r="E443" t="s">
        <v>2073</v>
      </c>
      <c r="F443" t="s">
        <v>2074</v>
      </c>
      <c r="G443" t="s">
        <v>2075</v>
      </c>
      <c r="H443" t="s">
        <v>2076</v>
      </c>
      <c r="I443" t="s">
        <v>2077</v>
      </c>
      <c r="J443" t="s">
        <v>2078</v>
      </c>
      <c r="K443" t="s">
        <v>1419</v>
      </c>
      <c r="L443" t="s">
        <v>185</v>
      </c>
      <c r="BB443" t="s">
        <v>228</v>
      </c>
    </row>
    <row r="444" spans="1:54" hidden="1" x14ac:dyDescent="0.25">
      <c r="A444" t="s">
        <v>46</v>
      </c>
      <c r="B444" t="s">
        <v>185</v>
      </c>
      <c r="C444">
        <v>3680</v>
      </c>
      <c r="D444" t="s">
        <v>186</v>
      </c>
      <c r="E444" t="s">
        <v>2073</v>
      </c>
      <c r="F444" t="s">
        <v>2074</v>
      </c>
      <c r="G444" t="s">
        <v>2075</v>
      </c>
      <c r="H444" t="s">
        <v>2076</v>
      </c>
      <c r="I444" t="s">
        <v>2077</v>
      </c>
      <c r="J444" t="s">
        <v>2078</v>
      </c>
      <c r="K444" t="s">
        <v>1419</v>
      </c>
      <c r="L444" t="s">
        <v>185</v>
      </c>
      <c r="BB444" t="s">
        <v>193</v>
      </c>
    </row>
    <row r="445" spans="1:54" hidden="1" x14ac:dyDescent="0.25">
      <c r="A445" t="s">
        <v>28</v>
      </c>
      <c r="B445" t="s">
        <v>185</v>
      </c>
      <c r="C445">
        <v>2612</v>
      </c>
      <c r="D445" t="s">
        <v>186</v>
      </c>
      <c r="E445" t="s">
        <v>2073</v>
      </c>
      <c r="F445" t="s">
        <v>2074</v>
      </c>
      <c r="G445" t="s">
        <v>2075</v>
      </c>
      <c r="H445" t="s">
        <v>2076</v>
      </c>
      <c r="I445" t="s">
        <v>2077</v>
      </c>
      <c r="J445" t="s">
        <v>2078</v>
      </c>
      <c r="K445" t="s">
        <v>1419</v>
      </c>
      <c r="L445" t="s">
        <v>185</v>
      </c>
      <c r="BB445" t="s">
        <v>190</v>
      </c>
    </row>
    <row r="446" spans="1:54" hidden="1" x14ac:dyDescent="0.25">
      <c r="A446" t="s">
        <v>39</v>
      </c>
      <c r="B446" t="s">
        <v>185</v>
      </c>
      <c r="C446">
        <v>1439</v>
      </c>
      <c r="D446" t="s">
        <v>186</v>
      </c>
      <c r="E446" t="s">
        <v>2073</v>
      </c>
      <c r="F446" t="s">
        <v>2074</v>
      </c>
      <c r="G446" t="s">
        <v>2075</v>
      </c>
      <c r="H446" t="s">
        <v>2076</v>
      </c>
      <c r="I446" t="s">
        <v>2077</v>
      </c>
      <c r="J446" t="s">
        <v>2078</v>
      </c>
      <c r="K446" t="s">
        <v>1419</v>
      </c>
      <c r="L446" t="s">
        <v>185</v>
      </c>
      <c r="BB446" t="s">
        <v>207</v>
      </c>
    </row>
    <row r="447" spans="1:54" hidden="1" x14ac:dyDescent="0.25">
      <c r="A447" t="s">
        <v>75</v>
      </c>
      <c r="B447" t="s">
        <v>185</v>
      </c>
      <c r="C447">
        <v>1517</v>
      </c>
      <c r="D447" t="s">
        <v>186</v>
      </c>
      <c r="E447" t="s">
        <v>2073</v>
      </c>
      <c r="F447" t="s">
        <v>2074</v>
      </c>
      <c r="G447" t="s">
        <v>2075</v>
      </c>
      <c r="H447" t="s">
        <v>2076</v>
      </c>
      <c r="I447" t="s">
        <v>2077</v>
      </c>
      <c r="J447" t="s">
        <v>2078</v>
      </c>
      <c r="K447" t="s">
        <v>1419</v>
      </c>
      <c r="L447" t="s">
        <v>185</v>
      </c>
      <c r="BB447" t="s">
        <v>205</v>
      </c>
    </row>
    <row r="448" spans="1:54" hidden="1" x14ac:dyDescent="0.25">
      <c r="A448" t="s">
        <v>50</v>
      </c>
      <c r="B448" t="s">
        <v>185</v>
      </c>
      <c r="C448">
        <v>12247</v>
      </c>
      <c r="D448" t="s">
        <v>186</v>
      </c>
      <c r="E448" t="s">
        <v>2073</v>
      </c>
      <c r="F448" t="s">
        <v>2074</v>
      </c>
      <c r="G448" t="s">
        <v>2075</v>
      </c>
      <c r="H448" t="s">
        <v>2076</v>
      </c>
      <c r="I448" t="s">
        <v>2077</v>
      </c>
      <c r="J448" t="s">
        <v>2078</v>
      </c>
      <c r="K448" t="s">
        <v>1419</v>
      </c>
      <c r="L448" t="s">
        <v>185</v>
      </c>
      <c r="BB448" t="s">
        <v>187</v>
      </c>
    </row>
    <row r="449" spans="1:54" hidden="1" x14ac:dyDescent="0.25">
      <c r="A449" t="s">
        <v>74</v>
      </c>
      <c r="B449" t="s">
        <v>185</v>
      </c>
      <c r="C449">
        <v>7721</v>
      </c>
      <c r="D449" t="s">
        <v>186</v>
      </c>
      <c r="E449" t="s">
        <v>2073</v>
      </c>
      <c r="F449" t="s">
        <v>2074</v>
      </c>
      <c r="G449" t="s">
        <v>2075</v>
      </c>
      <c r="H449" t="s">
        <v>2076</v>
      </c>
      <c r="I449" t="s">
        <v>2077</v>
      </c>
      <c r="J449" t="s">
        <v>2078</v>
      </c>
      <c r="K449" t="s">
        <v>1419</v>
      </c>
      <c r="L449" t="s">
        <v>185</v>
      </c>
      <c r="BB449" t="s">
        <v>196</v>
      </c>
    </row>
    <row r="450" spans="1:54" hidden="1" x14ac:dyDescent="0.25">
      <c r="A450" t="s">
        <v>48</v>
      </c>
      <c r="B450" t="s">
        <v>185</v>
      </c>
      <c r="C450">
        <v>7433</v>
      </c>
      <c r="D450" t="s">
        <v>186</v>
      </c>
      <c r="E450" t="s">
        <v>2073</v>
      </c>
      <c r="F450" t="s">
        <v>2074</v>
      </c>
      <c r="G450" t="s">
        <v>2075</v>
      </c>
      <c r="H450" t="s">
        <v>2076</v>
      </c>
      <c r="I450" t="s">
        <v>2077</v>
      </c>
      <c r="J450" t="s">
        <v>2078</v>
      </c>
      <c r="K450" t="s">
        <v>1419</v>
      </c>
      <c r="L450" t="s">
        <v>185</v>
      </c>
      <c r="BB450" t="s">
        <v>210</v>
      </c>
    </row>
    <row r="451" spans="1:54" hidden="1" x14ac:dyDescent="0.25">
      <c r="A451" t="s">
        <v>43</v>
      </c>
      <c r="B451" t="s">
        <v>185</v>
      </c>
      <c r="C451">
        <v>7864</v>
      </c>
      <c r="D451" t="s">
        <v>186</v>
      </c>
      <c r="E451" t="s">
        <v>2073</v>
      </c>
      <c r="F451" t="s">
        <v>2074</v>
      </c>
      <c r="G451" t="s">
        <v>2075</v>
      </c>
      <c r="H451" t="s">
        <v>2076</v>
      </c>
      <c r="I451" t="s">
        <v>2077</v>
      </c>
      <c r="J451" t="s">
        <v>2078</v>
      </c>
      <c r="K451" t="s">
        <v>1419</v>
      </c>
      <c r="L451" t="s">
        <v>185</v>
      </c>
      <c r="BB451" t="s">
        <v>216</v>
      </c>
    </row>
    <row r="452" spans="1:54" hidden="1" x14ac:dyDescent="0.25">
      <c r="A452" t="s">
        <v>31</v>
      </c>
      <c r="B452" t="s">
        <v>185</v>
      </c>
      <c r="C452">
        <v>77</v>
      </c>
      <c r="D452" t="s">
        <v>186</v>
      </c>
      <c r="E452" t="s">
        <v>2073</v>
      </c>
      <c r="F452" t="s">
        <v>2074</v>
      </c>
      <c r="G452" t="s">
        <v>2075</v>
      </c>
      <c r="H452" t="s">
        <v>2076</v>
      </c>
      <c r="I452" t="s">
        <v>2077</v>
      </c>
      <c r="J452" t="s">
        <v>2078</v>
      </c>
      <c r="K452" t="s">
        <v>1419</v>
      </c>
      <c r="L452" t="s">
        <v>185</v>
      </c>
      <c r="BB452" t="s">
        <v>202</v>
      </c>
    </row>
    <row r="453" spans="1:54" hidden="1" x14ac:dyDescent="0.25">
      <c r="A453" t="s">
        <v>40</v>
      </c>
      <c r="B453" t="s">
        <v>185</v>
      </c>
      <c r="C453">
        <v>637</v>
      </c>
      <c r="D453" t="s">
        <v>186</v>
      </c>
      <c r="E453" t="s">
        <v>2073</v>
      </c>
      <c r="F453" t="s">
        <v>2074</v>
      </c>
      <c r="G453" t="s">
        <v>2075</v>
      </c>
      <c r="H453" t="s">
        <v>2076</v>
      </c>
      <c r="I453" t="s">
        <v>2077</v>
      </c>
      <c r="J453" t="s">
        <v>2078</v>
      </c>
      <c r="K453" t="s">
        <v>1419</v>
      </c>
      <c r="L453" t="s">
        <v>185</v>
      </c>
      <c r="BB453" t="s">
        <v>219</v>
      </c>
    </row>
    <row r="454" spans="1:54" hidden="1" x14ac:dyDescent="0.25">
      <c r="A454" t="s">
        <v>42</v>
      </c>
      <c r="B454" t="s">
        <v>185</v>
      </c>
      <c r="C454">
        <v>305</v>
      </c>
      <c r="D454" t="s">
        <v>186</v>
      </c>
      <c r="E454" t="s">
        <v>2073</v>
      </c>
      <c r="F454" t="s">
        <v>2074</v>
      </c>
      <c r="G454" t="s">
        <v>2075</v>
      </c>
      <c r="H454" t="s">
        <v>2076</v>
      </c>
      <c r="I454" t="s">
        <v>2077</v>
      </c>
      <c r="J454" t="s">
        <v>2078</v>
      </c>
      <c r="K454" t="s">
        <v>1419</v>
      </c>
      <c r="L454" t="s">
        <v>185</v>
      </c>
      <c r="BB454" t="s">
        <v>222</v>
      </c>
    </row>
    <row r="455" spans="1:54" hidden="1" x14ac:dyDescent="0.25">
      <c r="A455" t="s">
        <v>80</v>
      </c>
      <c r="B455" t="s">
        <v>185</v>
      </c>
      <c r="C455">
        <v>8631</v>
      </c>
      <c r="D455" t="s">
        <v>186</v>
      </c>
      <c r="E455" t="s">
        <v>2073</v>
      </c>
      <c r="F455" t="s">
        <v>2074</v>
      </c>
      <c r="G455" t="s">
        <v>2075</v>
      </c>
      <c r="H455" t="s">
        <v>2076</v>
      </c>
      <c r="I455" t="s">
        <v>2077</v>
      </c>
      <c r="J455" t="s">
        <v>2078</v>
      </c>
      <c r="K455" t="s">
        <v>1419</v>
      </c>
      <c r="L455" t="s">
        <v>185</v>
      </c>
      <c r="BB455" t="s">
        <v>187</v>
      </c>
    </row>
    <row r="456" spans="1:54" hidden="1" x14ac:dyDescent="0.25">
      <c r="A456" t="s">
        <v>37</v>
      </c>
      <c r="B456" t="s">
        <v>185</v>
      </c>
      <c r="C456">
        <v>8169</v>
      </c>
      <c r="D456" t="s">
        <v>186</v>
      </c>
      <c r="E456" t="s">
        <v>2073</v>
      </c>
      <c r="F456" t="s">
        <v>2074</v>
      </c>
      <c r="G456" t="s">
        <v>2075</v>
      </c>
      <c r="H456" t="s">
        <v>2076</v>
      </c>
      <c r="I456" t="s">
        <v>2077</v>
      </c>
      <c r="J456" t="s">
        <v>2078</v>
      </c>
      <c r="K456" t="s">
        <v>1419</v>
      </c>
      <c r="L456" t="s">
        <v>185</v>
      </c>
      <c r="BB456" t="s">
        <v>193</v>
      </c>
    </row>
    <row r="457" spans="1:54" hidden="1" x14ac:dyDescent="0.25">
      <c r="A457" t="s">
        <v>18</v>
      </c>
      <c r="B457" t="s">
        <v>185</v>
      </c>
      <c r="C457">
        <v>5567</v>
      </c>
      <c r="D457" t="s">
        <v>186</v>
      </c>
      <c r="E457" t="s">
        <v>2073</v>
      </c>
      <c r="F457" t="s">
        <v>2074</v>
      </c>
      <c r="G457" t="s">
        <v>2075</v>
      </c>
      <c r="H457" t="s">
        <v>2076</v>
      </c>
      <c r="I457" t="s">
        <v>2077</v>
      </c>
      <c r="J457" t="s">
        <v>2078</v>
      </c>
      <c r="K457" t="s">
        <v>1419</v>
      </c>
      <c r="L457" t="s">
        <v>185</v>
      </c>
      <c r="BB457" t="s">
        <v>210</v>
      </c>
    </row>
    <row r="458" spans="1:54" hidden="1" x14ac:dyDescent="0.25">
      <c r="A458" t="s">
        <v>89</v>
      </c>
      <c r="B458" t="s">
        <v>185</v>
      </c>
      <c r="C458">
        <v>5834</v>
      </c>
      <c r="D458" t="s">
        <v>186</v>
      </c>
      <c r="E458" t="s">
        <v>2073</v>
      </c>
      <c r="F458" t="s">
        <v>2074</v>
      </c>
      <c r="G458" t="s">
        <v>2075</v>
      </c>
      <c r="H458" t="s">
        <v>2076</v>
      </c>
      <c r="I458" t="s">
        <v>2077</v>
      </c>
      <c r="J458" t="s">
        <v>2078</v>
      </c>
      <c r="K458" t="s">
        <v>1419</v>
      </c>
      <c r="L458" t="s">
        <v>185</v>
      </c>
      <c r="BB458" t="s">
        <v>199</v>
      </c>
    </row>
    <row r="459" spans="1:54" hidden="1" x14ac:dyDescent="0.25">
      <c r="A459" t="s">
        <v>87</v>
      </c>
      <c r="B459" t="s">
        <v>185</v>
      </c>
      <c r="C459">
        <v>2014</v>
      </c>
      <c r="D459" t="s">
        <v>186</v>
      </c>
      <c r="E459" t="s">
        <v>2073</v>
      </c>
      <c r="F459" t="s">
        <v>2074</v>
      </c>
      <c r="G459" t="s">
        <v>2075</v>
      </c>
      <c r="H459" t="s">
        <v>2076</v>
      </c>
      <c r="I459" t="s">
        <v>2077</v>
      </c>
      <c r="J459" t="s">
        <v>2078</v>
      </c>
      <c r="K459" t="s">
        <v>1419</v>
      </c>
      <c r="L459" t="s">
        <v>185</v>
      </c>
      <c r="BB459" t="s">
        <v>190</v>
      </c>
    </row>
    <row r="460" spans="1:54" hidden="1" x14ac:dyDescent="0.25">
      <c r="A460" t="s">
        <v>93</v>
      </c>
      <c r="B460" t="s">
        <v>185</v>
      </c>
      <c r="C460">
        <v>10189</v>
      </c>
      <c r="D460" t="s">
        <v>186</v>
      </c>
      <c r="E460" t="s">
        <v>2073</v>
      </c>
      <c r="F460" t="s">
        <v>2074</v>
      </c>
      <c r="G460" t="s">
        <v>2075</v>
      </c>
      <c r="H460" t="s">
        <v>2076</v>
      </c>
      <c r="I460" t="s">
        <v>2077</v>
      </c>
      <c r="J460" t="s">
        <v>2078</v>
      </c>
      <c r="K460" t="s">
        <v>1419</v>
      </c>
      <c r="L460" t="s">
        <v>185</v>
      </c>
      <c r="BB460" t="s">
        <v>205</v>
      </c>
    </row>
    <row r="461" spans="1:54" hidden="1" x14ac:dyDescent="0.25">
      <c r="A461" t="s">
        <v>10</v>
      </c>
      <c r="B461" t="s">
        <v>185</v>
      </c>
      <c r="C461">
        <v>2589</v>
      </c>
      <c r="D461" t="s">
        <v>186</v>
      </c>
      <c r="E461" t="s">
        <v>2073</v>
      </c>
      <c r="F461" t="s">
        <v>2074</v>
      </c>
      <c r="G461" t="s">
        <v>2075</v>
      </c>
      <c r="H461" t="s">
        <v>2076</v>
      </c>
      <c r="I461" t="s">
        <v>2077</v>
      </c>
      <c r="J461" t="s">
        <v>2078</v>
      </c>
      <c r="K461" t="s">
        <v>1419</v>
      </c>
      <c r="L461" t="s">
        <v>185</v>
      </c>
      <c r="BB461" t="s">
        <v>228</v>
      </c>
    </row>
    <row r="462" spans="1:54" hidden="1" x14ac:dyDescent="0.25">
      <c r="A462" t="s">
        <v>20</v>
      </c>
      <c r="B462" t="s">
        <v>185</v>
      </c>
      <c r="C462">
        <v>2067</v>
      </c>
      <c r="D462" t="s">
        <v>186</v>
      </c>
      <c r="E462" t="s">
        <v>2073</v>
      </c>
      <c r="F462" t="s">
        <v>2074</v>
      </c>
      <c r="G462" t="s">
        <v>2075</v>
      </c>
      <c r="H462" t="s">
        <v>2076</v>
      </c>
      <c r="I462" t="s">
        <v>2077</v>
      </c>
      <c r="J462" t="s">
        <v>2078</v>
      </c>
      <c r="K462" t="s">
        <v>1419</v>
      </c>
      <c r="L462" t="s">
        <v>185</v>
      </c>
      <c r="BB462" t="s">
        <v>216</v>
      </c>
    </row>
    <row r="463" spans="1:54" hidden="1" x14ac:dyDescent="0.25">
      <c r="A463" t="s">
        <v>17</v>
      </c>
      <c r="B463" t="s">
        <v>185</v>
      </c>
      <c r="C463">
        <v>1023</v>
      </c>
      <c r="D463" t="s">
        <v>186</v>
      </c>
      <c r="E463" t="s">
        <v>2073</v>
      </c>
      <c r="F463" t="s">
        <v>2074</v>
      </c>
      <c r="G463" t="s">
        <v>2075</v>
      </c>
      <c r="H463" t="s">
        <v>2076</v>
      </c>
      <c r="I463" t="s">
        <v>2077</v>
      </c>
      <c r="J463" t="s">
        <v>2078</v>
      </c>
      <c r="K463" t="s">
        <v>1419</v>
      </c>
      <c r="L463" t="s">
        <v>185</v>
      </c>
      <c r="BB463" t="s">
        <v>193</v>
      </c>
    </row>
    <row r="464" spans="1:54" hidden="1" x14ac:dyDescent="0.25">
      <c r="A464" t="s">
        <v>66</v>
      </c>
      <c r="B464" t="s">
        <v>185</v>
      </c>
      <c r="C464">
        <v>801</v>
      </c>
      <c r="D464" t="s">
        <v>186</v>
      </c>
      <c r="E464" t="s">
        <v>2073</v>
      </c>
      <c r="F464" t="s">
        <v>2074</v>
      </c>
      <c r="G464" t="s">
        <v>2075</v>
      </c>
      <c r="H464" t="s">
        <v>2076</v>
      </c>
      <c r="I464" t="s">
        <v>2077</v>
      </c>
      <c r="J464" t="s">
        <v>2078</v>
      </c>
      <c r="K464" t="s">
        <v>1419</v>
      </c>
      <c r="L464" t="s">
        <v>185</v>
      </c>
      <c r="BB464" t="s">
        <v>187</v>
      </c>
    </row>
    <row r="465" spans="1:54" hidden="1" x14ac:dyDescent="0.25">
      <c r="A465" t="s">
        <v>9</v>
      </c>
      <c r="B465" t="s">
        <v>185</v>
      </c>
      <c r="C465">
        <v>872</v>
      </c>
      <c r="D465" t="s">
        <v>186</v>
      </c>
      <c r="E465" t="s">
        <v>2073</v>
      </c>
      <c r="F465" t="s">
        <v>2074</v>
      </c>
      <c r="G465" t="s">
        <v>2075</v>
      </c>
      <c r="H465" t="s">
        <v>2076</v>
      </c>
      <c r="I465" t="s">
        <v>2077</v>
      </c>
      <c r="J465" t="s">
        <v>2078</v>
      </c>
      <c r="K465" t="s">
        <v>1419</v>
      </c>
      <c r="L465" t="s">
        <v>185</v>
      </c>
      <c r="BB465" t="s">
        <v>210</v>
      </c>
    </row>
    <row r="466" spans="1:54" hidden="1" x14ac:dyDescent="0.25">
      <c r="A466" t="s">
        <v>30</v>
      </c>
      <c r="B466" t="s">
        <v>185</v>
      </c>
      <c r="C466">
        <v>5617</v>
      </c>
      <c r="D466" t="s">
        <v>186</v>
      </c>
      <c r="E466" t="s">
        <v>2073</v>
      </c>
      <c r="F466" t="s">
        <v>2074</v>
      </c>
      <c r="G466" t="s">
        <v>2075</v>
      </c>
      <c r="H466" t="s">
        <v>2076</v>
      </c>
      <c r="I466" t="s">
        <v>2077</v>
      </c>
      <c r="J466" t="s">
        <v>2078</v>
      </c>
      <c r="K466" t="s">
        <v>1419</v>
      </c>
      <c r="L466" t="s">
        <v>185</v>
      </c>
      <c r="BB466" t="s">
        <v>216</v>
      </c>
    </row>
    <row r="467" spans="1:54" hidden="1" x14ac:dyDescent="0.25">
      <c r="A467" t="s">
        <v>33</v>
      </c>
      <c r="B467" t="s">
        <v>185</v>
      </c>
      <c r="C467">
        <v>4238</v>
      </c>
      <c r="D467" t="s">
        <v>186</v>
      </c>
      <c r="E467" t="s">
        <v>2073</v>
      </c>
      <c r="F467" t="s">
        <v>2074</v>
      </c>
      <c r="G467" t="s">
        <v>2075</v>
      </c>
      <c r="H467" t="s">
        <v>2076</v>
      </c>
      <c r="I467" t="s">
        <v>2077</v>
      </c>
      <c r="J467" t="s">
        <v>2078</v>
      </c>
      <c r="K467" t="s">
        <v>1419</v>
      </c>
      <c r="L467" t="s">
        <v>185</v>
      </c>
      <c r="BB467" t="s">
        <v>205</v>
      </c>
    </row>
    <row r="468" spans="1:54" hidden="1" x14ac:dyDescent="0.25">
      <c r="A468" t="s">
        <v>25</v>
      </c>
      <c r="B468" t="s">
        <v>185</v>
      </c>
      <c r="C468">
        <v>4118</v>
      </c>
      <c r="D468" t="s">
        <v>186</v>
      </c>
      <c r="E468" t="s">
        <v>2073</v>
      </c>
      <c r="F468" t="s">
        <v>2074</v>
      </c>
      <c r="G468" t="s">
        <v>2075</v>
      </c>
      <c r="H468" t="s">
        <v>2076</v>
      </c>
      <c r="I468" t="s">
        <v>2077</v>
      </c>
      <c r="J468" t="s">
        <v>2078</v>
      </c>
      <c r="K468" t="s">
        <v>1419</v>
      </c>
      <c r="L468" t="s">
        <v>185</v>
      </c>
      <c r="BB468" t="s">
        <v>219</v>
      </c>
    </row>
    <row r="469" spans="1:54" hidden="1" x14ac:dyDescent="0.25">
      <c r="A469" t="s">
        <v>29</v>
      </c>
      <c r="B469" t="s">
        <v>185</v>
      </c>
      <c r="C469">
        <v>4390</v>
      </c>
      <c r="D469" t="s">
        <v>186</v>
      </c>
      <c r="E469" t="s">
        <v>2073</v>
      </c>
      <c r="F469" t="s">
        <v>2074</v>
      </c>
      <c r="G469" t="s">
        <v>2075</v>
      </c>
      <c r="H469" t="s">
        <v>2076</v>
      </c>
      <c r="I469" t="s">
        <v>2077</v>
      </c>
      <c r="J469" t="s">
        <v>2078</v>
      </c>
      <c r="K469" t="s">
        <v>1419</v>
      </c>
      <c r="L469" t="s">
        <v>185</v>
      </c>
      <c r="BB469" t="s">
        <v>202</v>
      </c>
    </row>
    <row r="470" spans="1:54" hidden="1" x14ac:dyDescent="0.25">
      <c r="A470" t="s">
        <v>35</v>
      </c>
      <c r="B470" t="s">
        <v>185</v>
      </c>
      <c r="C470">
        <v>64</v>
      </c>
      <c r="D470" t="s">
        <v>186</v>
      </c>
      <c r="E470" t="s">
        <v>2073</v>
      </c>
      <c r="F470" t="s">
        <v>2074</v>
      </c>
      <c r="G470" t="s">
        <v>2075</v>
      </c>
      <c r="H470" t="s">
        <v>2076</v>
      </c>
      <c r="I470" t="s">
        <v>2077</v>
      </c>
      <c r="J470" t="s">
        <v>2078</v>
      </c>
      <c r="K470" t="s">
        <v>1419</v>
      </c>
      <c r="L470" t="s">
        <v>185</v>
      </c>
      <c r="BB470" t="s">
        <v>190</v>
      </c>
    </row>
    <row r="471" spans="1:54" hidden="1" x14ac:dyDescent="0.25">
      <c r="A471" t="s">
        <v>81</v>
      </c>
      <c r="B471" t="s">
        <v>185</v>
      </c>
      <c r="C471">
        <v>320</v>
      </c>
      <c r="D471" t="s">
        <v>186</v>
      </c>
      <c r="E471" t="s">
        <v>2073</v>
      </c>
      <c r="F471" t="s">
        <v>2074</v>
      </c>
      <c r="G471" t="s">
        <v>2075</v>
      </c>
      <c r="H471" t="s">
        <v>2076</v>
      </c>
      <c r="I471" t="s">
        <v>2077</v>
      </c>
      <c r="J471" t="s">
        <v>2078</v>
      </c>
      <c r="K471" t="s">
        <v>1419</v>
      </c>
      <c r="L471" t="s">
        <v>185</v>
      </c>
      <c r="BB471" t="s">
        <v>222</v>
      </c>
    </row>
    <row r="472" spans="1:54" hidden="1" x14ac:dyDescent="0.25">
      <c r="A472" t="s">
        <v>32</v>
      </c>
      <c r="B472" t="s">
        <v>185</v>
      </c>
      <c r="C472">
        <v>1412</v>
      </c>
      <c r="D472" t="s">
        <v>186</v>
      </c>
      <c r="E472" t="s">
        <v>2073</v>
      </c>
      <c r="F472" t="s">
        <v>2074</v>
      </c>
      <c r="G472" t="s">
        <v>2075</v>
      </c>
      <c r="H472" t="s">
        <v>2076</v>
      </c>
      <c r="I472" t="s">
        <v>2077</v>
      </c>
      <c r="J472" t="s">
        <v>2078</v>
      </c>
      <c r="K472" t="s">
        <v>1419</v>
      </c>
      <c r="L472" t="s">
        <v>185</v>
      </c>
      <c r="BB472" t="s">
        <v>196</v>
      </c>
    </row>
    <row r="473" spans="1:54" hidden="1" x14ac:dyDescent="0.25">
      <c r="A473" t="s">
        <v>65</v>
      </c>
      <c r="B473" t="s">
        <v>185</v>
      </c>
      <c r="C473">
        <v>1897</v>
      </c>
      <c r="D473" t="s">
        <v>186</v>
      </c>
      <c r="E473" t="s">
        <v>2073</v>
      </c>
      <c r="F473" t="s">
        <v>2074</v>
      </c>
      <c r="G473" t="s">
        <v>2075</v>
      </c>
      <c r="H473" t="s">
        <v>2076</v>
      </c>
      <c r="I473" t="s">
        <v>2077</v>
      </c>
      <c r="J473" t="s">
        <v>2078</v>
      </c>
      <c r="K473" t="s">
        <v>1419</v>
      </c>
      <c r="L473" t="s">
        <v>185</v>
      </c>
      <c r="BB473" t="s">
        <v>187</v>
      </c>
    </row>
    <row r="474" spans="1:54" hidden="1" x14ac:dyDescent="0.25">
      <c r="A474" t="s">
        <v>59</v>
      </c>
      <c r="B474" t="s">
        <v>185</v>
      </c>
      <c r="C474">
        <v>749</v>
      </c>
      <c r="D474" t="s">
        <v>186</v>
      </c>
      <c r="E474" t="s">
        <v>2073</v>
      </c>
      <c r="F474" t="s">
        <v>2074</v>
      </c>
      <c r="G474" t="s">
        <v>2075</v>
      </c>
      <c r="H474" t="s">
        <v>2076</v>
      </c>
      <c r="I474" t="s">
        <v>2077</v>
      </c>
      <c r="J474" t="s">
        <v>2078</v>
      </c>
      <c r="K474" t="s">
        <v>1419</v>
      </c>
      <c r="L474" t="s">
        <v>185</v>
      </c>
      <c r="BB474" t="s">
        <v>193</v>
      </c>
    </row>
    <row r="475" spans="1:54" hidden="1" x14ac:dyDescent="0.25">
      <c r="A475" t="s">
        <v>77</v>
      </c>
      <c r="B475" t="s">
        <v>185</v>
      </c>
      <c r="C475">
        <v>3089</v>
      </c>
      <c r="D475" t="s">
        <v>186</v>
      </c>
      <c r="E475" t="s">
        <v>2073</v>
      </c>
      <c r="F475" t="s">
        <v>2074</v>
      </c>
      <c r="G475" t="s">
        <v>2075</v>
      </c>
      <c r="H475" t="s">
        <v>2076</v>
      </c>
      <c r="I475" t="s">
        <v>2077</v>
      </c>
      <c r="J475" t="s">
        <v>2078</v>
      </c>
      <c r="K475" t="s">
        <v>1419</v>
      </c>
      <c r="L475" t="s">
        <v>185</v>
      </c>
      <c r="BB475" t="s">
        <v>210</v>
      </c>
    </row>
    <row r="476" spans="1:54" hidden="1" x14ac:dyDescent="0.25">
      <c r="A476" t="s">
        <v>45</v>
      </c>
      <c r="B476" t="s">
        <v>185</v>
      </c>
      <c r="C476">
        <v>4180</v>
      </c>
      <c r="D476" t="s">
        <v>186</v>
      </c>
      <c r="E476" t="s">
        <v>2073</v>
      </c>
      <c r="F476" t="s">
        <v>2074</v>
      </c>
      <c r="G476" t="s">
        <v>2075</v>
      </c>
      <c r="H476" t="s">
        <v>2076</v>
      </c>
      <c r="I476" t="s">
        <v>2077</v>
      </c>
      <c r="J476" t="s">
        <v>2078</v>
      </c>
      <c r="K476" t="s">
        <v>1419</v>
      </c>
      <c r="L476" t="s">
        <v>185</v>
      </c>
      <c r="BB476" t="s">
        <v>205</v>
      </c>
    </row>
    <row r="477" spans="1:54" hidden="1" x14ac:dyDescent="0.25">
      <c r="A477" t="s">
        <v>15</v>
      </c>
      <c r="B477" t="s">
        <v>185</v>
      </c>
      <c r="C477">
        <v>6229</v>
      </c>
      <c r="D477" t="s">
        <v>186</v>
      </c>
      <c r="E477" t="s">
        <v>2073</v>
      </c>
      <c r="F477" t="s">
        <v>2074</v>
      </c>
      <c r="G477" t="s">
        <v>2075</v>
      </c>
      <c r="H477" t="s">
        <v>2076</v>
      </c>
      <c r="I477" t="s">
        <v>2077</v>
      </c>
      <c r="J477" t="s">
        <v>2078</v>
      </c>
      <c r="K477" t="s">
        <v>1419</v>
      </c>
      <c r="L477" t="s">
        <v>185</v>
      </c>
      <c r="BB477" t="s">
        <v>216</v>
      </c>
    </row>
    <row r="478" spans="1:54" hidden="1" x14ac:dyDescent="0.25">
      <c r="A478" t="s">
        <v>22</v>
      </c>
      <c r="B478" t="s">
        <v>185</v>
      </c>
      <c r="C478">
        <v>3803</v>
      </c>
      <c r="D478" t="s">
        <v>186</v>
      </c>
      <c r="E478" t="s">
        <v>2073</v>
      </c>
      <c r="F478" t="s">
        <v>2074</v>
      </c>
      <c r="G478" t="s">
        <v>2075</v>
      </c>
      <c r="H478" t="s">
        <v>2076</v>
      </c>
      <c r="I478" t="s">
        <v>2077</v>
      </c>
      <c r="J478" t="s">
        <v>2078</v>
      </c>
      <c r="K478" t="s">
        <v>1419</v>
      </c>
      <c r="L478" t="s">
        <v>185</v>
      </c>
      <c r="BB478" t="s">
        <v>207</v>
      </c>
    </row>
    <row r="479" spans="1:54" hidden="1" x14ac:dyDescent="0.25">
      <c r="A479" t="s">
        <v>49</v>
      </c>
      <c r="B479" t="s">
        <v>185</v>
      </c>
      <c r="C479">
        <v>6011</v>
      </c>
      <c r="D479" t="s">
        <v>186</v>
      </c>
      <c r="E479" t="s">
        <v>2073</v>
      </c>
      <c r="F479" t="s">
        <v>2074</v>
      </c>
      <c r="G479" t="s">
        <v>2075</v>
      </c>
      <c r="H479" t="s">
        <v>2076</v>
      </c>
      <c r="I479" t="s">
        <v>2077</v>
      </c>
      <c r="J479" t="s">
        <v>2078</v>
      </c>
      <c r="K479" t="s">
        <v>1419</v>
      </c>
      <c r="L479" t="s">
        <v>185</v>
      </c>
      <c r="BB479" t="s">
        <v>190</v>
      </c>
    </row>
    <row r="480" spans="1:54" hidden="1" x14ac:dyDescent="0.25">
      <c r="A480" t="s">
        <v>13</v>
      </c>
      <c r="B480" t="s">
        <v>185</v>
      </c>
      <c r="C480">
        <v>3458</v>
      </c>
      <c r="D480" t="s">
        <v>186</v>
      </c>
      <c r="E480" t="s">
        <v>2073</v>
      </c>
      <c r="F480" t="s">
        <v>2074</v>
      </c>
      <c r="G480" t="s">
        <v>2075</v>
      </c>
      <c r="H480" t="s">
        <v>2076</v>
      </c>
      <c r="I480" t="s">
        <v>2077</v>
      </c>
      <c r="J480" t="s">
        <v>2078</v>
      </c>
      <c r="K480" t="s">
        <v>1419</v>
      </c>
      <c r="L480" t="s">
        <v>185</v>
      </c>
      <c r="BB480" t="s">
        <v>202</v>
      </c>
    </row>
    <row r="481" spans="1:54" hidden="1" x14ac:dyDescent="0.25">
      <c r="A481" t="s">
        <v>54</v>
      </c>
      <c r="B481" t="s">
        <v>185</v>
      </c>
      <c r="C481">
        <v>2916</v>
      </c>
      <c r="D481" t="s">
        <v>186</v>
      </c>
      <c r="E481" t="s">
        <v>2073</v>
      </c>
      <c r="F481" t="s">
        <v>2074</v>
      </c>
      <c r="G481" t="s">
        <v>2075</v>
      </c>
      <c r="H481" t="s">
        <v>2076</v>
      </c>
      <c r="I481" t="s">
        <v>2077</v>
      </c>
      <c r="J481" t="s">
        <v>2078</v>
      </c>
      <c r="K481" t="s">
        <v>1419</v>
      </c>
      <c r="L481" t="s">
        <v>185</v>
      </c>
      <c r="BB481" t="s">
        <v>239</v>
      </c>
    </row>
    <row r="482" spans="1:54" hidden="1" x14ac:dyDescent="0.25">
      <c r="A482" t="s">
        <v>41</v>
      </c>
      <c r="B482" t="s">
        <v>185</v>
      </c>
      <c r="C482">
        <v>1697</v>
      </c>
      <c r="D482" t="s">
        <v>186</v>
      </c>
      <c r="E482" t="s">
        <v>2073</v>
      </c>
      <c r="F482" t="s">
        <v>2074</v>
      </c>
      <c r="G482" t="s">
        <v>2075</v>
      </c>
      <c r="H482" t="s">
        <v>2076</v>
      </c>
      <c r="I482" t="s">
        <v>2077</v>
      </c>
      <c r="J482" t="s">
        <v>2078</v>
      </c>
      <c r="K482" t="s">
        <v>1419</v>
      </c>
      <c r="L482" t="s">
        <v>185</v>
      </c>
      <c r="BB482" t="s">
        <v>228</v>
      </c>
    </row>
    <row r="483" spans="1:54" hidden="1" x14ac:dyDescent="0.25">
      <c r="A483" t="s">
        <v>72</v>
      </c>
      <c r="B483" t="s">
        <v>185</v>
      </c>
      <c r="C483">
        <v>2416</v>
      </c>
      <c r="D483" t="s">
        <v>186</v>
      </c>
      <c r="E483" t="s">
        <v>2073</v>
      </c>
      <c r="F483" t="s">
        <v>2074</v>
      </c>
      <c r="G483" t="s">
        <v>2075</v>
      </c>
      <c r="H483" t="s">
        <v>2076</v>
      </c>
      <c r="I483" t="s">
        <v>2077</v>
      </c>
      <c r="J483" t="s">
        <v>2078</v>
      </c>
      <c r="K483" t="s">
        <v>1419</v>
      </c>
      <c r="L483" t="s">
        <v>185</v>
      </c>
      <c r="BB483" t="s">
        <v>222</v>
      </c>
    </row>
    <row r="484" spans="1:54" hidden="1" x14ac:dyDescent="0.25">
      <c r="A484" t="s">
        <v>26</v>
      </c>
      <c r="B484" t="s">
        <v>185</v>
      </c>
      <c r="C484">
        <v>2552</v>
      </c>
      <c r="D484" t="s">
        <v>186</v>
      </c>
      <c r="E484" t="s">
        <v>2073</v>
      </c>
      <c r="F484" t="s">
        <v>2074</v>
      </c>
      <c r="G484" t="s">
        <v>2075</v>
      </c>
      <c r="H484" t="s">
        <v>2076</v>
      </c>
      <c r="I484" t="s">
        <v>2077</v>
      </c>
      <c r="J484" t="s">
        <v>2078</v>
      </c>
      <c r="K484" t="s">
        <v>1419</v>
      </c>
      <c r="L484" t="s">
        <v>185</v>
      </c>
      <c r="BB484" t="s">
        <v>196</v>
      </c>
    </row>
    <row r="485" spans="1:54" hidden="1" x14ac:dyDescent="0.25">
      <c r="A485" t="s">
        <v>55</v>
      </c>
      <c r="B485" t="s">
        <v>185</v>
      </c>
      <c r="C485">
        <v>4478</v>
      </c>
      <c r="D485" t="s">
        <v>186</v>
      </c>
      <c r="E485" t="s">
        <v>2073</v>
      </c>
      <c r="F485" t="s">
        <v>2074</v>
      </c>
      <c r="G485" t="s">
        <v>2075</v>
      </c>
      <c r="H485" t="s">
        <v>2076</v>
      </c>
      <c r="I485" t="s">
        <v>2077</v>
      </c>
      <c r="J485" t="s">
        <v>2078</v>
      </c>
      <c r="K485" t="s">
        <v>1419</v>
      </c>
      <c r="L485" t="s">
        <v>185</v>
      </c>
      <c r="BB485" t="s">
        <v>219</v>
      </c>
    </row>
    <row r="486" spans="1:54" hidden="1" x14ac:dyDescent="0.25">
      <c r="A486" t="s">
        <v>47</v>
      </c>
      <c r="B486" t="s">
        <v>185</v>
      </c>
      <c r="C486">
        <v>5446</v>
      </c>
      <c r="D486" t="s">
        <v>186</v>
      </c>
      <c r="E486" t="s">
        <v>2073</v>
      </c>
      <c r="F486" t="s">
        <v>2074</v>
      </c>
      <c r="G486" t="s">
        <v>2075</v>
      </c>
      <c r="H486" t="s">
        <v>2076</v>
      </c>
      <c r="I486" t="s">
        <v>2077</v>
      </c>
      <c r="J486" t="s">
        <v>2078</v>
      </c>
      <c r="K486" t="s">
        <v>1419</v>
      </c>
      <c r="L486" t="s">
        <v>185</v>
      </c>
      <c r="BB486" t="s">
        <v>187</v>
      </c>
    </row>
    <row r="487" spans="1:54" hidden="1" x14ac:dyDescent="0.25">
      <c r="A487" t="s">
        <v>14</v>
      </c>
      <c r="B487" t="s">
        <v>185</v>
      </c>
      <c r="C487">
        <v>11259</v>
      </c>
      <c r="D487" t="s">
        <v>186</v>
      </c>
      <c r="E487" t="s">
        <v>2073</v>
      </c>
      <c r="F487" t="s">
        <v>2074</v>
      </c>
      <c r="G487" t="s">
        <v>2075</v>
      </c>
      <c r="H487" t="s">
        <v>2076</v>
      </c>
      <c r="I487" t="s">
        <v>2077</v>
      </c>
      <c r="J487" t="s">
        <v>2078</v>
      </c>
      <c r="K487" t="s">
        <v>1419</v>
      </c>
      <c r="L487" t="s">
        <v>185</v>
      </c>
      <c r="BB487" t="s">
        <v>193</v>
      </c>
    </row>
    <row r="488" spans="1:54" hidden="1" x14ac:dyDescent="0.25">
      <c r="A488" t="s">
        <v>67</v>
      </c>
      <c r="B488" t="s">
        <v>185</v>
      </c>
      <c r="C488">
        <v>9983</v>
      </c>
      <c r="D488" t="s">
        <v>186</v>
      </c>
      <c r="E488" t="s">
        <v>2073</v>
      </c>
      <c r="F488" t="s">
        <v>2074</v>
      </c>
      <c r="G488" t="s">
        <v>2075</v>
      </c>
      <c r="H488" t="s">
        <v>2076</v>
      </c>
      <c r="I488" t="s">
        <v>2077</v>
      </c>
      <c r="J488" t="s">
        <v>2078</v>
      </c>
      <c r="K488" t="s">
        <v>1419</v>
      </c>
      <c r="L488" t="s">
        <v>185</v>
      </c>
      <c r="BB488" t="s">
        <v>210</v>
      </c>
    </row>
    <row r="489" spans="1:54" hidden="1" x14ac:dyDescent="0.25">
      <c r="A489" t="s">
        <v>24</v>
      </c>
      <c r="B489" t="s">
        <v>185</v>
      </c>
      <c r="C489">
        <v>14036</v>
      </c>
      <c r="D489" t="s">
        <v>186</v>
      </c>
      <c r="E489" t="s">
        <v>2073</v>
      </c>
      <c r="F489" t="s">
        <v>2074</v>
      </c>
      <c r="G489" t="s">
        <v>2075</v>
      </c>
      <c r="H489" t="s">
        <v>2076</v>
      </c>
      <c r="I489" t="s">
        <v>2077</v>
      </c>
      <c r="J489" t="s">
        <v>2078</v>
      </c>
      <c r="K489" t="s">
        <v>1419</v>
      </c>
      <c r="L489" t="s">
        <v>185</v>
      </c>
      <c r="BB489" t="s">
        <v>207</v>
      </c>
    </row>
    <row r="490" spans="1:54" hidden="1" x14ac:dyDescent="0.25">
      <c r="A490" t="s">
        <v>62</v>
      </c>
      <c r="B490" t="s">
        <v>185</v>
      </c>
      <c r="C490">
        <v>727</v>
      </c>
      <c r="D490" t="s">
        <v>186</v>
      </c>
      <c r="E490" t="s">
        <v>2073</v>
      </c>
      <c r="F490" t="s">
        <v>2074</v>
      </c>
      <c r="G490" t="s">
        <v>2075</v>
      </c>
      <c r="H490" t="s">
        <v>2076</v>
      </c>
      <c r="I490" t="s">
        <v>2077</v>
      </c>
      <c r="J490" t="s">
        <v>2078</v>
      </c>
      <c r="K490" t="s">
        <v>1419</v>
      </c>
      <c r="L490" t="s">
        <v>185</v>
      </c>
      <c r="BB490" t="s">
        <v>205</v>
      </c>
    </row>
    <row r="491" spans="1:54" hidden="1" x14ac:dyDescent="0.25">
      <c r="A491" t="s">
        <v>57</v>
      </c>
      <c r="B491" t="s">
        <v>185</v>
      </c>
      <c r="C491">
        <v>484</v>
      </c>
      <c r="D491" t="s">
        <v>186</v>
      </c>
      <c r="E491" t="s">
        <v>2073</v>
      </c>
      <c r="F491" t="s">
        <v>2074</v>
      </c>
      <c r="G491" t="s">
        <v>2075</v>
      </c>
      <c r="H491" t="s">
        <v>2076</v>
      </c>
      <c r="I491" t="s">
        <v>2077</v>
      </c>
      <c r="J491" t="s">
        <v>2078</v>
      </c>
      <c r="K491" t="s">
        <v>1419</v>
      </c>
      <c r="L491" t="s">
        <v>185</v>
      </c>
      <c r="BB491" t="s">
        <v>219</v>
      </c>
    </row>
    <row r="492" spans="1:54" hidden="1" x14ac:dyDescent="0.25">
      <c r="A492" t="s">
        <v>68</v>
      </c>
      <c r="B492" t="s">
        <v>185</v>
      </c>
      <c r="C492">
        <v>354</v>
      </c>
      <c r="D492" t="s">
        <v>186</v>
      </c>
      <c r="E492" t="s">
        <v>2073</v>
      </c>
      <c r="F492" t="s">
        <v>2074</v>
      </c>
      <c r="G492" t="s">
        <v>2075</v>
      </c>
      <c r="H492" t="s">
        <v>2076</v>
      </c>
      <c r="I492" t="s">
        <v>2077</v>
      </c>
      <c r="J492" t="s">
        <v>2078</v>
      </c>
      <c r="K492" t="s">
        <v>1419</v>
      </c>
      <c r="L492" t="s">
        <v>185</v>
      </c>
      <c r="BB492" t="s">
        <v>202</v>
      </c>
    </row>
    <row r="493" spans="1:54" hidden="1" x14ac:dyDescent="0.25">
      <c r="A493" t="s">
        <v>73</v>
      </c>
      <c r="B493" t="s">
        <v>185</v>
      </c>
      <c r="C493">
        <v>302</v>
      </c>
      <c r="D493" t="s">
        <v>186</v>
      </c>
      <c r="E493" t="s">
        <v>2073</v>
      </c>
      <c r="F493" t="s">
        <v>2074</v>
      </c>
      <c r="G493" t="s">
        <v>2075</v>
      </c>
      <c r="H493" t="s">
        <v>2076</v>
      </c>
      <c r="I493" t="s">
        <v>2077</v>
      </c>
      <c r="J493" t="s">
        <v>2078</v>
      </c>
      <c r="K493" t="s">
        <v>1419</v>
      </c>
      <c r="L493" t="s">
        <v>185</v>
      </c>
      <c r="BB493" t="s">
        <v>187</v>
      </c>
    </row>
    <row r="494" spans="1:54" hidden="1" x14ac:dyDescent="0.25">
      <c r="A494" t="s">
        <v>36</v>
      </c>
      <c r="B494" t="s">
        <v>185</v>
      </c>
      <c r="C494">
        <v>2832</v>
      </c>
      <c r="D494" t="s">
        <v>186</v>
      </c>
      <c r="E494" t="s">
        <v>2073</v>
      </c>
      <c r="F494" t="s">
        <v>2074</v>
      </c>
      <c r="G494" t="s">
        <v>2075</v>
      </c>
      <c r="H494" t="s">
        <v>2076</v>
      </c>
      <c r="I494" t="s">
        <v>2077</v>
      </c>
      <c r="J494" t="s">
        <v>2078</v>
      </c>
      <c r="K494" t="s">
        <v>1419</v>
      </c>
      <c r="L494" t="s">
        <v>185</v>
      </c>
      <c r="BB494" t="s">
        <v>193</v>
      </c>
    </row>
    <row r="495" spans="1:54" hidden="1" x14ac:dyDescent="0.25">
      <c r="A495" t="s">
        <v>60</v>
      </c>
      <c r="B495" t="s">
        <v>185</v>
      </c>
      <c r="C495">
        <v>2257</v>
      </c>
      <c r="D495" t="s">
        <v>186</v>
      </c>
      <c r="E495" t="s">
        <v>2073</v>
      </c>
      <c r="F495" t="s">
        <v>2074</v>
      </c>
      <c r="G495" t="s">
        <v>2075</v>
      </c>
      <c r="H495" t="s">
        <v>2076</v>
      </c>
      <c r="I495" t="s">
        <v>2077</v>
      </c>
      <c r="J495" t="s">
        <v>2078</v>
      </c>
      <c r="K495" t="s">
        <v>1419</v>
      </c>
      <c r="L495" t="s">
        <v>185</v>
      </c>
      <c r="BB495" t="s">
        <v>190</v>
      </c>
    </row>
    <row r="496" spans="1:54" hidden="1" x14ac:dyDescent="0.25">
      <c r="A496" t="s">
        <v>91</v>
      </c>
      <c r="B496" t="s">
        <v>185</v>
      </c>
      <c r="C496">
        <v>1698</v>
      </c>
      <c r="D496" t="s">
        <v>186</v>
      </c>
      <c r="E496" t="s">
        <v>2073</v>
      </c>
      <c r="F496" t="s">
        <v>2074</v>
      </c>
      <c r="G496" t="s">
        <v>2075</v>
      </c>
      <c r="H496" t="s">
        <v>2076</v>
      </c>
      <c r="I496" t="s">
        <v>2077</v>
      </c>
      <c r="J496" t="s">
        <v>2078</v>
      </c>
      <c r="K496" t="s">
        <v>1419</v>
      </c>
      <c r="L496" t="s">
        <v>185</v>
      </c>
      <c r="BB496" t="s">
        <v>207</v>
      </c>
    </row>
    <row r="497" spans="1:54" hidden="1" x14ac:dyDescent="0.25">
      <c r="A497" t="s">
        <v>23</v>
      </c>
      <c r="B497" t="s">
        <v>185</v>
      </c>
      <c r="C497">
        <v>185</v>
      </c>
      <c r="D497" t="s">
        <v>186</v>
      </c>
      <c r="E497" t="s">
        <v>2073</v>
      </c>
      <c r="F497" t="s">
        <v>2074</v>
      </c>
      <c r="G497" t="s">
        <v>2075</v>
      </c>
      <c r="H497" t="s">
        <v>2076</v>
      </c>
      <c r="I497" t="s">
        <v>2077</v>
      </c>
      <c r="J497" t="s">
        <v>2078</v>
      </c>
      <c r="K497" t="s">
        <v>1419</v>
      </c>
      <c r="L497" t="s">
        <v>185</v>
      </c>
      <c r="BB497" t="s">
        <v>196</v>
      </c>
    </row>
    <row r="498" spans="1:54" hidden="1" x14ac:dyDescent="0.25">
      <c r="A498" t="s">
        <v>21</v>
      </c>
      <c r="B498" t="s">
        <v>185</v>
      </c>
      <c r="C498">
        <v>357</v>
      </c>
      <c r="D498" t="s">
        <v>186</v>
      </c>
      <c r="E498" t="s">
        <v>2073</v>
      </c>
      <c r="F498" t="s">
        <v>2074</v>
      </c>
      <c r="G498" t="s">
        <v>2075</v>
      </c>
      <c r="H498" t="s">
        <v>2076</v>
      </c>
      <c r="I498" t="s">
        <v>2077</v>
      </c>
      <c r="J498" t="s">
        <v>2078</v>
      </c>
      <c r="K498" t="s">
        <v>1419</v>
      </c>
      <c r="L498" t="s">
        <v>185</v>
      </c>
      <c r="BB498" t="s">
        <v>202</v>
      </c>
    </row>
    <row r="499" spans="1:54" hidden="1" x14ac:dyDescent="0.25">
      <c r="A499" t="s">
        <v>85</v>
      </c>
      <c r="B499" t="s">
        <v>185</v>
      </c>
      <c r="C499">
        <v>3627</v>
      </c>
      <c r="D499" t="s">
        <v>186</v>
      </c>
      <c r="E499" t="s">
        <v>2073</v>
      </c>
      <c r="F499" t="s">
        <v>2074</v>
      </c>
      <c r="G499" t="s">
        <v>2075</v>
      </c>
      <c r="H499" t="s">
        <v>2076</v>
      </c>
      <c r="I499" t="s">
        <v>2077</v>
      </c>
      <c r="J499" t="s">
        <v>2078</v>
      </c>
      <c r="K499" t="s">
        <v>1419</v>
      </c>
      <c r="L499" t="s">
        <v>185</v>
      </c>
      <c r="BB499" t="s">
        <v>199</v>
      </c>
    </row>
    <row r="500" spans="1:54" hidden="1" x14ac:dyDescent="0.25">
      <c r="A500" t="s">
        <v>52</v>
      </c>
      <c r="B500" t="s">
        <v>185</v>
      </c>
      <c r="C500">
        <v>298</v>
      </c>
      <c r="D500" t="s">
        <v>186</v>
      </c>
      <c r="E500" t="s">
        <v>2073</v>
      </c>
      <c r="F500" t="s">
        <v>2074</v>
      </c>
      <c r="G500" t="s">
        <v>2075</v>
      </c>
      <c r="H500" t="s">
        <v>2076</v>
      </c>
      <c r="I500" t="s">
        <v>2077</v>
      </c>
      <c r="J500" t="s">
        <v>2078</v>
      </c>
      <c r="K500" t="s">
        <v>1419</v>
      </c>
      <c r="L500" t="s">
        <v>185</v>
      </c>
      <c r="BB500" t="s">
        <v>225</v>
      </c>
    </row>
    <row r="501" spans="1:54" hidden="1" x14ac:dyDescent="0.25">
      <c r="A501" t="s">
        <v>6</v>
      </c>
      <c r="B501" t="s">
        <v>185</v>
      </c>
      <c r="C501">
        <v>764</v>
      </c>
      <c r="D501" t="s">
        <v>186</v>
      </c>
      <c r="E501" t="s">
        <v>2073</v>
      </c>
      <c r="F501" t="s">
        <v>2074</v>
      </c>
      <c r="G501" t="s">
        <v>2075</v>
      </c>
      <c r="H501" t="s">
        <v>2076</v>
      </c>
      <c r="I501" t="s">
        <v>2077</v>
      </c>
      <c r="J501" t="s">
        <v>2078</v>
      </c>
      <c r="K501" t="s">
        <v>1419</v>
      </c>
      <c r="L501" t="s">
        <v>185</v>
      </c>
      <c r="BB501" t="s">
        <v>228</v>
      </c>
    </row>
    <row r="502" spans="1:54" hidden="1" x14ac:dyDescent="0.25">
      <c r="A502" t="s">
        <v>92</v>
      </c>
      <c r="B502" t="s">
        <v>185</v>
      </c>
      <c r="C502">
        <v>86</v>
      </c>
      <c r="D502" t="s">
        <v>186</v>
      </c>
      <c r="E502" t="s">
        <v>2073</v>
      </c>
      <c r="F502" t="s">
        <v>2074</v>
      </c>
      <c r="G502" t="s">
        <v>2075</v>
      </c>
      <c r="H502" t="s">
        <v>2076</v>
      </c>
      <c r="I502" t="s">
        <v>2077</v>
      </c>
      <c r="J502" t="s">
        <v>2078</v>
      </c>
      <c r="K502" t="s">
        <v>1419</v>
      </c>
      <c r="L502" t="s">
        <v>185</v>
      </c>
      <c r="BB502" t="s">
        <v>193</v>
      </c>
    </row>
    <row r="503" spans="1:54" hidden="1" x14ac:dyDescent="0.25">
      <c r="A503" t="s">
        <v>63</v>
      </c>
      <c r="B503" t="s">
        <v>185</v>
      </c>
      <c r="C503">
        <v>12982</v>
      </c>
      <c r="D503" t="s">
        <v>186</v>
      </c>
      <c r="E503" t="s">
        <v>2073</v>
      </c>
      <c r="F503" t="s">
        <v>2074</v>
      </c>
      <c r="G503" t="s">
        <v>2075</v>
      </c>
      <c r="H503" t="s">
        <v>2076</v>
      </c>
      <c r="I503" t="s">
        <v>2077</v>
      </c>
      <c r="J503" t="s">
        <v>2078</v>
      </c>
      <c r="K503" t="s">
        <v>1419</v>
      </c>
      <c r="L503" t="s">
        <v>185</v>
      </c>
      <c r="BB503" t="s">
        <v>187</v>
      </c>
    </row>
    <row r="504" spans="1:54" hidden="1" x14ac:dyDescent="0.25">
      <c r="A504" t="s">
        <v>53</v>
      </c>
      <c r="B504" t="s">
        <v>185</v>
      </c>
      <c r="C504">
        <v>941</v>
      </c>
      <c r="D504" t="s">
        <v>186</v>
      </c>
      <c r="E504" t="s">
        <v>2073</v>
      </c>
      <c r="F504" t="s">
        <v>2074</v>
      </c>
      <c r="G504" t="s">
        <v>2075</v>
      </c>
      <c r="H504" t="s">
        <v>2076</v>
      </c>
      <c r="I504" t="s">
        <v>2077</v>
      </c>
      <c r="J504" t="s">
        <v>2078</v>
      </c>
      <c r="K504" t="s">
        <v>1419</v>
      </c>
      <c r="L504" t="s">
        <v>185</v>
      </c>
      <c r="BB504" t="s">
        <v>228</v>
      </c>
    </row>
    <row r="505" spans="1:54" hidden="1" x14ac:dyDescent="0.25">
      <c r="A505" t="s">
        <v>76</v>
      </c>
      <c r="B505" t="s">
        <v>185</v>
      </c>
      <c r="C505">
        <v>1723</v>
      </c>
      <c r="D505" t="s">
        <v>186</v>
      </c>
      <c r="E505" t="s">
        <v>2073</v>
      </c>
      <c r="F505" t="s">
        <v>2074</v>
      </c>
      <c r="G505" t="s">
        <v>2075</v>
      </c>
      <c r="H505" t="s">
        <v>2076</v>
      </c>
      <c r="I505" t="s">
        <v>2077</v>
      </c>
      <c r="J505" t="s">
        <v>2078</v>
      </c>
      <c r="K505" t="s">
        <v>1419</v>
      </c>
      <c r="L505" t="s">
        <v>185</v>
      </c>
      <c r="BB505" t="s">
        <v>239</v>
      </c>
    </row>
    <row r="506" spans="1:54" hidden="1" x14ac:dyDescent="0.25">
      <c r="A506" t="s">
        <v>90</v>
      </c>
      <c r="B506" t="s">
        <v>185</v>
      </c>
      <c r="C506">
        <v>2299</v>
      </c>
      <c r="D506" t="s">
        <v>186</v>
      </c>
      <c r="E506" t="s">
        <v>2073</v>
      </c>
      <c r="F506" t="s">
        <v>2074</v>
      </c>
      <c r="G506" t="s">
        <v>2075</v>
      </c>
      <c r="H506" t="s">
        <v>2076</v>
      </c>
      <c r="I506" t="s">
        <v>2077</v>
      </c>
      <c r="J506" t="s">
        <v>2078</v>
      </c>
      <c r="K506" t="s">
        <v>1419</v>
      </c>
      <c r="L506" t="s">
        <v>185</v>
      </c>
      <c r="BB506" t="s">
        <v>199</v>
      </c>
    </row>
    <row r="507" spans="1:54" hidden="1" x14ac:dyDescent="0.25">
      <c r="A507" t="s">
        <v>71</v>
      </c>
      <c r="B507" t="s">
        <v>185</v>
      </c>
      <c r="C507">
        <v>2272</v>
      </c>
      <c r="D507" t="s">
        <v>186</v>
      </c>
      <c r="E507" t="s">
        <v>2073</v>
      </c>
      <c r="F507" t="s">
        <v>2074</v>
      </c>
      <c r="G507" t="s">
        <v>2075</v>
      </c>
      <c r="H507" t="s">
        <v>2076</v>
      </c>
      <c r="I507" t="s">
        <v>2077</v>
      </c>
      <c r="J507" t="s">
        <v>2078</v>
      </c>
      <c r="K507" t="s">
        <v>1419</v>
      </c>
      <c r="L507" t="s">
        <v>185</v>
      </c>
      <c r="BB507" t="s">
        <v>187</v>
      </c>
    </row>
    <row r="508" spans="1:54" hidden="1" x14ac:dyDescent="0.25">
      <c r="A508" t="s">
        <v>16</v>
      </c>
      <c r="B508" t="s">
        <v>185</v>
      </c>
      <c r="C508">
        <v>8562</v>
      </c>
      <c r="D508" t="s">
        <v>186</v>
      </c>
      <c r="E508" t="s">
        <v>2073</v>
      </c>
      <c r="F508" t="s">
        <v>2074</v>
      </c>
      <c r="G508" t="s">
        <v>2075</v>
      </c>
      <c r="H508" t="s">
        <v>2076</v>
      </c>
      <c r="I508" t="s">
        <v>2077</v>
      </c>
      <c r="J508" t="s">
        <v>2078</v>
      </c>
      <c r="K508" t="s">
        <v>1419</v>
      </c>
      <c r="L508" t="s">
        <v>185</v>
      </c>
      <c r="BB508" t="s">
        <v>190</v>
      </c>
    </row>
    <row r="509" spans="1:54" hidden="1" x14ac:dyDescent="0.25">
      <c r="A509" t="s">
        <v>82</v>
      </c>
      <c r="B509" t="s">
        <v>185</v>
      </c>
      <c r="C509">
        <v>7558</v>
      </c>
      <c r="D509" t="s">
        <v>186</v>
      </c>
      <c r="E509" t="s">
        <v>2073</v>
      </c>
      <c r="F509" t="s">
        <v>2074</v>
      </c>
      <c r="G509" t="s">
        <v>2075</v>
      </c>
      <c r="H509" t="s">
        <v>2076</v>
      </c>
      <c r="I509" t="s">
        <v>2077</v>
      </c>
      <c r="J509" t="s">
        <v>2078</v>
      </c>
      <c r="K509" t="s">
        <v>1419</v>
      </c>
      <c r="L509" t="s">
        <v>185</v>
      </c>
      <c r="BB509" t="s">
        <v>193</v>
      </c>
    </row>
    <row r="510" spans="1:54" hidden="1" x14ac:dyDescent="0.25">
      <c r="A510" t="s">
        <v>38</v>
      </c>
      <c r="B510" t="s">
        <v>185</v>
      </c>
      <c r="C510">
        <v>4838</v>
      </c>
      <c r="D510" t="s">
        <v>186</v>
      </c>
      <c r="E510" t="s">
        <v>2073</v>
      </c>
      <c r="F510" t="s">
        <v>2074</v>
      </c>
      <c r="G510" t="s">
        <v>2075</v>
      </c>
      <c r="H510" t="s">
        <v>2076</v>
      </c>
      <c r="I510" t="s">
        <v>2077</v>
      </c>
      <c r="J510" t="s">
        <v>2078</v>
      </c>
      <c r="K510" t="s">
        <v>1419</v>
      </c>
      <c r="L510" t="s">
        <v>185</v>
      </c>
      <c r="BB510" t="s">
        <v>199</v>
      </c>
    </row>
    <row r="511" spans="1:54" hidden="1" x14ac:dyDescent="0.25">
      <c r="A511" t="s">
        <v>64</v>
      </c>
      <c r="B511" t="s">
        <v>206</v>
      </c>
      <c r="C511">
        <v>1498</v>
      </c>
      <c r="D511" t="s">
        <v>189</v>
      </c>
      <c r="E511" t="s">
        <v>2073</v>
      </c>
      <c r="F511" t="s">
        <v>2074</v>
      </c>
      <c r="G511" t="s">
        <v>2079</v>
      </c>
      <c r="H511" t="s">
        <v>2080</v>
      </c>
      <c r="I511" t="s">
        <v>2081</v>
      </c>
      <c r="J511" t="s">
        <v>2082</v>
      </c>
      <c r="K511" t="s">
        <v>1427</v>
      </c>
      <c r="L511" t="s">
        <v>206</v>
      </c>
      <c r="BB511" t="s">
        <v>196</v>
      </c>
    </row>
    <row r="512" spans="1:54" hidden="1" x14ac:dyDescent="0.25">
      <c r="A512" t="s">
        <v>88</v>
      </c>
      <c r="B512" t="s">
        <v>206</v>
      </c>
      <c r="C512">
        <v>169</v>
      </c>
      <c r="D512" t="s">
        <v>189</v>
      </c>
      <c r="E512" t="s">
        <v>2073</v>
      </c>
      <c r="F512" t="s">
        <v>2074</v>
      </c>
      <c r="G512" t="s">
        <v>2079</v>
      </c>
      <c r="H512" t="s">
        <v>2080</v>
      </c>
      <c r="I512" t="s">
        <v>2081</v>
      </c>
      <c r="J512" t="s">
        <v>2082</v>
      </c>
      <c r="K512" t="s">
        <v>1427</v>
      </c>
      <c r="L512" t="s">
        <v>206</v>
      </c>
      <c r="BB512" t="s">
        <v>207</v>
      </c>
    </row>
    <row r="513" spans="1:54" hidden="1" x14ac:dyDescent="0.25">
      <c r="A513" t="s">
        <v>51</v>
      </c>
      <c r="B513" t="s">
        <v>206</v>
      </c>
      <c r="C513">
        <v>301</v>
      </c>
      <c r="D513" t="s">
        <v>189</v>
      </c>
      <c r="E513" t="s">
        <v>2073</v>
      </c>
      <c r="F513" t="s">
        <v>2074</v>
      </c>
      <c r="G513" t="s">
        <v>2079</v>
      </c>
      <c r="H513" t="s">
        <v>2080</v>
      </c>
      <c r="I513" t="s">
        <v>2081</v>
      </c>
      <c r="J513" t="s">
        <v>2082</v>
      </c>
      <c r="K513" t="s">
        <v>1427</v>
      </c>
      <c r="L513" t="s">
        <v>206</v>
      </c>
      <c r="BB513" t="s">
        <v>210</v>
      </c>
    </row>
    <row r="514" spans="1:54" hidden="1" x14ac:dyDescent="0.25">
      <c r="A514" t="s">
        <v>84</v>
      </c>
      <c r="B514" t="s">
        <v>206</v>
      </c>
      <c r="C514">
        <v>376</v>
      </c>
      <c r="D514" t="s">
        <v>189</v>
      </c>
      <c r="E514" t="s">
        <v>2073</v>
      </c>
      <c r="F514" t="s">
        <v>2074</v>
      </c>
      <c r="G514" t="s">
        <v>2079</v>
      </c>
      <c r="H514" t="s">
        <v>2080</v>
      </c>
      <c r="I514" t="s">
        <v>2081</v>
      </c>
      <c r="J514" t="s">
        <v>2082</v>
      </c>
      <c r="K514" t="s">
        <v>1427</v>
      </c>
      <c r="L514" t="s">
        <v>206</v>
      </c>
      <c r="BB514" t="s">
        <v>205</v>
      </c>
    </row>
    <row r="515" spans="1:54" hidden="1" x14ac:dyDescent="0.25">
      <c r="A515" t="s">
        <v>58</v>
      </c>
      <c r="B515" t="s">
        <v>206</v>
      </c>
      <c r="C515">
        <v>62</v>
      </c>
      <c r="D515" t="s">
        <v>189</v>
      </c>
      <c r="E515" t="s">
        <v>2073</v>
      </c>
      <c r="F515" t="s">
        <v>2074</v>
      </c>
      <c r="G515" t="s">
        <v>2079</v>
      </c>
      <c r="H515" t="s">
        <v>2080</v>
      </c>
      <c r="I515" t="s">
        <v>2081</v>
      </c>
      <c r="J515" t="s">
        <v>2082</v>
      </c>
      <c r="K515" t="s">
        <v>1427</v>
      </c>
      <c r="L515" t="s">
        <v>206</v>
      </c>
      <c r="BB515" t="s">
        <v>193</v>
      </c>
    </row>
    <row r="516" spans="1:54" hidden="1" x14ac:dyDescent="0.25">
      <c r="A516" t="s">
        <v>79</v>
      </c>
      <c r="B516" t="s">
        <v>206</v>
      </c>
      <c r="C516">
        <v>84</v>
      </c>
      <c r="D516" t="s">
        <v>189</v>
      </c>
      <c r="E516" t="s">
        <v>2073</v>
      </c>
      <c r="F516" t="s">
        <v>2074</v>
      </c>
      <c r="G516" t="s">
        <v>2079</v>
      </c>
      <c r="H516" t="s">
        <v>2080</v>
      </c>
      <c r="I516" t="s">
        <v>2081</v>
      </c>
      <c r="J516" t="s">
        <v>2082</v>
      </c>
      <c r="K516" t="s">
        <v>1427</v>
      </c>
      <c r="L516" t="s">
        <v>206</v>
      </c>
      <c r="BB516" t="s">
        <v>187</v>
      </c>
    </row>
    <row r="517" spans="1:54" hidden="1" x14ac:dyDescent="0.25">
      <c r="A517" t="s">
        <v>56</v>
      </c>
      <c r="B517" t="s">
        <v>206</v>
      </c>
      <c r="C517">
        <v>154</v>
      </c>
      <c r="D517" t="s">
        <v>189</v>
      </c>
      <c r="E517" t="s">
        <v>2073</v>
      </c>
      <c r="F517" t="s">
        <v>2074</v>
      </c>
      <c r="G517" t="s">
        <v>2079</v>
      </c>
      <c r="H517" t="s">
        <v>2080</v>
      </c>
      <c r="I517" t="s">
        <v>2081</v>
      </c>
      <c r="J517" t="s">
        <v>2082</v>
      </c>
      <c r="K517" t="s">
        <v>1427</v>
      </c>
      <c r="L517" t="s">
        <v>206</v>
      </c>
      <c r="BB517" t="s">
        <v>207</v>
      </c>
    </row>
    <row r="518" spans="1:54" hidden="1" x14ac:dyDescent="0.25">
      <c r="A518" t="s">
        <v>19</v>
      </c>
      <c r="B518" t="s">
        <v>206</v>
      </c>
      <c r="C518">
        <v>50</v>
      </c>
      <c r="D518" t="s">
        <v>189</v>
      </c>
      <c r="E518" t="s">
        <v>2073</v>
      </c>
      <c r="F518" t="s">
        <v>2074</v>
      </c>
      <c r="G518" t="s">
        <v>2079</v>
      </c>
      <c r="H518" t="s">
        <v>2080</v>
      </c>
      <c r="I518" t="s">
        <v>2081</v>
      </c>
      <c r="J518" t="s">
        <v>2082</v>
      </c>
      <c r="K518" t="s">
        <v>1427</v>
      </c>
      <c r="L518" t="s">
        <v>206</v>
      </c>
      <c r="BB518" t="s">
        <v>190</v>
      </c>
    </row>
    <row r="519" spans="1:54" hidden="1" x14ac:dyDescent="0.25">
      <c r="A519" t="s">
        <v>7</v>
      </c>
      <c r="B519" t="s">
        <v>206</v>
      </c>
      <c r="C519">
        <v>848</v>
      </c>
      <c r="D519" t="s">
        <v>189</v>
      </c>
      <c r="E519" t="s">
        <v>2073</v>
      </c>
      <c r="F519" t="s">
        <v>2074</v>
      </c>
      <c r="G519" t="s">
        <v>2079</v>
      </c>
      <c r="H519" t="s">
        <v>2080</v>
      </c>
      <c r="I519" t="s">
        <v>2081</v>
      </c>
      <c r="J519" t="s">
        <v>2082</v>
      </c>
      <c r="K519" t="s">
        <v>1427</v>
      </c>
      <c r="L519" t="s">
        <v>206</v>
      </c>
      <c r="BB519" t="s">
        <v>196</v>
      </c>
    </row>
    <row r="520" spans="1:54" hidden="1" x14ac:dyDescent="0.25">
      <c r="A520" t="s">
        <v>8</v>
      </c>
      <c r="B520" t="s">
        <v>206</v>
      </c>
      <c r="C520">
        <v>250</v>
      </c>
      <c r="D520" t="s">
        <v>189</v>
      </c>
      <c r="E520" t="s">
        <v>2073</v>
      </c>
      <c r="F520" t="s">
        <v>2074</v>
      </c>
      <c r="G520" t="s">
        <v>2079</v>
      </c>
      <c r="H520" t="s">
        <v>2080</v>
      </c>
      <c r="I520" t="s">
        <v>2081</v>
      </c>
      <c r="J520" t="s">
        <v>2082</v>
      </c>
      <c r="K520" t="s">
        <v>1427</v>
      </c>
      <c r="L520" t="s">
        <v>206</v>
      </c>
      <c r="BB520" t="s">
        <v>210</v>
      </c>
    </row>
    <row r="521" spans="1:54" hidden="1" x14ac:dyDescent="0.25">
      <c r="A521" t="s">
        <v>11</v>
      </c>
      <c r="B521" t="s">
        <v>206</v>
      </c>
      <c r="C521">
        <v>138</v>
      </c>
      <c r="D521" t="s">
        <v>189</v>
      </c>
      <c r="E521" t="s">
        <v>2073</v>
      </c>
      <c r="F521" t="s">
        <v>2074</v>
      </c>
      <c r="G521" t="s">
        <v>2079</v>
      </c>
      <c r="H521" t="s">
        <v>2080</v>
      </c>
      <c r="I521" t="s">
        <v>2081</v>
      </c>
      <c r="J521" t="s">
        <v>2082</v>
      </c>
      <c r="K521" t="s">
        <v>1427</v>
      </c>
      <c r="L521" t="s">
        <v>206</v>
      </c>
      <c r="BB521" t="s">
        <v>193</v>
      </c>
    </row>
    <row r="522" spans="1:54" hidden="1" x14ac:dyDescent="0.25">
      <c r="A522" t="s">
        <v>46</v>
      </c>
      <c r="B522" t="s">
        <v>206</v>
      </c>
      <c r="C522">
        <v>2491</v>
      </c>
      <c r="D522" t="s">
        <v>189</v>
      </c>
      <c r="E522" t="s">
        <v>2073</v>
      </c>
      <c r="F522" t="s">
        <v>2074</v>
      </c>
      <c r="G522" t="s">
        <v>2079</v>
      </c>
      <c r="H522" t="s">
        <v>2080</v>
      </c>
      <c r="I522" t="s">
        <v>2081</v>
      </c>
      <c r="J522" t="s">
        <v>2082</v>
      </c>
      <c r="K522" t="s">
        <v>1427</v>
      </c>
      <c r="L522" t="s">
        <v>206</v>
      </c>
      <c r="BB522" t="s">
        <v>207</v>
      </c>
    </row>
    <row r="523" spans="1:54" hidden="1" x14ac:dyDescent="0.25">
      <c r="A523" t="s">
        <v>28</v>
      </c>
      <c r="B523" t="s">
        <v>206</v>
      </c>
      <c r="C523">
        <v>380</v>
      </c>
      <c r="D523" t="s">
        <v>189</v>
      </c>
      <c r="E523" t="s">
        <v>2073</v>
      </c>
      <c r="F523" t="s">
        <v>2074</v>
      </c>
      <c r="G523" t="s">
        <v>2079</v>
      </c>
      <c r="H523" t="s">
        <v>2080</v>
      </c>
      <c r="I523" t="s">
        <v>2081</v>
      </c>
      <c r="J523" t="s">
        <v>2082</v>
      </c>
      <c r="K523" t="s">
        <v>1427</v>
      </c>
      <c r="L523" t="s">
        <v>206</v>
      </c>
      <c r="BB523" t="s">
        <v>210</v>
      </c>
    </row>
    <row r="524" spans="1:54" hidden="1" x14ac:dyDescent="0.25">
      <c r="A524" t="s">
        <v>39</v>
      </c>
      <c r="B524" t="s">
        <v>206</v>
      </c>
      <c r="C524">
        <v>385</v>
      </c>
      <c r="D524" t="s">
        <v>189</v>
      </c>
      <c r="E524" t="s">
        <v>2073</v>
      </c>
      <c r="F524" t="s">
        <v>2074</v>
      </c>
      <c r="G524" t="s">
        <v>2079</v>
      </c>
      <c r="H524" t="s">
        <v>2080</v>
      </c>
      <c r="I524" t="s">
        <v>2081</v>
      </c>
      <c r="J524" t="s">
        <v>2082</v>
      </c>
      <c r="K524" t="s">
        <v>1427</v>
      </c>
      <c r="L524" t="s">
        <v>206</v>
      </c>
      <c r="BB524" t="s">
        <v>187</v>
      </c>
    </row>
    <row r="525" spans="1:54" hidden="1" x14ac:dyDescent="0.25">
      <c r="A525" t="s">
        <v>75</v>
      </c>
      <c r="B525" t="s">
        <v>206</v>
      </c>
      <c r="C525">
        <v>619</v>
      </c>
      <c r="D525" t="s">
        <v>189</v>
      </c>
      <c r="E525" t="s">
        <v>2073</v>
      </c>
      <c r="F525" t="s">
        <v>2074</v>
      </c>
      <c r="G525" t="s">
        <v>2079</v>
      </c>
      <c r="H525" t="s">
        <v>2080</v>
      </c>
      <c r="I525" t="s">
        <v>2081</v>
      </c>
      <c r="J525" t="s">
        <v>2082</v>
      </c>
      <c r="K525" t="s">
        <v>1427</v>
      </c>
      <c r="L525" t="s">
        <v>206</v>
      </c>
      <c r="BB525" t="s">
        <v>190</v>
      </c>
    </row>
    <row r="526" spans="1:54" hidden="1" x14ac:dyDescent="0.25">
      <c r="A526" t="s">
        <v>74</v>
      </c>
      <c r="B526" t="s">
        <v>206</v>
      </c>
      <c r="C526">
        <v>32</v>
      </c>
      <c r="D526" t="s">
        <v>189</v>
      </c>
      <c r="E526" t="s">
        <v>2073</v>
      </c>
      <c r="F526" t="s">
        <v>2074</v>
      </c>
      <c r="G526" t="s">
        <v>2079</v>
      </c>
      <c r="H526" t="s">
        <v>2080</v>
      </c>
      <c r="I526" t="s">
        <v>2081</v>
      </c>
      <c r="J526" t="s">
        <v>2082</v>
      </c>
      <c r="K526" t="s">
        <v>1427</v>
      </c>
      <c r="L526" t="s">
        <v>206</v>
      </c>
      <c r="BB526" t="s">
        <v>202</v>
      </c>
    </row>
    <row r="527" spans="1:54" hidden="1" x14ac:dyDescent="0.25">
      <c r="A527" t="s">
        <v>27</v>
      </c>
      <c r="B527" t="s">
        <v>206</v>
      </c>
      <c r="C527">
        <v>67</v>
      </c>
      <c r="D527" t="s">
        <v>189</v>
      </c>
      <c r="E527" t="s">
        <v>2073</v>
      </c>
      <c r="F527" t="s">
        <v>2074</v>
      </c>
      <c r="G527" t="s">
        <v>2079</v>
      </c>
      <c r="H527" t="s">
        <v>2080</v>
      </c>
      <c r="I527" t="s">
        <v>2081</v>
      </c>
      <c r="J527" t="s">
        <v>2082</v>
      </c>
      <c r="K527" t="s">
        <v>1427</v>
      </c>
      <c r="L527" t="s">
        <v>206</v>
      </c>
      <c r="BB527" t="s">
        <v>222</v>
      </c>
    </row>
    <row r="528" spans="1:54" hidden="1" x14ac:dyDescent="0.25">
      <c r="A528" t="s">
        <v>31</v>
      </c>
      <c r="B528" t="s">
        <v>206</v>
      </c>
      <c r="C528">
        <v>74</v>
      </c>
      <c r="D528" t="s">
        <v>189</v>
      </c>
      <c r="E528" t="s">
        <v>2073</v>
      </c>
      <c r="F528" t="s">
        <v>2074</v>
      </c>
      <c r="G528" t="s">
        <v>2079</v>
      </c>
      <c r="H528" t="s">
        <v>2080</v>
      </c>
      <c r="I528" t="s">
        <v>2081</v>
      </c>
      <c r="J528" t="s">
        <v>2082</v>
      </c>
      <c r="K528" t="s">
        <v>1427</v>
      </c>
      <c r="L528" t="s">
        <v>206</v>
      </c>
      <c r="BB528" t="s">
        <v>193</v>
      </c>
    </row>
    <row r="529" spans="1:54" hidden="1" x14ac:dyDescent="0.25">
      <c r="A529" t="s">
        <v>40</v>
      </c>
      <c r="B529" t="s">
        <v>206</v>
      </c>
      <c r="C529">
        <v>2597</v>
      </c>
      <c r="D529" t="s">
        <v>189</v>
      </c>
      <c r="E529" t="s">
        <v>2073</v>
      </c>
      <c r="F529" t="s">
        <v>2074</v>
      </c>
      <c r="G529" t="s">
        <v>2079</v>
      </c>
      <c r="H529" t="s">
        <v>2080</v>
      </c>
      <c r="I529" t="s">
        <v>2081</v>
      </c>
      <c r="J529" t="s">
        <v>2082</v>
      </c>
      <c r="K529" t="s">
        <v>1427</v>
      </c>
      <c r="L529" t="s">
        <v>206</v>
      </c>
      <c r="BB529" t="s">
        <v>190</v>
      </c>
    </row>
    <row r="530" spans="1:54" hidden="1" x14ac:dyDescent="0.25">
      <c r="A530" t="s">
        <v>34</v>
      </c>
      <c r="B530" t="s">
        <v>206</v>
      </c>
      <c r="C530">
        <v>2244</v>
      </c>
      <c r="D530" t="s">
        <v>189</v>
      </c>
      <c r="E530" t="s">
        <v>2073</v>
      </c>
      <c r="F530" t="s">
        <v>2074</v>
      </c>
      <c r="G530" t="s">
        <v>2079</v>
      </c>
      <c r="H530" t="s">
        <v>2080</v>
      </c>
      <c r="I530" t="s">
        <v>2081</v>
      </c>
      <c r="J530" t="s">
        <v>2082</v>
      </c>
      <c r="K530" t="s">
        <v>1427</v>
      </c>
      <c r="L530" t="s">
        <v>206</v>
      </c>
      <c r="BB530" t="s">
        <v>187</v>
      </c>
    </row>
    <row r="531" spans="1:54" hidden="1" x14ac:dyDescent="0.25">
      <c r="A531" t="s">
        <v>42</v>
      </c>
      <c r="B531" t="s">
        <v>206</v>
      </c>
      <c r="C531">
        <v>2070</v>
      </c>
      <c r="D531" t="s">
        <v>189</v>
      </c>
      <c r="E531" t="s">
        <v>2073</v>
      </c>
      <c r="F531" t="s">
        <v>2074</v>
      </c>
      <c r="G531" t="s">
        <v>2079</v>
      </c>
      <c r="H531" t="s">
        <v>2080</v>
      </c>
      <c r="I531" t="s">
        <v>2081</v>
      </c>
      <c r="J531" t="s">
        <v>2082</v>
      </c>
      <c r="K531" t="s">
        <v>1427</v>
      </c>
      <c r="L531" t="s">
        <v>206</v>
      </c>
      <c r="BB531" t="s">
        <v>207</v>
      </c>
    </row>
    <row r="532" spans="1:54" hidden="1" x14ac:dyDescent="0.25">
      <c r="A532" t="s">
        <v>37</v>
      </c>
      <c r="B532" t="s">
        <v>206</v>
      </c>
      <c r="C532">
        <v>202</v>
      </c>
      <c r="D532" t="s">
        <v>189</v>
      </c>
      <c r="E532" t="s">
        <v>2073</v>
      </c>
      <c r="F532" t="s">
        <v>2074</v>
      </c>
      <c r="G532" t="s">
        <v>2079</v>
      </c>
      <c r="H532" t="s">
        <v>2080</v>
      </c>
      <c r="I532" t="s">
        <v>2081</v>
      </c>
      <c r="J532" t="s">
        <v>2082</v>
      </c>
      <c r="K532" t="s">
        <v>1427</v>
      </c>
      <c r="L532" t="s">
        <v>206</v>
      </c>
      <c r="BB532" t="s">
        <v>210</v>
      </c>
    </row>
    <row r="533" spans="1:54" hidden="1" x14ac:dyDescent="0.25">
      <c r="A533" t="s">
        <v>18</v>
      </c>
      <c r="B533" t="s">
        <v>206</v>
      </c>
      <c r="C533">
        <v>788</v>
      </c>
      <c r="D533" t="s">
        <v>189</v>
      </c>
      <c r="E533" t="s">
        <v>2073</v>
      </c>
      <c r="F533" t="s">
        <v>2074</v>
      </c>
      <c r="G533" t="s">
        <v>2079</v>
      </c>
      <c r="H533" t="s">
        <v>2080</v>
      </c>
      <c r="I533" t="s">
        <v>2081</v>
      </c>
      <c r="J533" t="s">
        <v>2082</v>
      </c>
      <c r="K533" t="s">
        <v>1427</v>
      </c>
      <c r="L533" t="s">
        <v>206</v>
      </c>
      <c r="BB533" t="s">
        <v>202</v>
      </c>
    </row>
    <row r="534" spans="1:54" hidden="1" x14ac:dyDescent="0.25">
      <c r="A534" t="s">
        <v>89</v>
      </c>
      <c r="B534" t="s">
        <v>206</v>
      </c>
      <c r="C534">
        <v>328</v>
      </c>
      <c r="D534" t="s">
        <v>189</v>
      </c>
      <c r="E534" t="s">
        <v>2073</v>
      </c>
      <c r="F534" t="s">
        <v>2074</v>
      </c>
      <c r="G534" t="s">
        <v>2079</v>
      </c>
      <c r="H534" t="s">
        <v>2080</v>
      </c>
      <c r="I534" t="s">
        <v>2081</v>
      </c>
      <c r="J534" t="s">
        <v>2082</v>
      </c>
      <c r="K534" t="s">
        <v>1427</v>
      </c>
      <c r="L534" t="s">
        <v>206</v>
      </c>
      <c r="BB534" t="s">
        <v>196</v>
      </c>
    </row>
    <row r="535" spans="1:54" hidden="1" x14ac:dyDescent="0.25">
      <c r="A535" t="s">
        <v>87</v>
      </c>
      <c r="B535" t="s">
        <v>206</v>
      </c>
      <c r="C535">
        <v>518</v>
      </c>
      <c r="D535" t="s">
        <v>189</v>
      </c>
      <c r="E535" t="s">
        <v>2073</v>
      </c>
      <c r="F535" t="s">
        <v>2074</v>
      </c>
      <c r="G535" t="s">
        <v>2079</v>
      </c>
      <c r="H535" t="s">
        <v>2080</v>
      </c>
      <c r="I535" t="s">
        <v>2081</v>
      </c>
      <c r="J535" t="s">
        <v>2082</v>
      </c>
      <c r="K535" t="s">
        <v>1427</v>
      </c>
      <c r="L535" t="s">
        <v>206</v>
      </c>
      <c r="BB535" t="s">
        <v>219</v>
      </c>
    </row>
    <row r="536" spans="1:54" hidden="1" x14ac:dyDescent="0.25">
      <c r="A536" t="s">
        <v>10</v>
      </c>
      <c r="B536" t="s">
        <v>206</v>
      </c>
      <c r="C536">
        <v>413</v>
      </c>
      <c r="D536" t="s">
        <v>189</v>
      </c>
      <c r="E536" t="s">
        <v>2073</v>
      </c>
      <c r="F536" t="s">
        <v>2074</v>
      </c>
      <c r="G536" t="s">
        <v>2079</v>
      </c>
      <c r="H536" t="s">
        <v>2080</v>
      </c>
      <c r="I536" t="s">
        <v>2081</v>
      </c>
      <c r="J536" t="s">
        <v>2082</v>
      </c>
      <c r="K536" t="s">
        <v>1427</v>
      </c>
      <c r="L536" t="s">
        <v>206</v>
      </c>
      <c r="BB536" t="s">
        <v>222</v>
      </c>
    </row>
    <row r="537" spans="1:54" hidden="1" x14ac:dyDescent="0.25">
      <c r="A537" t="s">
        <v>66</v>
      </c>
      <c r="B537" t="s">
        <v>206</v>
      </c>
      <c r="C537">
        <v>712</v>
      </c>
      <c r="D537" t="s">
        <v>189</v>
      </c>
      <c r="E537" t="s">
        <v>2073</v>
      </c>
      <c r="F537" t="s">
        <v>2074</v>
      </c>
      <c r="G537" t="s">
        <v>2079</v>
      </c>
      <c r="H537" t="s">
        <v>2080</v>
      </c>
      <c r="I537" t="s">
        <v>2081</v>
      </c>
      <c r="J537" t="s">
        <v>2082</v>
      </c>
      <c r="K537" t="s">
        <v>1427</v>
      </c>
      <c r="L537" t="s">
        <v>206</v>
      </c>
      <c r="BB537" t="s">
        <v>193</v>
      </c>
    </row>
    <row r="538" spans="1:54" hidden="1" x14ac:dyDescent="0.25">
      <c r="A538" t="s">
        <v>9</v>
      </c>
      <c r="B538" t="s">
        <v>206</v>
      </c>
      <c r="C538">
        <v>373</v>
      </c>
      <c r="D538" t="s">
        <v>189</v>
      </c>
      <c r="E538" t="s">
        <v>2073</v>
      </c>
      <c r="F538" t="s">
        <v>2074</v>
      </c>
      <c r="G538" t="s">
        <v>2079</v>
      </c>
      <c r="H538" t="s">
        <v>2080</v>
      </c>
      <c r="I538" t="s">
        <v>2081</v>
      </c>
      <c r="J538" t="s">
        <v>2082</v>
      </c>
      <c r="K538" t="s">
        <v>1427</v>
      </c>
      <c r="L538" t="s">
        <v>206</v>
      </c>
      <c r="BB538" t="s">
        <v>187</v>
      </c>
    </row>
    <row r="539" spans="1:54" hidden="1" x14ac:dyDescent="0.25">
      <c r="A539" t="s">
        <v>33</v>
      </c>
      <c r="B539" t="s">
        <v>206</v>
      </c>
      <c r="C539">
        <v>34</v>
      </c>
      <c r="D539" t="s">
        <v>189</v>
      </c>
      <c r="E539" t="s">
        <v>2073</v>
      </c>
      <c r="F539" t="s">
        <v>2074</v>
      </c>
      <c r="G539" t="s">
        <v>2079</v>
      </c>
      <c r="H539" t="s">
        <v>2080</v>
      </c>
      <c r="I539" t="s">
        <v>2081</v>
      </c>
      <c r="J539" t="s">
        <v>2082</v>
      </c>
      <c r="K539" t="s">
        <v>1427</v>
      </c>
      <c r="L539" t="s">
        <v>206</v>
      </c>
      <c r="BB539" t="s">
        <v>210</v>
      </c>
    </row>
    <row r="540" spans="1:54" hidden="1" x14ac:dyDescent="0.25">
      <c r="A540" t="s">
        <v>25</v>
      </c>
      <c r="B540" t="s">
        <v>206</v>
      </c>
      <c r="C540">
        <v>82</v>
      </c>
      <c r="D540" t="s">
        <v>189</v>
      </c>
      <c r="E540" t="s">
        <v>2073</v>
      </c>
      <c r="F540" t="s">
        <v>2074</v>
      </c>
      <c r="G540" t="s">
        <v>2079</v>
      </c>
      <c r="H540" t="s">
        <v>2080</v>
      </c>
      <c r="I540" t="s">
        <v>2081</v>
      </c>
      <c r="J540" t="s">
        <v>2082</v>
      </c>
      <c r="K540" t="s">
        <v>1427</v>
      </c>
      <c r="L540" t="s">
        <v>206</v>
      </c>
      <c r="BB540" t="s">
        <v>190</v>
      </c>
    </row>
    <row r="541" spans="1:54" hidden="1" x14ac:dyDescent="0.25">
      <c r="A541" t="s">
        <v>81</v>
      </c>
      <c r="B541" t="s">
        <v>206</v>
      </c>
      <c r="C541">
        <v>1015</v>
      </c>
      <c r="D541" t="s">
        <v>189</v>
      </c>
      <c r="E541" t="s">
        <v>2073</v>
      </c>
      <c r="F541" t="s">
        <v>2074</v>
      </c>
      <c r="G541" t="s">
        <v>2079</v>
      </c>
      <c r="H541" t="s">
        <v>2080</v>
      </c>
      <c r="I541" t="s">
        <v>2081</v>
      </c>
      <c r="J541" t="s">
        <v>2082</v>
      </c>
      <c r="K541" t="s">
        <v>1427</v>
      </c>
      <c r="L541" t="s">
        <v>206</v>
      </c>
      <c r="BB541" t="s">
        <v>207</v>
      </c>
    </row>
    <row r="542" spans="1:54" hidden="1" x14ac:dyDescent="0.25">
      <c r="A542" t="s">
        <v>32</v>
      </c>
      <c r="B542" t="s">
        <v>206</v>
      </c>
      <c r="C542">
        <v>826</v>
      </c>
      <c r="D542" t="s">
        <v>189</v>
      </c>
      <c r="E542" t="s">
        <v>2073</v>
      </c>
      <c r="F542" t="s">
        <v>2074</v>
      </c>
      <c r="G542" t="s">
        <v>2079</v>
      </c>
      <c r="H542" t="s">
        <v>2080</v>
      </c>
      <c r="I542" t="s">
        <v>2081</v>
      </c>
      <c r="J542" t="s">
        <v>2082</v>
      </c>
      <c r="K542" t="s">
        <v>1427</v>
      </c>
      <c r="L542" t="s">
        <v>206</v>
      </c>
      <c r="BB542" t="s">
        <v>202</v>
      </c>
    </row>
    <row r="543" spans="1:54" hidden="1" x14ac:dyDescent="0.25">
      <c r="A543" t="s">
        <v>65</v>
      </c>
      <c r="B543" t="s">
        <v>206</v>
      </c>
      <c r="C543">
        <v>1547</v>
      </c>
      <c r="D543" t="s">
        <v>189</v>
      </c>
      <c r="E543" t="s">
        <v>2073</v>
      </c>
      <c r="F543" t="s">
        <v>2074</v>
      </c>
      <c r="G543" t="s">
        <v>2079</v>
      </c>
      <c r="H543" t="s">
        <v>2080</v>
      </c>
      <c r="I543" t="s">
        <v>2081</v>
      </c>
      <c r="J543" t="s">
        <v>2082</v>
      </c>
      <c r="K543" t="s">
        <v>1427</v>
      </c>
      <c r="L543" t="s">
        <v>206</v>
      </c>
      <c r="BB543" t="s">
        <v>199</v>
      </c>
    </row>
    <row r="544" spans="1:54" hidden="1" x14ac:dyDescent="0.25">
      <c r="A544" t="s">
        <v>59</v>
      </c>
      <c r="B544" t="s">
        <v>206</v>
      </c>
      <c r="C544">
        <v>1750</v>
      </c>
      <c r="D544" t="s">
        <v>189</v>
      </c>
      <c r="E544" t="s">
        <v>2073</v>
      </c>
      <c r="F544" t="s">
        <v>2074</v>
      </c>
      <c r="G544" t="s">
        <v>2079</v>
      </c>
      <c r="H544" t="s">
        <v>2080</v>
      </c>
      <c r="I544" t="s">
        <v>2081</v>
      </c>
      <c r="J544" t="s">
        <v>2082</v>
      </c>
      <c r="K544" t="s">
        <v>1427</v>
      </c>
      <c r="L544" t="s">
        <v>206</v>
      </c>
      <c r="BB544" t="s">
        <v>239</v>
      </c>
    </row>
    <row r="545" spans="1:54" hidden="1" x14ac:dyDescent="0.25">
      <c r="A545" t="s">
        <v>15</v>
      </c>
      <c r="B545" t="s">
        <v>206</v>
      </c>
      <c r="C545">
        <v>247</v>
      </c>
      <c r="D545" t="s">
        <v>189</v>
      </c>
      <c r="E545" t="s">
        <v>2073</v>
      </c>
      <c r="F545" t="s">
        <v>2074</v>
      </c>
      <c r="G545" t="s">
        <v>2079</v>
      </c>
      <c r="H545" t="s">
        <v>2080</v>
      </c>
      <c r="I545" t="s">
        <v>2081</v>
      </c>
      <c r="J545" t="s">
        <v>2082</v>
      </c>
      <c r="K545" t="s">
        <v>1427</v>
      </c>
      <c r="L545" t="s">
        <v>206</v>
      </c>
      <c r="BB545" t="s">
        <v>196</v>
      </c>
    </row>
    <row r="546" spans="1:54" hidden="1" x14ac:dyDescent="0.25">
      <c r="A546" t="s">
        <v>22</v>
      </c>
      <c r="B546" t="s">
        <v>206</v>
      </c>
      <c r="C546">
        <v>37</v>
      </c>
      <c r="D546" t="s">
        <v>189</v>
      </c>
      <c r="E546" t="s">
        <v>2073</v>
      </c>
      <c r="F546" t="s">
        <v>2074</v>
      </c>
      <c r="G546" t="s">
        <v>2079</v>
      </c>
      <c r="H546" t="s">
        <v>2080</v>
      </c>
      <c r="I546" t="s">
        <v>2081</v>
      </c>
      <c r="J546" t="s">
        <v>2082</v>
      </c>
      <c r="K546" t="s">
        <v>1427</v>
      </c>
      <c r="L546" t="s">
        <v>206</v>
      </c>
      <c r="BB546" t="s">
        <v>187</v>
      </c>
    </row>
    <row r="547" spans="1:54" hidden="1" x14ac:dyDescent="0.25">
      <c r="A547" t="s">
        <v>49</v>
      </c>
      <c r="B547" t="s">
        <v>206</v>
      </c>
      <c r="C547">
        <v>485</v>
      </c>
      <c r="D547" t="s">
        <v>189</v>
      </c>
      <c r="E547" t="s">
        <v>2073</v>
      </c>
      <c r="F547" t="s">
        <v>2074</v>
      </c>
      <c r="G547" t="s">
        <v>2079</v>
      </c>
      <c r="H547" t="s">
        <v>2080</v>
      </c>
      <c r="I547" t="s">
        <v>2081</v>
      </c>
      <c r="J547" t="s">
        <v>2082</v>
      </c>
      <c r="K547" t="s">
        <v>1427</v>
      </c>
      <c r="L547" t="s">
        <v>206</v>
      </c>
      <c r="BB547" t="s">
        <v>210</v>
      </c>
    </row>
    <row r="548" spans="1:54" hidden="1" x14ac:dyDescent="0.25">
      <c r="A548" t="s">
        <v>54</v>
      </c>
      <c r="B548" t="s">
        <v>206</v>
      </c>
      <c r="C548">
        <v>147</v>
      </c>
      <c r="D548" t="s">
        <v>189</v>
      </c>
      <c r="E548" t="s">
        <v>2073</v>
      </c>
      <c r="F548" t="s">
        <v>2074</v>
      </c>
      <c r="G548" t="s">
        <v>2079</v>
      </c>
      <c r="H548" t="s">
        <v>2080</v>
      </c>
      <c r="I548" t="s">
        <v>2081</v>
      </c>
      <c r="J548" t="s">
        <v>2082</v>
      </c>
      <c r="K548" t="s">
        <v>1427</v>
      </c>
      <c r="L548" t="s">
        <v>206</v>
      </c>
      <c r="BB548" t="s">
        <v>193</v>
      </c>
    </row>
    <row r="549" spans="1:54" hidden="1" x14ac:dyDescent="0.25">
      <c r="A549" t="s">
        <v>41</v>
      </c>
      <c r="B549" t="s">
        <v>206</v>
      </c>
      <c r="C549">
        <v>1325</v>
      </c>
      <c r="D549" t="s">
        <v>189</v>
      </c>
      <c r="E549" t="s">
        <v>2073</v>
      </c>
      <c r="F549" t="s">
        <v>2074</v>
      </c>
      <c r="G549" t="s">
        <v>2079</v>
      </c>
      <c r="H549" t="s">
        <v>2080</v>
      </c>
      <c r="I549" t="s">
        <v>2081</v>
      </c>
      <c r="J549" t="s">
        <v>2082</v>
      </c>
      <c r="K549" t="s">
        <v>1427</v>
      </c>
      <c r="L549" t="s">
        <v>206</v>
      </c>
      <c r="BB549" t="s">
        <v>190</v>
      </c>
    </row>
    <row r="550" spans="1:54" hidden="1" x14ac:dyDescent="0.25">
      <c r="A550" t="s">
        <v>72</v>
      </c>
      <c r="B550" t="s">
        <v>206</v>
      </c>
      <c r="C550">
        <v>4113</v>
      </c>
      <c r="D550" t="s">
        <v>189</v>
      </c>
      <c r="E550" t="s">
        <v>2073</v>
      </c>
      <c r="F550" t="s">
        <v>2074</v>
      </c>
      <c r="G550" t="s">
        <v>2079</v>
      </c>
      <c r="H550" t="s">
        <v>2080</v>
      </c>
      <c r="I550" t="s">
        <v>2081</v>
      </c>
      <c r="J550" t="s">
        <v>2082</v>
      </c>
      <c r="K550" t="s">
        <v>1427</v>
      </c>
      <c r="L550" t="s">
        <v>206</v>
      </c>
      <c r="BB550" t="s">
        <v>199</v>
      </c>
    </row>
    <row r="551" spans="1:54" hidden="1" x14ac:dyDescent="0.25">
      <c r="A551" t="s">
        <v>26</v>
      </c>
      <c r="B551" t="s">
        <v>206</v>
      </c>
      <c r="C551">
        <v>830</v>
      </c>
      <c r="D551" t="s">
        <v>189</v>
      </c>
      <c r="E551" t="s">
        <v>2073</v>
      </c>
      <c r="F551" t="s">
        <v>2074</v>
      </c>
      <c r="G551" t="s">
        <v>2079</v>
      </c>
      <c r="H551" t="s">
        <v>2080</v>
      </c>
      <c r="I551" t="s">
        <v>2081</v>
      </c>
      <c r="J551" t="s">
        <v>2082</v>
      </c>
      <c r="K551" t="s">
        <v>1427</v>
      </c>
      <c r="L551" t="s">
        <v>206</v>
      </c>
      <c r="BB551" t="s">
        <v>236</v>
      </c>
    </row>
    <row r="552" spans="1:54" hidden="1" x14ac:dyDescent="0.25">
      <c r="A552" t="s">
        <v>55</v>
      </c>
      <c r="B552" t="s">
        <v>206</v>
      </c>
      <c r="C552">
        <v>331</v>
      </c>
      <c r="D552" t="s">
        <v>189</v>
      </c>
      <c r="E552" t="s">
        <v>2073</v>
      </c>
      <c r="F552" t="s">
        <v>2074</v>
      </c>
      <c r="G552" t="s">
        <v>2079</v>
      </c>
      <c r="H552" t="s">
        <v>2080</v>
      </c>
      <c r="I552" t="s">
        <v>2081</v>
      </c>
      <c r="J552" t="s">
        <v>2082</v>
      </c>
      <c r="K552" t="s">
        <v>1427</v>
      </c>
      <c r="L552" t="s">
        <v>206</v>
      </c>
      <c r="BB552" t="s">
        <v>216</v>
      </c>
    </row>
    <row r="553" spans="1:54" hidden="1" x14ac:dyDescent="0.25">
      <c r="A553" t="s">
        <v>14</v>
      </c>
      <c r="B553" t="s">
        <v>206</v>
      </c>
      <c r="C553">
        <v>67</v>
      </c>
      <c r="D553" t="s">
        <v>189</v>
      </c>
      <c r="E553" t="s">
        <v>2073</v>
      </c>
      <c r="F553" t="s">
        <v>2074</v>
      </c>
      <c r="G553" t="s">
        <v>2079</v>
      </c>
      <c r="H553" t="s">
        <v>2080</v>
      </c>
      <c r="I553" t="s">
        <v>2081</v>
      </c>
      <c r="J553" t="s">
        <v>2082</v>
      </c>
      <c r="K553" t="s">
        <v>1427</v>
      </c>
      <c r="L553" t="s">
        <v>206</v>
      </c>
      <c r="BB553" t="s">
        <v>187</v>
      </c>
    </row>
    <row r="554" spans="1:54" hidden="1" x14ac:dyDescent="0.25">
      <c r="A554" t="s">
        <v>67</v>
      </c>
      <c r="B554" t="s">
        <v>206</v>
      </c>
      <c r="C554">
        <v>131</v>
      </c>
      <c r="D554" t="s">
        <v>189</v>
      </c>
      <c r="E554" t="s">
        <v>2073</v>
      </c>
      <c r="F554" t="s">
        <v>2074</v>
      </c>
      <c r="G554" t="s">
        <v>2079</v>
      </c>
      <c r="H554" t="s">
        <v>2080</v>
      </c>
      <c r="I554" t="s">
        <v>2081</v>
      </c>
      <c r="J554" t="s">
        <v>2082</v>
      </c>
      <c r="K554" t="s">
        <v>1427</v>
      </c>
      <c r="L554" t="s">
        <v>206</v>
      </c>
      <c r="BB554" t="s">
        <v>193</v>
      </c>
    </row>
    <row r="555" spans="1:54" hidden="1" x14ac:dyDescent="0.25">
      <c r="A555" t="s">
        <v>24</v>
      </c>
      <c r="B555" t="s">
        <v>206</v>
      </c>
      <c r="C555">
        <v>37</v>
      </c>
      <c r="D555" t="s">
        <v>189</v>
      </c>
      <c r="E555" t="s">
        <v>2073</v>
      </c>
      <c r="F555" t="s">
        <v>2074</v>
      </c>
      <c r="G555" t="s">
        <v>2079</v>
      </c>
      <c r="H555" t="s">
        <v>2080</v>
      </c>
      <c r="I555" t="s">
        <v>2081</v>
      </c>
      <c r="J555" t="s">
        <v>2082</v>
      </c>
      <c r="K555" t="s">
        <v>1427</v>
      </c>
      <c r="L555" t="s">
        <v>206</v>
      </c>
      <c r="BB555" t="s">
        <v>210</v>
      </c>
    </row>
    <row r="556" spans="1:54" hidden="1" x14ac:dyDescent="0.25">
      <c r="A556" t="s">
        <v>62</v>
      </c>
      <c r="B556" t="s">
        <v>206</v>
      </c>
      <c r="C556">
        <v>212</v>
      </c>
      <c r="D556" t="s">
        <v>189</v>
      </c>
      <c r="E556" t="s">
        <v>2073</v>
      </c>
      <c r="F556" t="s">
        <v>2074</v>
      </c>
      <c r="G556" t="s">
        <v>2079</v>
      </c>
      <c r="H556" t="s">
        <v>2080</v>
      </c>
      <c r="I556" t="s">
        <v>2081</v>
      </c>
      <c r="J556" t="s">
        <v>2082</v>
      </c>
      <c r="K556" t="s">
        <v>1427</v>
      </c>
      <c r="L556" t="s">
        <v>206</v>
      </c>
      <c r="BB556" t="s">
        <v>202</v>
      </c>
    </row>
    <row r="557" spans="1:54" hidden="1" x14ac:dyDescent="0.25">
      <c r="A557" t="s">
        <v>57</v>
      </c>
      <c r="B557" t="s">
        <v>206</v>
      </c>
      <c r="C557">
        <v>647</v>
      </c>
      <c r="D557" t="s">
        <v>189</v>
      </c>
      <c r="E557" t="s">
        <v>2073</v>
      </c>
      <c r="F557" t="s">
        <v>2074</v>
      </c>
      <c r="G557" t="s">
        <v>2079</v>
      </c>
      <c r="H557" t="s">
        <v>2080</v>
      </c>
      <c r="I557" t="s">
        <v>2081</v>
      </c>
      <c r="J557" t="s">
        <v>2082</v>
      </c>
      <c r="K557" t="s">
        <v>1427</v>
      </c>
      <c r="L557" t="s">
        <v>206</v>
      </c>
      <c r="BB557" t="s">
        <v>207</v>
      </c>
    </row>
    <row r="558" spans="1:54" hidden="1" x14ac:dyDescent="0.25">
      <c r="A558" t="s">
        <v>68</v>
      </c>
      <c r="B558" t="s">
        <v>206</v>
      </c>
      <c r="C558">
        <v>1043</v>
      </c>
      <c r="D558" t="s">
        <v>189</v>
      </c>
      <c r="E558" t="s">
        <v>2073</v>
      </c>
      <c r="F558" t="s">
        <v>2074</v>
      </c>
      <c r="G558" t="s">
        <v>2079</v>
      </c>
      <c r="H558" t="s">
        <v>2080</v>
      </c>
      <c r="I558" t="s">
        <v>2081</v>
      </c>
      <c r="J558" t="s">
        <v>2082</v>
      </c>
      <c r="K558" t="s">
        <v>1427</v>
      </c>
      <c r="L558" t="s">
        <v>206</v>
      </c>
      <c r="BB558" t="s">
        <v>216</v>
      </c>
    </row>
    <row r="559" spans="1:54" hidden="1" x14ac:dyDescent="0.25">
      <c r="A559" t="s">
        <v>36</v>
      </c>
      <c r="B559" t="s">
        <v>206</v>
      </c>
      <c r="C559">
        <v>199</v>
      </c>
      <c r="D559" t="s">
        <v>189</v>
      </c>
      <c r="E559" t="s">
        <v>2073</v>
      </c>
      <c r="F559" t="s">
        <v>2074</v>
      </c>
      <c r="G559" t="s">
        <v>2079</v>
      </c>
      <c r="H559" t="s">
        <v>2080</v>
      </c>
      <c r="I559" t="s">
        <v>2081</v>
      </c>
      <c r="J559" t="s">
        <v>2082</v>
      </c>
      <c r="K559" t="s">
        <v>1427</v>
      </c>
      <c r="L559" t="s">
        <v>206</v>
      </c>
      <c r="BB559" t="s">
        <v>205</v>
      </c>
    </row>
    <row r="560" spans="1:54" hidden="1" x14ac:dyDescent="0.25">
      <c r="A560" t="s">
        <v>60</v>
      </c>
      <c r="B560" t="s">
        <v>206</v>
      </c>
      <c r="C560">
        <v>441</v>
      </c>
      <c r="D560" t="s">
        <v>189</v>
      </c>
      <c r="E560" t="s">
        <v>2073</v>
      </c>
      <c r="F560" t="s">
        <v>2074</v>
      </c>
      <c r="G560" t="s">
        <v>2079</v>
      </c>
      <c r="H560" t="s">
        <v>2080</v>
      </c>
      <c r="I560" t="s">
        <v>2081</v>
      </c>
      <c r="J560" t="s">
        <v>2082</v>
      </c>
      <c r="K560" t="s">
        <v>1427</v>
      </c>
      <c r="L560" t="s">
        <v>206</v>
      </c>
      <c r="BB560" t="s">
        <v>219</v>
      </c>
    </row>
    <row r="561" spans="1:54" hidden="1" x14ac:dyDescent="0.25">
      <c r="A561" t="s">
        <v>91</v>
      </c>
      <c r="B561" t="s">
        <v>206</v>
      </c>
      <c r="C561">
        <v>347</v>
      </c>
      <c r="D561" t="s">
        <v>189</v>
      </c>
      <c r="E561" t="s">
        <v>2073</v>
      </c>
      <c r="F561" t="s">
        <v>2074</v>
      </c>
      <c r="G561" t="s">
        <v>2079</v>
      </c>
      <c r="H561" t="s">
        <v>2080</v>
      </c>
      <c r="I561" t="s">
        <v>2081</v>
      </c>
      <c r="J561" t="s">
        <v>2082</v>
      </c>
      <c r="K561" t="s">
        <v>1427</v>
      </c>
      <c r="L561" t="s">
        <v>206</v>
      </c>
      <c r="BB561" t="s">
        <v>222</v>
      </c>
    </row>
    <row r="562" spans="1:54" hidden="1" x14ac:dyDescent="0.25">
      <c r="A562" t="s">
        <v>21</v>
      </c>
      <c r="B562" t="s">
        <v>206</v>
      </c>
      <c r="C562">
        <v>11</v>
      </c>
      <c r="D562" t="s">
        <v>189</v>
      </c>
      <c r="E562" t="s">
        <v>2073</v>
      </c>
      <c r="F562" t="s">
        <v>2074</v>
      </c>
      <c r="G562" t="s">
        <v>2079</v>
      </c>
      <c r="H562" t="s">
        <v>2080</v>
      </c>
      <c r="I562" t="s">
        <v>2081</v>
      </c>
      <c r="J562" t="s">
        <v>2082</v>
      </c>
      <c r="K562" t="s">
        <v>1427</v>
      </c>
      <c r="L562" t="s">
        <v>206</v>
      </c>
      <c r="BB562" t="s">
        <v>199</v>
      </c>
    </row>
    <row r="563" spans="1:54" hidden="1" x14ac:dyDescent="0.25">
      <c r="A563" t="s">
        <v>85</v>
      </c>
      <c r="B563" t="s">
        <v>206</v>
      </c>
      <c r="C563">
        <v>96</v>
      </c>
      <c r="D563" t="s">
        <v>189</v>
      </c>
      <c r="E563" t="s">
        <v>2073</v>
      </c>
      <c r="F563" t="s">
        <v>2074</v>
      </c>
      <c r="G563" t="s">
        <v>2079</v>
      </c>
      <c r="H563" t="s">
        <v>2080</v>
      </c>
      <c r="I563" t="s">
        <v>2081</v>
      </c>
      <c r="J563" t="s">
        <v>2082</v>
      </c>
      <c r="K563" t="s">
        <v>1427</v>
      </c>
      <c r="L563" t="s">
        <v>206</v>
      </c>
      <c r="BB563" t="s">
        <v>196</v>
      </c>
    </row>
    <row r="564" spans="1:54" hidden="1" x14ac:dyDescent="0.25">
      <c r="A564" t="s">
        <v>52</v>
      </c>
      <c r="B564" t="s">
        <v>206</v>
      </c>
      <c r="C564">
        <v>29</v>
      </c>
      <c r="D564" t="s">
        <v>189</v>
      </c>
      <c r="E564" t="s">
        <v>2073</v>
      </c>
      <c r="F564" t="s">
        <v>2074</v>
      </c>
      <c r="G564" t="s">
        <v>2079</v>
      </c>
      <c r="H564" t="s">
        <v>2080</v>
      </c>
      <c r="I564" t="s">
        <v>2081</v>
      </c>
      <c r="J564" t="s">
        <v>2082</v>
      </c>
      <c r="K564" t="s">
        <v>1427</v>
      </c>
      <c r="L564" t="s">
        <v>206</v>
      </c>
      <c r="BB564" t="s">
        <v>236</v>
      </c>
    </row>
    <row r="565" spans="1:54" hidden="1" x14ac:dyDescent="0.25">
      <c r="A565" t="s">
        <v>6</v>
      </c>
      <c r="B565" t="s">
        <v>206</v>
      </c>
      <c r="C565">
        <v>164</v>
      </c>
      <c r="D565" t="s">
        <v>189</v>
      </c>
      <c r="E565" t="s">
        <v>2073</v>
      </c>
      <c r="F565" t="s">
        <v>2074</v>
      </c>
      <c r="G565" t="s">
        <v>2079</v>
      </c>
      <c r="H565" t="s">
        <v>2080</v>
      </c>
      <c r="I565" t="s">
        <v>2081</v>
      </c>
      <c r="J565" t="s">
        <v>2082</v>
      </c>
      <c r="K565" t="s">
        <v>1427</v>
      </c>
      <c r="L565" t="s">
        <v>206</v>
      </c>
      <c r="BB565" t="s">
        <v>187</v>
      </c>
    </row>
    <row r="566" spans="1:54" hidden="1" x14ac:dyDescent="0.25">
      <c r="A566" t="s">
        <v>12</v>
      </c>
      <c r="B566" t="s">
        <v>206</v>
      </c>
      <c r="C566">
        <v>323</v>
      </c>
      <c r="D566" t="s">
        <v>189</v>
      </c>
      <c r="E566" t="s">
        <v>2073</v>
      </c>
      <c r="F566" t="s">
        <v>2074</v>
      </c>
      <c r="G566" t="s">
        <v>2079</v>
      </c>
      <c r="H566" t="s">
        <v>2080</v>
      </c>
      <c r="I566" t="s">
        <v>2081</v>
      </c>
      <c r="J566" t="s">
        <v>2082</v>
      </c>
      <c r="K566" t="s">
        <v>1427</v>
      </c>
      <c r="L566" t="s">
        <v>206</v>
      </c>
      <c r="BB566" t="s">
        <v>193</v>
      </c>
    </row>
    <row r="567" spans="1:54" hidden="1" x14ac:dyDescent="0.25">
      <c r="A567" t="s">
        <v>92</v>
      </c>
      <c r="B567" t="s">
        <v>206</v>
      </c>
      <c r="C567">
        <v>88</v>
      </c>
      <c r="D567" t="s">
        <v>189</v>
      </c>
      <c r="E567" t="s">
        <v>2073</v>
      </c>
      <c r="F567" t="s">
        <v>2074</v>
      </c>
      <c r="G567" t="s">
        <v>2079</v>
      </c>
      <c r="H567" t="s">
        <v>2080</v>
      </c>
      <c r="I567" t="s">
        <v>2081</v>
      </c>
      <c r="J567" t="s">
        <v>2082</v>
      </c>
      <c r="K567" t="s">
        <v>1427</v>
      </c>
      <c r="L567" t="s">
        <v>206</v>
      </c>
      <c r="BB567" t="s">
        <v>210</v>
      </c>
    </row>
    <row r="568" spans="1:54" hidden="1" x14ac:dyDescent="0.25">
      <c r="A568" t="s">
        <v>53</v>
      </c>
      <c r="B568" t="s">
        <v>206</v>
      </c>
      <c r="C568">
        <v>1412</v>
      </c>
      <c r="D568" t="s">
        <v>189</v>
      </c>
      <c r="E568" t="s">
        <v>2073</v>
      </c>
      <c r="F568" t="s">
        <v>2074</v>
      </c>
      <c r="G568" t="s">
        <v>2079</v>
      </c>
      <c r="H568" t="s">
        <v>2080</v>
      </c>
      <c r="I568" t="s">
        <v>2081</v>
      </c>
      <c r="J568" t="s">
        <v>2082</v>
      </c>
      <c r="K568" t="s">
        <v>1427</v>
      </c>
      <c r="L568" t="s">
        <v>206</v>
      </c>
      <c r="BB568" t="s">
        <v>202</v>
      </c>
    </row>
    <row r="569" spans="1:54" hidden="1" x14ac:dyDescent="0.25">
      <c r="A569" t="s">
        <v>76</v>
      </c>
      <c r="B569" t="s">
        <v>206</v>
      </c>
      <c r="C569">
        <v>1635</v>
      </c>
      <c r="D569" t="s">
        <v>189</v>
      </c>
      <c r="E569" t="s">
        <v>2073</v>
      </c>
      <c r="F569" t="s">
        <v>2074</v>
      </c>
      <c r="G569" t="s">
        <v>2079</v>
      </c>
      <c r="H569" t="s">
        <v>2080</v>
      </c>
      <c r="I569" t="s">
        <v>2081</v>
      </c>
      <c r="J569" t="s">
        <v>2082</v>
      </c>
      <c r="K569" t="s">
        <v>1427</v>
      </c>
      <c r="L569" t="s">
        <v>206</v>
      </c>
      <c r="BB569" t="s">
        <v>207</v>
      </c>
    </row>
    <row r="570" spans="1:54" hidden="1" x14ac:dyDescent="0.25">
      <c r="A570" t="s">
        <v>90</v>
      </c>
      <c r="B570" t="s">
        <v>206</v>
      </c>
      <c r="C570">
        <v>1493</v>
      </c>
      <c r="D570" t="s">
        <v>189</v>
      </c>
      <c r="E570" t="s">
        <v>2073</v>
      </c>
      <c r="F570" t="s">
        <v>2074</v>
      </c>
      <c r="G570" t="s">
        <v>2079</v>
      </c>
      <c r="H570" t="s">
        <v>2080</v>
      </c>
      <c r="I570" t="s">
        <v>2081</v>
      </c>
      <c r="J570" t="s">
        <v>2082</v>
      </c>
      <c r="K570" t="s">
        <v>1427</v>
      </c>
      <c r="L570" t="s">
        <v>206</v>
      </c>
      <c r="BB570" t="s">
        <v>216</v>
      </c>
    </row>
    <row r="571" spans="1:54" hidden="1" x14ac:dyDescent="0.25">
      <c r="A571" t="s">
        <v>30</v>
      </c>
      <c r="B571" t="s">
        <v>243</v>
      </c>
      <c r="C571">
        <v>5</v>
      </c>
      <c r="D571" t="s">
        <v>212</v>
      </c>
      <c r="E571" t="s">
        <v>2073</v>
      </c>
      <c r="F571" t="s">
        <v>2074</v>
      </c>
      <c r="G571" t="s">
        <v>2085</v>
      </c>
      <c r="H571" t="s">
        <v>2086</v>
      </c>
      <c r="I571" t="s">
        <v>2087</v>
      </c>
      <c r="J571" t="s">
        <v>2088</v>
      </c>
      <c r="K571" t="s">
        <v>1456</v>
      </c>
      <c r="L571" t="s">
        <v>243</v>
      </c>
      <c r="BB571" t="s">
        <v>205</v>
      </c>
    </row>
    <row r="572" spans="1:54" hidden="1" x14ac:dyDescent="0.25">
      <c r="A572" t="s">
        <v>81</v>
      </c>
      <c r="B572" t="s">
        <v>243</v>
      </c>
      <c r="C572">
        <v>51</v>
      </c>
      <c r="D572" t="s">
        <v>212</v>
      </c>
      <c r="E572" t="s">
        <v>2073</v>
      </c>
      <c r="F572" t="s">
        <v>2074</v>
      </c>
      <c r="G572" t="s">
        <v>2085</v>
      </c>
      <c r="H572" t="s">
        <v>2086</v>
      </c>
      <c r="I572" t="s">
        <v>2087</v>
      </c>
      <c r="J572" t="s">
        <v>2088</v>
      </c>
      <c r="K572" t="s">
        <v>1456</v>
      </c>
      <c r="L572" t="s">
        <v>243</v>
      </c>
      <c r="BB572" t="s">
        <v>219</v>
      </c>
    </row>
    <row r="573" spans="1:54" hidden="1" x14ac:dyDescent="0.25">
      <c r="A573" t="s">
        <v>64</v>
      </c>
      <c r="B573" t="s">
        <v>208</v>
      </c>
      <c r="C573">
        <v>31</v>
      </c>
      <c r="D573" t="s">
        <v>209</v>
      </c>
      <c r="E573" t="s">
        <v>2073</v>
      </c>
      <c r="F573" t="s">
        <v>2074</v>
      </c>
      <c r="G573" t="s">
        <v>2075</v>
      </c>
      <c r="H573" t="s">
        <v>2089</v>
      </c>
      <c r="I573" t="s">
        <v>2095</v>
      </c>
      <c r="J573" t="s">
        <v>2096</v>
      </c>
      <c r="K573" t="s">
        <v>1422</v>
      </c>
      <c r="L573" t="s">
        <v>208</v>
      </c>
      <c r="BB573" t="s">
        <v>222</v>
      </c>
    </row>
    <row r="574" spans="1:54" hidden="1" x14ac:dyDescent="0.25">
      <c r="A574" t="s">
        <v>51</v>
      </c>
      <c r="B574" t="s">
        <v>208</v>
      </c>
      <c r="C574">
        <v>26</v>
      </c>
      <c r="D574" t="s">
        <v>209</v>
      </c>
      <c r="E574" t="s">
        <v>2073</v>
      </c>
      <c r="F574" t="s">
        <v>2074</v>
      </c>
      <c r="G574" t="s">
        <v>2075</v>
      </c>
      <c r="H574" t="s">
        <v>2089</v>
      </c>
      <c r="I574" t="s">
        <v>2095</v>
      </c>
      <c r="J574" t="s">
        <v>2096</v>
      </c>
      <c r="K574" t="s">
        <v>1422</v>
      </c>
      <c r="L574" t="s">
        <v>208</v>
      </c>
      <c r="BB574" t="s">
        <v>228</v>
      </c>
    </row>
    <row r="575" spans="1:54" hidden="1" x14ac:dyDescent="0.25">
      <c r="A575" t="s">
        <v>84</v>
      </c>
      <c r="B575" t="s">
        <v>208</v>
      </c>
      <c r="C575">
        <v>1331</v>
      </c>
      <c r="D575" t="s">
        <v>209</v>
      </c>
      <c r="E575" t="s">
        <v>2073</v>
      </c>
      <c r="F575" t="s">
        <v>2074</v>
      </c>
      <c r="G575" t="s">
        <v>2075</v>
      </c>
      <c r="H575" t="s">
        <v>2089</v>
      </c>
      <c r="I575" t="s">
        <v>2095</v>
      </c>
      <c r="J575" t="s">
        <v>2096</v>
      </c>
      <c r="K575" t="s">
        <v>1422</v>
      </c>
      <c r="L575" t="s">
        <v>208</v>
      </c>
      <c r="BB575" t="s">
        <v>199</v>
      </c>
    </row>
    <row r="576" spans="1:54" hidden="1" x14ac:dyDescent="0.25">
      <c r="A576" t="s">
        <v>58</v>
      </c>
      <c r="B576" t="s">
        <v>208</v>
      </c>
      <c r="C576">
        <v>1699</v>
      </c>
      <c r="D576" t="s">
        <v>209</v>
      </c>
      <c r="E576" t="s">
        <v>2073</v>
      </c>
      <c r="F576" t="s">
        <v>2074</v>
      </c>
      <c r="G576" t="s">
        <v>2075</v>
      </c>
      <c r="H576" t="s">
        <v>2089</v>
      </c>
      <c r="I576" t="s">
        <v>2095</v>
      </c>
      <c r="J576" t="s">
        <v>2096</v>
      </c>
      <c r="K576" t="s">
        <v>1422</v>
      </c>
      <c r="L576" t="s">
        <v>208</v>
      </c>
      <c r="BB576" t="s">
        <v>196</v>
      </c>
    </row>
    <row r="577" spans="1:54" hidden="1" x14ac:dyDescent="0.25">
      <c r="A577" t="s">
        <v>79</v>
      </c>
      <c r="B577" t="s">
        <v>208</v>
      </c>
      <c r="C577">
        <v>524</v>
      </c>
      <c r="D577" t="s">
        <v>209</v>
      </c>
      <c r="E577" t="s">
        <v>2073</v>
      </c>
      <c r="F577" t="s">
        <v>2074</v>
      </c>
      <c r="G577" t="s">
        <v>2075</v>
      </c>
      <c r="H577" t="s">
        <v>2089</v>
      </c>
      <c r="I577" t="s">
        <v>2095</v>
      </c>
      <c r="J577" t="s">
        <v>2096</v>
      </c>
      <c r="K577" t="s">
        <v>1422</v>
      </c>
      <c r="L577" t="s">
        <v>208</v>
      </c>
      <c r="BB577" t="s">
        <v>187</v>
      </c>
    </row>
    <row r="578" spans="1:54" hidden="1" x14ac:dyDescent="0.25">
      <c r="A578" t="s">
        <v>56</v>
      </c>
      <c r="B578" t="s">
        <v>208</v>
      </c>
      <c r="C578">
        <v>36</v>
      </c>
      <c r="D578" t="s">
        <v>209</v>
      </c>
      <c r="E578" t="s">
        <v>2073</v>
      </c>
      <c r="F578" t="s">
        <v>2074</v>
      </c>
      <c r="G578" t="s">
        <v>2075</v>
      </c>
      <c r="H578" t="s">
        <v>2089</v>
      </c>
      <c r="I578" t="s">
        <v>2095</v>
      </c>
      <c r="J578" t="s">
        <v>2096</v>
      </c>
      <c r="K578" t="s">
        <v>1422</v>
      </c>
      <c r="L578" t="s">
        <v>208</v>
      </c>
      <c r="BB578" t="s">
        <v>193</v>
      </c>
    </row>
    <row r="579" spans="1:54" hidden="1" x14ac:dyDescent="0.25">
      <c r="A579" t="s">
        <v>19</v>
      </c>
      <c r="B579" t="s">
        <v>208</v>
      </c>
      <c r="C579">
        <v>259</v>
      </c>
      <c r="D579" t="s">
        <v>209</v>
      </c>
      <c r="E579" t="s">
        <v>2073</v>
      </c>
      <c r="F579" t="s">
        <v>2074</v>
      </c>
      <c r="G579" t="s">
        <v>2075</v>
      </c>
      <c r="H579" t="s">
        <v>2089</v>
      </c>
      <c r="I579" t="s">
        <v>2095</v>
      </c>
      <c r="J579" t="s">
        <v>2096</v>
      </c>
      <c r="K579" t="s">
        <v>1422</v>
      </c>
      <c r="L579" t="s">
        <v>208</v>
      </c>
      <c r="BB579" t="s">
        <v>210</v>
      </c>
    </row>
    <row r="580" spans="1:54" hidden="1" x14ac:dyDescent="0.25">
      <c r="A580" t="s">
        <v>70</v>
      </c>
      <c r="B580" t="s">
        <v>208</v>
      </c>
      <c r="C580">
        <v>340</v>
      </c>
      <c r="D580" t="s">
        <v>209</v>
      </c>
      <c r="E580" t="s">
        <v>2073</v>
      </c>
      <c r="F580" t="s">
        <v>2074</v>
      </c>
      <c r="G580" t="s">
        <v>2075</v>
      </c>
      <c r="H580" t="s">
        <v>2089</v>
      </c>
      <c r="I580" t="s">
        <v>2095</v>
      </c>
      <c r="J580" t="s">
        <v>2096</v>
      </c>
      <c r="K580" t="s">
        <v>1422</v>
      </c>
      <c r="L580" t="s">
        <v>208</v>
      </c>
      <c r="BB580" t="s">
        <v>202</v>
      </c>
    </row>
    <row r="581" spans="1:54" hidden="1" x14ac:dyDescent="0.25">
      <c r="A581" t="s">
        <v>83</v>
      </c>
      <c r="B581" t="s">
        <v>208</v>
      </c>
      <c r="C581">
        <v>422</v>
      </c>
      <c r="D581" t="s">
        <v>209</v>
      </c>
      <c r="E581" t="s">
        <v>2073</v>
      </c>
      <c r="F581" t="s">
        <v>2074</v>
      </c>
      <c r="G581" t="s">
        <v>2075</v>
      </c>
      <c r="H581" t="s">
        <v>2089</v>
      </c>
      <c r="I581" t="s">
        <v>2095</v>
      </c>
      <c r="J581" t="s">
        <v>2096</v>
      </c>
      <c r="K581" t="s">
        <v>1422</v>
      </c>
      <c r="L581" t="s">
        <v>208</v>
      </c>
      <c r="BB581" t="s">
        <v>219</v>
      </c>
    </row>
    <row r="582" spans="1:54" hidden="1" x14ac:dyDescent="0.25">
      <c r="A582" t="s">
        <v>7</v>
      </c>
      <c r="B582" t="s">
        <v>208</v>
      </c>
      <c r="C582">
        <v>22</v>
      </c>
      <c r="D582" t="s">
        <v>209</v>
      </c>
      <c r="E582" t="s">
        <v>2073</v>
      </c>
      <c r="F582" t="s">
        <v>2074</v>
      </c>
      <c r="G582" t="s">
        <v>2075</v>
      </c>
      <c r="H582" t="s">
        <v>2089</v>
      </c>
      <c r="I582" t="s">
        <v>2095</v>
      </c>
      <c r="J582" t="s">
        <v>2096</v>
      </c>
      <c r="K582" t="s">
        <v>1422</v>
      </c>
      <c r="L582" t="s">
        <v>208</v>
      </c>
      <c r="BB582" t="s">
        <v>205</v>
      </c>
    </row>
    <row r="583" spans="1:54" hidden="1" x14ac:dyDescent="0.25">
      <c r="A583" t="s">
        <v>8</v>
      </c>
      <c r="B583" t="s">
        <v>208</v>
      </c>
      <c r="C583">
        <v>118</v>
      </c>
      <c r="D583" t="s">
        <v>209</v>
      </c>
      <c r="E583" t="s">
        <v>2073</v>
      </c>
      <c r="F583" t="s">
        <v>2074</v>
      </c>
      <c r="G583" t="s">
        <v>2075</v>
      </c>
      <c r="H583" t="s">
        <v>2089</v>
      </c>
      <c r="I583" t="s">
        <v>2095</v>
      </c>
      <c r="J583" t="s">
        <v>2096</v>
      </c>
      <c r="K583" t="s">
        <v>1422</v>
      </c>
      <c r="L583" t="s">
        <v>208</v>
      </c>
      <c r="BB583" t="s">
        <v>207</v>
      </c>
    </row>
    <row r="584" spans="1:54" hidden="1" x14ac:dyDescent="0.25">
      <c r="A584" t="s">
        <v>11</v>
      </c>
      <c r="B584" t="s">
        <v>208</v>
      </c>
      <c r="C584">
        <v>75</v>
      </c>
      <c r="D584" t="s">
        <v>209</v>
      </c>
      <c r="E584" t="s">
        <v>2073</v>
      </c>
      <c r="F584" t="s">
        <v>2074</v>
      </c>
      <c r="G584" t="s">
        <v>2075</v>
      </c>
      <c r="H584" t="s">
        <v>2089</v>
      </c>
      <c r="I584" t="s">
        <v>2095</v>
      </c>
      <c r="J584" t="s">
        <v>2096</v>
      </c>
      <c r="K584" t="s">
        <v>1422</v>
      </c>
      <c r="L584" t="s">
        <v>208</v>
      </c>
      <c r="BB584" t="s">
        <v>216</v>
      </c>
    </row>
    <row r="585" spans="1:54" hidden="1" x14ac:dyDescent="0.25">
      <c r="A585" t="s">
        <v>46</v>
      </c>
      <c r="B585" t="s">
        <v>208</v>
      </c>
      <c r="C585">
        <v>33</v>
      </c>
      <c r="D585" t="s">
        <v>209</v>
      </c>
      <c r="E585" t="s">
        <v>2073</v>
      </c>
      <c r="F585" t="s">
        <v>2074</v>
      </c>
      <c r="G585" t="s">
        <v>2075</v>
      </c>
      <c r="H585" t="s">
        <v>2089</v>
      </c>
      <c r="I585" t="s">
        <v>2095</v>
      </c>
      <c r="J585" t="s">
        <v>2096</v>
      </c>
      <c r="K585" t="s">
        <v>1422</v>
      </c>
      <c r="L585" t="s">
        <v>208</v>
      </c>
      <c r="BB585" t="s">
        <v>228</v>
      </c>
    </row>
    <row r="586" spans="1:54" hidden="1" x14ac:dyDescent="0.25">
      <c r="A586" t="s">
        <v>28</v>
      </c>
      <c r="B586" t="s">
        <v>208</v>
      </c>
      <c r="C586">
        <v>3910</v>
      </c>
      <c r="D586" t="s">
        <v>209</v>
      </c>
      <c r="E586" t="s">
        <v>2073</v>
      </c>
      <c r="F586" t="s">
        <v>2074</v>
      </c>
      <c r="G586" t="s">
        <v>2075</v>
      </c>
      <c r="H586" t="s">
        <v>2089</v>
      </c>
      <c r="I586" t="s">
        <v>2095</v>
      </c>
      <c r="J586" t="s">
        <v>2096</v>
      </c>
      <c r="K586" t="s">
        <v>1422</v>
      </c>
      <c r="L586" t="s">
        <v>208</v>
      </c>
      <c r="BB586" t="s">
        <v>199</v>
      </c>
    </row>
    <row r="587" spans="1:54" hidden="1" x14ac:dyDescent="0.25">
      <c r="A587" t="s">
        <v>39</v>
      </c>
      <c r="B587" t="s">
        <v>208</v>
      </c>
      <c r="C587">
        <v>4430</v>
      </c>
      <c r="D587" t="s">
        <v>209</v>
      </c>
      <c r="E587" t="s">
        <v>2073</v>
      </c>
      <c r="F587" t="s">
        <v>2074</v>
      </c>
      <c r="G587" t="s">
        <v>2075</v>
      </c>
      <c r="H587" t="s">
        <v>2089</v>
      </c>
      <c r="I587" t="s">
        <v>2095</v>
      </c>
      <c r="J587" t="s">
        <v>2096</v>
      </c>
      <c r="K587" t="s">
        <v>1422</v>
      </c>
      <c r="L587" t="s">
        <v>208</v>
      </c>
      <c r="BB587" t="s">
        <v>196</v>
      </c>
    </row>
    <row r="588" spans="1:54" hidden="1" x14ac:dyDescent="0.25">
      <c r="A588" t="s">
        <v>75</v>
      </c>
      <c r="B588" t="s">
        <v>208</v>
      </c>
      <c r="C588">
        <v>4061</v>
      </c>
      <c r="D588" t="s">
        <v>209</v>
      </c>
      <c r="E588" t="s">
        <v>2073</v>
      </c>
      <c r="F588" t="s">
        <v>2074</v>
      </c>
      <c r="G588" t="s">
        <v>2075</v>
      </c>
      <c r="H588" t="s">
        <v>2089</v>
      </c>
      <c r="I588" t="s">
        <v>2095</v>
      </c>
      <c r="J588" t="s">
        <v>2096</v>
      </c>
      <c r="K588" t="s">
        <v>1422</v>
      </c>
      <c r="L588" t="s">
        <v>208</v>
      </c>
      <c r="BB588" t="s">
        <v>236</v>
      </c>
    </row>
    <row r="589" spans="1:54" hidden="1" x14ac:dyDescent="0.25">
      <c r="A589" t="s">
        <v>50</v>
      </c>
      <c r="B589" t="s">
        <v>208</v>
      </c>
      <c r="C589">
        <v>9</v>
      </c>
      <c r="D589" t="s">
        <v>209</v>
      </c>
      <c r="E589" t="s">
        <v>2073</v>
      </c>
      <c r="F589" t="s">
        <v>2074</v>
      </c>
      <c r="G589" t="s">
        <v>2075</v>
      </c>
      <c r="H589" t="s">
        <v>2089</v>
      </c>
      <c r="I589" t="s">
        <v>2095</v>
      </c>
      <c r="J589" t="s">
        <v>2096</v>
      </c>
      <c r="K589" t="s">
        <v>1422</v>
      </c>
      <c r="L589" t="s">
        <v>208</v>
      </c>
      <c r="BB589" t="s">
        <v>187</v>
      </c>
    </row>
    <row r="590" spans="1:54" hidden="1" x14ac:dyDescent="0.25">
      <c r="A590" t="s">
        <v>74</v>
      </c>
      <c r="B590" t="s">
        <v>208</v>
      </c>
      <c r="C590">
        <v>252</v>
      </c>
      <c r="D590" t="s">
        <v>209</v>
      </c>
      <c r="E590" t="s">
        <v>2073</v>
      </c>
      <c r="F590" t="s">
        <v>2074</v>
      </c>
      <c r="G590" t="s">
        <v>2075</v>
      </c>
      <c r="H590" t="s">
        <v>2089</v>
      </c>
      <c r="I590" t="s">
        <v>2095</v>
      </c>
      <c r="J590" t="s">
        <v>2096</v>
      </c>
      <c r="K590" t="s">
        <v>1422</v>
      </c>
      <c r="L590" t="s">
        <v>208</v>
      </c>
      <c r="BB590" t="s">
        <v>199</v>
      </c>
    </row>
    <row r="591" spans="1:54" hidden="1" x14ac:dyDescent="0.25">
      <c r="A591" t="s">
        <v>48</v>
      </c>
      <c r="B591" t="s">
        <v>208</v>
      </c>
      <c r="C591">
        <v>408</v>
      </c>
      <c r="D591" t="s">
        <v>209</v>
      </c>
      <c r="E591" t="s">
        <v>2073</v>
      </c>
      <c r="F591" t="s">
        <v>2074</v>
      </c>
      <c r="G591" t="s">
        <v>2075</v>
      </c>
      <c r="H591" t="s">
        <v>2089</v>
      </c>
      <c r="I591" t="s">
        <v>2095</v>
      </c>
      <c r="J591" t="s">
        <v>2096</v>
      </c>
      <c r="K591" t="s">
        <v>1422</v>
      </c>
      <c r="L591" t="s">
        <v>208</v>
      </c>
      <c r="BB591" t="s">
        <v>196</v>
      </c>
    </row>
    <row r="592" spans="1:54" hidden="1" x14ac:dyDescent="0.25">
      <c r="A592" t="s">
        <v>43</v>
      </c>
      <c r="B592" t="s">
        <v>208</v>
      </c>
      <c r="C592">
        <v>416</v>
      </c>
      <c r="D592" t="s">
        <v>209</v>
      </c>
      <c r="E592" t="s">
        <v>2073</v>
      </c>
      <c r="F592" t="s">
        <v>2074</v>
      </c>
      <c r="G592" t="s">
        <v>2075</v>
      </c>
      <c r="H592" t="s">
        <v>2089</v>
      </c>
      <c r="I592" t="s">
        <v>2095</v>
      </c>
      <c r="J592" t="s">
        <v>2096</v>
      </c>
      <c r="K592" t="s">
        <v>1422</v>
      </c>
      <c r="L592" t="s">
        <v>208</v>
      </c>
      <c r="BB592" t="s">
        <v>202</v>
      </c>
    </row>
    <row r="593" spans="1:54" hidden="1" x14ac:dyDescent="0.25">
      <c r="A593" t="s">
        <v>27</v>
      </c>
      <c r="B593" t="s">
        <v>208</v>
      </c>
      <c r="C593">
        <v>333</v>
      </c>
      <c r="D593" t="s">
        <v>209</v>
      </c>
      <c r="E593" t="s">
        <v>2073</v>
      </c>
      <c r="F593" t="s">
        <v>2074</v>
      </c>
      <c r="G593" t="s">
        <v>2075</v>
      </c>
      <c r="H593" t="s">
        <v>2089</v>
      </c>
      <c r="I593" t="s">
        <v>2095</v>
      </c>
      <c r="J593" t="s">
        <v>2096</v>
      </c>
      <c r="K593" t="s">
        <v>1422</v>
      </c>
      <c r="L593" t="s">
        <v>208</v>
      </c>
      <c r="BB593" t="s">
        <v>190</v>
      </c>
    </row>
    <row r="594" spans="1:54" hidden="1" x14ac:dyDescent="0.25">
      <c r="A594" t="s">
        <v>78</v>
      </c>
      <c r="B594" t="s">
        <v>208</v>
      </c>
      <c r="C594">
        <v>312</v>
      </c>
      <c r="D594" t="s">
        <v>209</v>
      </c>
      <c r="E594" t="s">
        <v>2073</v>
      </c>
      <c r="F594" t="s">
        <v>2074</v>
      </c>
      <c r="G594" t="s">
        <v>2075</v>
      </c>
      <c r="H594" t="s">
        <v>2089</v>
      </c>
      <c r="I594" t="s">
        <v>2095</v>
      </c>
      <c r="J594" t="s">
        <v>2096</v>
      </c>
      <c r="K594" t="s">
        <v>1422</v>
      </c>
      <c r="L594" t="s">
        <v>208</v>
      </c>
      <c r="BB594" t="s">
        <v>193</v>
      </c>
    </row>
    <row r="595" spans="1:54" hidden="1" x14ac:dyDescent="0.25">
      <c r="A595" t="s">
        <v>31</v>
      </c>
      <c r="B595" t="s">
        <v>208</v>
      </c>
      <c r="C595">
        <v>3356</v>
      </c>
      <c r="D595" t="s">
        <v>209</v>
      </c>
      <c r="E595" t="s">
        <v>2073</v>
      </c>
      <c r="F595" t="s">
        <v>2074</v>
      </c>
      <c r="G595" t="s">
        <v>2075</v>
      </c>
      <c r="H595" t="s">
        <v>2089</v>
      </c>
      <c r="I595" t="s">
        <v>2095</v>
      </c>
      <c r="J595" t="s">
        <v>2096</v>
      </c>
      <c r="K595" t="s">
        <v>1422</v>
      </c>
      <c r="L595" t="s">
        <v>208</v>
      </c>
      <c r="BB595" t="s">
        <v>228</v>
      </c>
    </row>
    <row r="596" spans="1:54" hidden="1" x14ac:dyDescent="0.25">
      <c r="A596" t="s">
        <v>40</v>
      </c>
      <c r="B596" t="s">
        <v>208</v>
      </c>
      <c r="C596">
        <v>53</v>
      </c>
      <c r="D596" t="s">
        <v>209</v>
      </c>
      <c r="E596" t="s">
        <v>2073</v>
      </c>
      <c r="F596" t="s">
        <v>2074</v>
      </c>
      <c r="G596" t="s">
        <v>2075</v>
      </c>
      <c r="H596" t="s">
        <v>2089</v>
      </c>
      <c r="I596" t="s">
        <v>2095</v>
      </c>
      <c r="J596" t="s">
        <v>2096</v>
      </c>
      <c r="K596" t="s">
        <v>1422</v>
      </c>
      <c r="L596" t="s">
        <v>208</v>
      </c>
      <c r="BB596" t="s">
        <v>207</v>
      </c>
    </row>
    <row r="597" spans="1:54" hidden="1" x14ac:dyDescent="0.25">
      <c r="A597" t="s">
        <v>34</v>
      </c>
      <c r="B597" t="s">
        <v>208</v>
      </c>
      <c r="C597">
        <v>1690</v>
      </c>
      <c r="D597" t="s">
        <v>209</v>
      </c>
      <c r="E597" t="s">
        <v>2073</v>
      </c>
      <c r="F597" t="s">
        <v>2074</v>
      </c>
      <c r="G597" t="s">
        <v>2075</v>
      </c>
      <c r="H597" t="s">
        <v>2089</v>
      </c>
      <c r="I597" t="s">
        <v>2095</v>
      </c>
      <c r="J597" t="s">
        <v>2096</v>
      </c>
      <c r="K597" t="s">
        <v>1422</v>
      </c>
      <c r="L597" t="s">
        <v>208</v>
      </c>
      <c r="BB597" t="s">
        <v>210</v>
      </c>
    </row>
    <row r="598" spans="1:54" hidden="1" x14ac:dyDescent="0.25">
      <c r="A598" t="s">
        <v>42</v>
      </c>
      <c r="B598" t="s">
        <v>208</v>
      </c>
      <c r="C598">
        <v>58</v>
      </c>
      <c r="D598" t="s">
        <v>209</v>
      </c>
      <c r="E598" t="s">
        <v>2073</v>
      </c>
      <c r="F598" t="s">
        <v>2074</v>
      </c>
      <c r="G598" t="s">
        <v>2075</v>
      </c>
      <c r="H598" t="s">
        <v>2089</v>
      </c>
      <c r="I598" t="s">
        <v>2095</v>
      </c>
      <c r="J598" t="s">
        <v>2096</v>
      </c>
      <c r="K598" t="s">
        <v>1422</v>
      </c>
      <c r="L598" t="s">
        <v>208</v>
      </c>
      <c r="BB598" t="s">
        <v>216</v>
      </c>
    </row>
    <row r="599" spans="1:54" hidden="1" x14ac:dyDescent="0.25">
      <c r="A599" t="s">
        <v>80</v>
      </c>
      <c r="B599" t="s">
        <v>208</v>
      </c>
      <c r="C599">
        <v>50</v>
      </c>
      <c r="D599" t="s">
        <v>209</v>
      </c>
      <c r="E599" t="s">
        <v>2073</v>
      </c>
      <c r="F599" t="s">
        <v>2074</v>
      </c>
      <c r="G599" t="s">
        <v>2075</v>
      </c>
      <c r="H599" t="s">
        <v>2089</v>
      </c>
      <c r="I599" t="s">
        <v>2095</v>
      </c>
      <c r="J599" t="s">
        <v>2096</v>
      </c>
      <c r="K599" t="s">
        <v>1422</v>
      </c>
      <c r="L599" t="s">
        <v>208</v>
      </c>
      <c r="BB599" t="s">
        <v>193</v>
      </c>
    </row>
    <row r="600" spans="1:54" hidden="1" x14ac:dyDescent="0.25">
      <c r="A600" t="s">
        <v>37</v>
      </c>
      <c r="B600" t="s">
        <v>208</v>
      </c>
      <c r="C600">
        <v>27</v>
      </c>
      <c r="D600" t="s">
        <v>209</v>
      </c>
      <c r="E600" t="s">
        <v>2073</v>
      </c>
      <c r="F600" t="s">
        <v>2074</v>
      </c>
      <c r="G600" t="s">
        <v>2075</v>
      </c>
      <c r="H600" t="s">
        <v>2089</v>
      </c>
      <c r="I600" t="s">
        <v>2095</v>
      </c>
      <c r="J600" t="s">
        <v>2096</v>
      </c>
      <c r="K600" t="s">
        <v>1422</v>
      </c>
      <c r="L600" t="s">
        <v>208</v>
      </c>
      <c r="BB600" t="s">
        <v>196</v>
      </c>
    </row>
    <row r="601" spans="1:54" hidden="1" x14ac:dyDescent="0.25">
      <c r="A601" t="s">
        <v>18</v>
      </c>
      <c r="B601" t="s">
        <v>208</v>
      </c>
      <c r="C601">
        <v>828</v>
      </c>
      <c r="D601" t="s">
        <v>209</v>
      </c>
      <c r="E601" t="s">
        <v>2073</v>
      </c>
      <c r="F601" t="s">
        <v>2074</v>
      </c>
      <c r="G601" t="s">
        <v>2075</v>
      </c>
      <c r="H601" t="s">
        <v>2089</v>
      </c>
      <c r="I601" t="s">
        <v>2095</v>
      </c>
      <c r="J601" t="s">
        <v>2096</v>
      </c>
      <c r="K601" t="s">
        <v>1422</v>
      </c>
      <c r="L601" t="s">
        <v>208</v>
      </c>
      <c r="BB601" t="s">
        <v>207</v>
      </c>
    </row>
    <row r="602" spans="1:54" hidden="1" x14ac:dyDescent="0.25">
      <c r="A602" t="s">
        <v>89</v>
      </c>
      <c r="B602" t="s">
        <v>208</v>
      </c>
      <c r="C602">
        <v>416</v>
      </c>
      <c r="D602" t="s">
        <v>209</v>
      </c>
      <c r="E602" t="s">
        <v>2073</v>
      </c>
      <c r="F602" t="s">
        <v>2074</v>
      </c>
      <c r="G602" t="s">
        <v>2075</v>
      </c>
      <c r="H602" t="s">
        <v>2089</v>
      </c>
      <c r="I602" t="s">
        <v>2095</v>
      </c>
      <c r="J602" t="s">
        <v>2096</v>
      </c>
      <c r="K602" t="s">
        <v>1422</v>
      </c>
      <c r="L602" t="s">
        <v>208</v>
      </c>
      <c r="BB602" t="s">
        <v>187</v>
      </c>
    </row>
    <row r="603" spans="1:54" hidden="1" x14ac:dyDescent="0.25">
      <c r="A603" t="s">
        <v>87</v>
      </c>
      <c r="B603" t="s">
        <v>208</v>
      </c>
      <c r="C603">
        <v>55</v>
      </c>
      <c r="D603" t="s">
        <v>209</v>
      </c>
      <c r="E603" t="s">
        <v>2073</v>
      </c>
      <c r="F603" t="s">
        <v>2074</v>
      </c>
      <c r="G603" t="s">
        <v>2075</v>
      </c>
      <c r="H603" t="s">
        <v>2089</v>
      </c>
      <c r="I603" t="s">
        <v>2095</v>
      </c>
      <c r="J603" t="s">
        <v>2096</v>
      </c>
      <c r="K603" t="s">
        <v>1422</v>
      </c>
      <c r="L603" t="s">
        <v>208</v>
      </c>
      <c r="BB603" t="s">
        <v>190</v>
      </c>
    </row>
    <row r="604" spans="1:54" hidden="1" x14ac:dyDescent="0.25">
      <c r="A604" t="s">
        <v>93</v>
      </c>
      <c r="B604" t="s">
        <v>208</v>
      </c>
      <c r="C604">
        <v>31</v>
      </c>
      <c r="D604" t="s">
        <v>209</v>
      </c>
      <c r="E604" t="s">
        <v>2073</v>
      </c>
      <c r="F604" t="s">
        <v>2074</v>
      </c>
      <c r="G604" t="s">
        <v>2075</v>
      </c>
      <c r="H604" t="s">
        <v>2089</v>
      </c>
      <c r="I604" t="s">
        <v>2095</v>
      </c>
      <c r="J604" t="s">
        <v>2096</v>
      </c>
      <c r="K604" t="s">
        <v>1422</v>
      </c>
      <c r="L604" t="s">
        <v>208</v>
      </c>
      <c r="BB604" t="s">
        <v>202</v>
      </c>
    </row>
    <row r="605" spans="1:54" hidden="1" x14ac:dyDescent="0.25">
      <c r="A605" t="s">
        <v>20</v>
      </c>
      <c r="B605" t="s">
        <v>208</v>
      </c>
      <c r="C605">
        <v>182</v>
      </c>
      <c r="D605" t="s">
        <v>209</v>
      </c>
      <c r="E605" t="s">
        <v>2073</v>
      </c>
      <c r="F605" t="s">
        <v>2074</v>
      </c>
      <c r="G605" t="s">
        <v>2075</v>
      </c>
      <c r="H605" t="s">
        <v>2089</v>
      </c>
      <c r="I605" t="s">
        <v>2095</v>
      </c>
      <c r="J605" t="s">
        <v>2096</v>
      </c>
      <c r="K605" t="s">
        <v>1422</v>
      </c>
      <c r="L605" t="s">
        <v>208</v>
      </c>
      <c r="BB605" t="s">
        <v>199</v>
      </c>
    </row>
    <row r="606" spans="1:54" hidden="1" x14ac:dyDescent="0.25">
      <c r="A606" t="s">
        <v>17</v>
      </c>
      <c r="B606" t="s">
        <v>208</v>
      </c>
      <c r="C606">
        <v>2029</v>
      </c>
      <c r="D606" t="s">
        <v>209</v>
      </c>
      <c r="E606" t="s">
        <v>2073</v>
      </c>
      <c r="F606" t="s">
        <v>2074</v>
      </c>
      <c r="G606" t="s">
        <v>2075</v>
      </c>
      <c r="H606" t="s">
        <v>2089</v>
      </c>
      <c r="I606" t="s">
        <v>2095</v>
      </c>
      <c r="J606" t="s">
        <v>2096</v>
      </c>
      <c r="K606" t="s">
        <v>1422</v>
      </c>
      <c r="L606" t="s">
        <v>208</v>
      </c>
      <c r="BB606" t="s">
        <v>193</v>
      </c>
    </row>
    <row r="607" spans="1:54" hidden="1" x14ac:dyDescent="0.25">
      <c r="A607" t="s">
        <v>66</v>
      </c>
      <c r="B607" t="s">
        <v>208</v>
      </c>
      <c r="C607">
        <v>1468</v>
      </c>
      <c r="D607" t="s">
        <v>209</v>
      </c>
      <c r="E607" t="s">
        <v>2073</v>
      </c>
      <c r="F607" t="s">
        <v>2074</v>
      </c>
      <c r="G607" t="s">
        <v>2075</v>
      </c>
      <c r="H607" t="s">
        <v>2089</v>
      </c>
      <c r="I607" t="s">
        <v>2095</v>
      </c>
      <c r="J607" t="s">
        <v>2096</v>
      </c>
      <c r="K607" t="s">
        <v>1422</v>
      </c>
      <c r="L607" t="s">
        <v>208</v>
      </c>
      <c r="BB607" t="s">
        <v>207</v>
      </c>
    </row>
    <row r="608" spans="1:54" hidden="1" x14ac:dyDescent="0.25">
      <c r="A608" t="s">
        <v>9</v>
      </c>
      <c r="B608" t="s">
        <v>208</v>
      </c>
      <c r="C608">
        <v>558</v>
      </c>
      <c r="D608" t="s">
        <v>209</v>
      </c>
      <c r="E608" t="s">
        <v>2073</v>
      </c>
      <c r="F608" t="s">
        <v>2074</v>
      </c>
      <c r="G608" t="s">
        <v>2075</v>
      </c>
      <c r="H608" t="s">
        <v>2089</v>
      </c>
      <c r="I608" t="s">
        <v>2095</v>
      </c>
      <c r="J608" t="s">
        <v>2096</v>
      </c>
      <c r="K608" t="s">
        <v>1422</v>
      </c>
      <c r="L608" t="s">
        <v>208</v>
      </c>
      <c r="BB608" t="s">
        <v>190</v>
      </c>
    </row>
    <row r="609" spans="1:54" hidden="1" x14ac:dyDescent="0.25">
      <c r="A609" t="s">
        <v>30</v>
      </c>
      <c r="B609" t="s">
        <v>208</v>
      </c>
      <c r="C609">
        <v>646</v>
      </c>
      <c r="D609" t="s">
        <v>209</v>
      </c>
      <c r="E609" t="s">
        <v>2073</v>
      </c>
      <c r="F609" t="s">
        <v>2074</v>
      </c>
      <c r="G609" t="s">
        <v>2075</v>
      </c>
      <c r="H609" t="s">
        <v>2089</v>
      </c>
      <c r="I609" t="s">
        <v>2095</v>
      </c>
      <c r="J609" t="s">
        <v>2096</v>
      </c>
      <c r="K609" t="s">
        <v>1422</v>
      </c>
      <c r="L609" t="s">
        <v>208</v>
      </c>
      <c r="BB609" t="s">
        <v>187</v>
      </c>
    </row>
    <row r="610" spans="1:54" hidden="1" x14ac:dyDescent="0.25">
      <c r="A610" t="s">
        <v>33</v>
      </c>
      <c r="B610" t="s">
        <v>208</v>
      </c>
      <c r="C610">
        <v>326</v>
      </c>
      <c r="D610" t="s">
        <v>209</v>
      </c>
      <c r="E610" t="s">
        <v>2073</v>
      </c>
      <c r="F610" t="s">
        <v>2074</v>
      </c>
      <c r="G610" t="s">
        <v>2075</v>
      </c>
      <c r="H610" t="s">
        <v>2089</v>
      </c>
      <c r="I610" t="s">
        <v>2095</v>
      </c>
      <c r="J610" t="s">
        <v>2096</v>
      </c>
      <c r="K610" t="s">
        <v>1422</v>
      </c>
      <c r="L610" t="s">
        <v>208</v>
      </c>
      <c r="BB610" t="s">
        <v>196</v>
      </c>
    </row>
    <row r="611" spans="1:54" hidden="1" x14ac:dyDescent="0.25">
      <c r="A611" t="s">
        <v>25</v>
      </c>
      <c r="B611" t="s">
        <v>208</v>
      </c>
      <c r="C611">
        <v>10002</v>
      </c>
      <c r="D611" t="s">
        <v>209</v>
      </c>
      <c r="E611" t="s">
        <v>2073</v>
      </c>
      <c r="F611" t="s">
        <v>2074</v>
      </c>
      <c r="G611" t="s">
        <v>2075</v>
      </c>
      <c r="H611" t="s">
        <v>2089</v>
      </c>
      <c r="I611" t="s">
        <v>2095</v>
      </c>
      <c r="J611" t="s">
        <v>2096</v>
      </c>
      <c r="K611" t="s">
        <v>1422</v>
      </c>
      <c r="L611" t="s">
        <v>208</v>
      </c>
      <c r="BB611" t="s">
        <v>233</v>
      </c>
    </row>
    <row r="612" spans="1:54" hidden="1" x14ac:dyDescent="0.25">
      <c r="A612" t="s">
        <v>29</v>
      </c>
      <c r="B612" t="s">
        <v>208</v>
      </c>
      <c r="C612">
        <v>2038</v>
      </c>
      <c r="D612" t="s">
        <v>209</v>
      </c>
      <c r="E612" t="s">
        <v>2073</v>
      </c>
      <c r="F612" t="s">
        <v>2074</v>
      </c>
      <c r="G612" t="s">
        <v>2075</v>
      </c>
      <c r="H612" t="s">
        <v>2089</v>
      </c>
      <c r="I612" t="s">
        <v>2095</v>
      </c>
      <c r="J612" t="s">
        <v>2096</v>
      </c>
      <c r="K612" t="s">
        <v>1422</v>
      </c>
      <c r="L612" t="s">
        <v>208</v>
      </c>
      <c r="BB612" t="s">
        <v>222</v>
      </c>
    </row>
    <row r="613" spans="1:54" hidden="1" x14ac:dyDescent="0.25">
      <c r="A613" t="s">
        <v>35</v>
      </c>
      <c r="B613" t="s">
        <v>208</v>
      </c>
      <c r="C613">
        <v>77</v>
      </c>
      <c r="D613" t="s">
        <v>209</v>
      </c>
      <c r="E613" t="s">
        <v>2073</v>
      </c>
      <c r="F613" t="s">
        <v>2074</v>
      </c>
      <c r="G613" t="s">
        <v>2075</v>
      </c>
      <c r="H613" t="s">
        <v>2089</v>
      </c>
      <c r="I613" t="s">
        <v>2095</v>
      </c>
      <c r="J613" t="s">
        <v>2096</v>
      </c>
      <c r="K613" t="s">
        <v>1422</v>
      </c>
      <c r="L613" t="s">
        <v>208</v>
      </c>
      <c r="BB613" t="s">
        <v>199</v>
      </c>
    </row>
    <row r="614" spans="1:54" hidden="1" x14ac:dyDescent="0.25">
      <c r="A614" t="s">
        <v>44</v>
      </c>
      <c r="B614" t="s">
        <v>208</v>
      </c>
      <c r="C614">
        <v>203</v>
      </c>
      <c r="D614" t="s">
        <v>209</v>
      </c>
      <c r="E614" t="s">
        <v>2073</v>
      </c>
      <c r="F614" t="s">
        <v>2074</v>
      </c>
      <c r="G614" t="s">
        <v>2075</v>
      </c>
      <c r="H614" t="s">
        <v>2089</v>
      </c>
      <c r="I614" t="s">
        <v>2095</v>
      </c>
      <c r="J614" t="s">
        <v>2096</v>
      </c>
      <c r="K614" t="s">
        <v>1422</v>
      </c>
      <c r="L614" t="s">
        <v>208</v>
      </c>
      <c r="BB614" t="s">
        <v>210</v>
      </c>
    </row>
    <row r="615" spans="1:54" hidden="1" x14ac:dyDescent="0.25">
      <c r="A615" t="s">
        <v>61</v>
      </c>
      <c r="B615" t="s">
        <v>208</v>
      </c>
      <c r="C615">
        <v>529</v>
      </c>
      <c r="D615" t="s">
        <v>209</v>
      </c>
      <c r="E615" t="s">
        <v>2073</v>
      </c>
      <c r="F615" t="s">
        <v>2074</v>
      </c>
      <c r="G615" t="s">
        <v>2075</v>
      </c>
      <c r="H615" t="s">
        <v>2089</v>
      </c>
      <c r="I615" t="s">
        <v>2095</v>
      </c>
      <c r="J615" t="s">
        <v>2096</v>
      </c>
      <c r="K615" t="s">
        <v>1422</v>
      </c>
      <c r="L615" t="s">
        <v>208</v>
      </c>
      <c r="BB615" t="s">
        <v>202</v>
      </c>
    </row>
    <row r="616" spans="1:54" hidden="1" x14ac:dyDescent="0.25">
      <c r="A616" t="s">
        <v>81</v>
      </c>
      <c r="B616" t="s">
        <v>208</v>
      </c>
      <c r="C616">
        <v>553</v>
      </c>
      <c r="D616" t="s">
        <v>209</v>
      </c>
      <c r="E616" t="s">
        <v>2073</v>
      </c>
      <c r="F616" t="s">
        <v>2074</v>
      </c>
      <c r="G616" t="s">
        <v>2075</v>
      </c>
      <c r="H616" t="s">
        <v>2089</v>
      </c>
      <c r="I616" t="s">
        <v>2095</v>
      </c>
      <c r="J616" t="s">
        <v>2096</v>
      </c>
      <c r="K616" t="s">
        <v>1422</v>
      </c>
      <c r="L616" t="s">
        <v>208</v>
      </c>
      <c r="BB616" t="s">
        <v>228</v>
      </c>
    </row>
    <row r="617" spans="1:54" hidden="1" x14ac:dyDescent="0.25">
      <c r="A617" t="s">
        <v>32</v>
      </c>
      <c r="B617" t="s">
        <v>208</v>
      </c>
      <c r="C617">
        <v>475</v>
      </c>
      <c r="D617" t="s">
        <v>209</v>
      </c>
      <c r="E617" t="s">
        <v>2073</v>
      </c>
      <c r="F617" t="s">
        <v>2074</v>
      </c>
      <c r="G617" t="s">
        <v>2075</v>
      </c>
      <c r="H617" t="s">
        <v>2089</v>
      </c>
      <c r="I617" t="s">
        <v>2095</v>
      </c>
      <c r="J617" t="s">
        <v>2096</v>
      </c>
      <c r="K617" t="s">
        <v>1422</v>
      </c>
      <c r="L617" t="s">
        <v>208</v>
      </c>
      <c r="BB617" t="s">
        <v>247</v>
      </c>
    </row>
    <row r="618" spans="1:54" hidden="1" x14ac:dyDescent="0.25">
      <c r="A618" t="s">
        <v>65</v>
      </c>
      <c r="B618" t="s">
        <v>208</v>
      </c>
      <c r="C618">
        <v>1857</v>
      </c>
      <c r="D618" t="s">
        <v>209</v>
      </c>
      <c r="E618" t="s">
        <v>2073</v>
      </c>
      <c r="F618" t="s">
        <v>2074</v>
      </c>
      <c r="G618" t="s">
        <v>2075</v>
      </c>
      <c r="H618" t="s">
        <v>2089</v>
      </c>
      <c r="I618" t="s">
        <v>2095</v>
      </c>
      <c r="J618" t="s">
        <v>2096</v>
      </c>
      <c r="K618" t="s">
        <v>1422</v>
      </c>
      <c r="L618" t="s">
        <v>208</v>
      </c>
      <c r="BB618" t="s">
        <v>196</v>
      </c>
    </row>
    <row r="619" spans="1:54" hidden="1" x14ac:dyDescent="0.25">
      <c r="A619" t="s">
        <v>59</v>
      </c>
      <c r="B619" t="s">
        <v>208</v>
      </c>
      <c r="C619">
        <v>205</v>
      </c>
      <c r="D619" t="s">
        <v>209</v>
      </c>
      <c r="E619" t="s">
        <v>2073</v>
      </c>
      <c r="F619" t="s">
        <v>2074</v>
      </c>
      <c r="G619" t="s">
        <v>2075</v>
      </c>
      <c r="H619" t="s">
        <v>2089</v>
      </c>
      <c r="I619" t="s">
        <v>2095</v>
      </c>
      <c r="J619" t="s">
        <v>2096</v>
      </c>
      <c r="K619" t="s">
        <v>1422</v>
      </c>
      <c r="L619" t="s">
        <v>208</v>
      </c>
      <c r="BB619" t="s">
        <v>193</v>
      </c>
    </row>
    <row r="620" spans="1:54" hidden="1" x14ac:dyDescent="0.25">
      <c r="A620" t="s">
        <v>77</v>
      </c>
      <c r="B620" t="s">
        <v>208</v>
      </c>
      <c r="C620">
        <v>159</v>
      </c>
      <c r="D620" t="s">
        <v>209</v>
      </c>
      <c r="E620" t="s">
        <v>2073</v>
      </c>
      <c r="F620" t="s">
        <v>2074</v>
      </c>
      <c r="G620" t="s">
        <v>2075</v>
      </c>
      <c r="H620" t="s">
        <v>2089</v>
      </c>
      <c r="I620" t="s">
        <v>2095</v>
      </c>
      <c r="J620" t="s">
        <v>2096</v>
      </c>
      <c r="K620" t="s">
        <v>1422</v>
      </c>
      <c r="L620" t="s">
        <v>208</v>
      </c>
      <c r="BB620" t="s">
        <v>187</v>
      </c>
    </row>
    <row r="621" spans="1:54" hidden="1" x14ac:dyDescent="0.25">
      <c r="A621" t="s">
        <v>45</v>
      </c>
      <c r="B621" t="s">
        <v>208</v>
      </c>
      <c r="C621">
        <v>289</v>
      </c>
      <c r="D621" t="s">
        <v>209</v>
      </c>
      <c r="E621" t="s">
        <v>2073</v>
      </c>
      <c r="F621" t="s">
        <v>2074</v>
      </c>
      <c r="G621" t="s">
        <v>2075</v>
      </c>
      <c r="H621" t="s">
        <v>2089</v>
      </c>
      <c r="I621" t="s">
        <v>2095</v>
      </c>
      <c r="J621" t="s">
        <v>2096</v>
      </c>
      <c r="K621" t="s">
        <v>1422</v>
      </c>
      <c r="L621" t="s">
        <v>208</v>
      </c>
      <c r="BB621" t="s">
        <v>210</v>
      </c>
    </row>
    <row r="622" spans="1:54" hidden="1" x14ac:dyDescent="0.25">
      <c r="A622" t="s">
        <v>15</v>
      </c>
      <c r="B622" t="s">
        <v>208</v>
      </c>
      <c r="C622">
        <v>904</v>
      </c>
      <c r="D622" t="s">
        <v>209</v>
      </c>
      <c r="E622" t="s">
        <v>2073</v>
      </c>
      <c r="F622" t="s">
        <v>2074</v>
      </c>
      <c r="G622" t="s">
        <v>2075</v>
      </c>
      <c r="H622" t="s">
        <v>2089</v>
      </c>
      <c r="I622" t="s">
        <v>2095</v>
      </c>
      <c r="J622" t="s">
        <v>2096</v>
      </c>
      <c r="K622" t="s">
        <v>1422</v>
      </c>
      <c r="L622" t="s">
        <v>208</v>
      </c>
      <c r="BB622" t="s">
        <v>190</v>
      </c>
    </row>
    <row r="623" spans="1:54" hidden="1" x14ac:dyDescent="0.25">
      <c r="A623" t="s">
        <v>22</v>
      </c>
      <c r="B623" t="s">
        <v>208</v>
      </c>
      <c r="C623">
        <v>125</v>
      </c>
      <c r="D623" t="s">
        <v>209</v>
      </c>
      <c r="E623" t="s">
        <v>2073</v>
      </c>
      <c r="F623" t="s">
        <v>2074</v>
      </c>
      <c r="G623" t="s">
        <v>2075</v>
      </c>
      <c r="H623" t="s">
        <v>2089</v>
      </c>
      <c r="I623" t="s">
        <v>2095</v>
      </c>
      <c r="J623" t="s">
        <v>2096</v>
      </c>
      <c r="K623" t="s">
        <v>1422</v>
      </c>
      <c r="L623" t="s">
        <v>208</v>
      </c>
      <c r="BB623" t="s">
        <v>193</v>
      </c>
    </row>
    <row r="624" spans="1:54" hidden="1" x14ac:dyDescent="0.25">
      <c r="A624" t="s">
        <v>54</v>
      </c>
      <c r="B624" t="s">
        <v>208</v>
      </c>
      <c r="C624">
        <v>108</v>
      </c>
      <c r="D624" t="s">
        <v>209</v>
      </c>
      <c r="E624" t="s">
        <v>2073</v>
      </c>
      <c r="F624" t="s">
        <v>2074</v>
      </c>
      <c r="G624" t="s">
        <v>2075</v>
      </c>
      <c r="H624" t="s">
        <v>2089</v>
      </c>
      <c r="I624" t="s">
        <v>2095</v>
      </c>
      <c r="J624" t="s">
        <v>2096</v>
      </c>
      <c r="K624" t="s">
        <v>1422</v>
      </c>
      <c r="L624" t="s">
        <v>208</v>
      </c>
      <c r="BB624" t="s">
        <v>187</v>
      </c>
    </row>
    <row r="625" spans="1:54" hidden="1" x14ac:dyDescent="0.25">
      <c r="A625" t="s">
        <v>41</v>
      </c>
      <c r="B625" t="s">
        <v>208</v>
      </c>
      <c r="C625">
        <v>20</v>
      </c>
      <c r="D625" t="s">
        <v>209</v>
      </c>
      <c r="E625" t="s">
        <v>2073</v>
      </c>
      <c r="F625" t="s">
        <v>2074</v>
      </c>
      <c r="G625" t="s">
        <v>2075</v>
      </c>
      <c r="H625" t="s">
        <v>2089</v>
      </c>
      <c r="I625" t="s">
        <v>2095</v>
      </c>
      <c r="J625" t="s">
        <v>2096</v>
      </c>
      <c r="K625" t="s">
        <v>1422</v>
      </c>
      <c r="L625" t="s">
        <v>208</v>
      </c>
      <c r="BB625" t="s">
        <v>210</v>
      </c>
    </row>
    <row r="626" spans="1:54" hidden="1" x14ac:dyDescent="0.25">
      <c r="A626" t="s">
        <v>72</v>
      </c>
      <c r="B626" t="s">
        <v>208</v>
      </c>
      <c r="C626">
        <v>3247</v>
      </c>
      <c r="D626" t="s">
        <v>209</v>
      </c>
      <c r="E626" t="s">
        <v>2073</v>
      </c>
      <c r="F626" t="s">
        <v>2074</v>
      </c>
      <c r="G626" t="s">
        <v>2075</v>
      </c>
      <c r="H626" t="s">
        <v>2089</v>
      </c>
      <c r="I626" t="s">
        <v>2095</v>
      </c>
      <c r="J626" t="s">
        <v>2096</v>
      </c>
      <c r="K626" t="s">
        <v>1422</v>
      </c>
      <c r="L626" t="s">
        <v>208</v>
      </c>
      <c r="BB626" t="s">
        <v>207</v>
      </c>
    </row>
    <row r="627" spans="1:54" hidden="1" x14ac:dyDescent="0.25">
      <c r="A627" t="s">
        <v>26</v>
      </c>
      <c r="B627" t="s">
        <v>208</v>
      </c>
      <c r="C627">
        <v>777</v>
      </c>
      <c r="D627" t="s">
        <v>209</v>
      </c>
      <c r="E627" t="s">
        <v>2073</v>
      </c>
      <c r="F627" t="s">
        <v>2074</v>
      </c>
      <c r="G627" t="s">
        <v>2075</v>
      </c>
      <c r="H627" t="s">
        <v>2089</v>
      </c>
      <c r="I627" t="s">
        <v>2095</v>
      </c>
      <c r="J627" t="s">
        <v>2096</v>
      </c>
      <c r="K627" t="s">
        <v>1422</v>
      </c>
      <c r="L627" t="s">
        <v>208</v>
      </c>
      <c r="BB627" t="s">
        <v>190</v>
      </c>
    </row>
    <row r="628" spans="1:54" hidden="1" x14ac:dyDescent="0.25">
      <c r="A628" t="s">
        <v>55</v>
      </c>
      <c r="B628" t="s">
        <v>208</v>
      </c>
      <c r="C628">
        <v>1626</v>
      </c>
      <c r="D628" t="s">
        <v>209</v>
      </c>
      <c r="E628" t="s">
        <v>2073</v>
      </c>
      <c r="F628" t="s">
        <v>2074</v>
      </c>
      <c r="G628" t="s">
        <v>2075</v>
      </c>
      <c r="H628" t="s">
        <v>2089</v>
      </c>
      <c r="I628" t="s">
        <v>2095</v>
      </c>
      <c r="J628" t="s">
        <v>2096</v>
      </c>
      <c r="K628" t="s">
        <v>1422</v>
      </c>
      <c r="L628" t="s">
        <v>208</v>
      </c>
      <c r="BB628" t="s">
        <v>196</v>
      </c>
    </row>
    <row r="629" spans="1:54" hidden="1" x14ac:dyDescent="0.25">
      <c r="A629" t="s">
        <v>47</v>
      </c>
      <c r="B629" t="s">
        <v>208</v>
      </c>
      <c r="C629">
        <v>2526</v>
      </c>
      <c r="D629" t="s">
        <v>209</v>
      </c>
      <c r="E629" t="s">
        <v>2073</v>
      </c>
      <c r="F629" t="s">
        <v>2074</v>
      </c>
      <c r="G629" t="s">
        <v>2075</v>
      </c>
      <c r="H629" t="s">
        <v>2089</v>
      </c>
      <c r="I629" t="s">
        <v>2095</v>
      </c>
      <c r="J629" t="s">
        <v>2096</v>
      </c>
      <c r="K629" t="s">
        <v>1422</v>
      </c>
      <c r="L629" t="s">
        <v>208</v>
      </c>
      <c r="BB629" t="s">
        <v>202</v>
      </c>
    </row>
    <row r="630" spans="1:54" hidden="1" x14ac:dyDescent="0.25">
      <c r="A630" t="s">
        <v>14</v>
      </c>
      <c r="B630" t="s">
        <v>208</v>
      </c>
      <c r="C630">
        <v>669</v>
      </c>
      <c r="D630" t="s">
        <v>209</v>
      </c>
      <c r="E630" t="s">
        <v>2073</v>
      </c>
      <c r="F630" t="s">
        <v>2074</v>
      </c>
      <c r="G630" t="s">
        <v>2075</v>
      </c>
      <c r="H630" t="s">
        <v>2089</v>
      </c>
      <c r="I630" t="s">
        <v>2095</v>
      </c>
      <c r="J630" t="s">
        <v>2096</v>
      </c>
      <c r="K630" t="s">
        <v>1422</v>
      </c>
      <c r="L630" t="s">
        <v>208</v>
      </c>
      <c r="BB630" t="s">
        <v>219</v>
      </c>
    </row>
    <row r="631" spans="1:54" hidden="1" x14ac:dyDescent="0.25">
      <c r="A631" t="s">
        <v>67</v>
      </c>
      <c r="B631" t="s">
        <v>208</v>
      </c>
      <c r="C631">
        <v>1460</v>
      </c>
      <c r="D631" t="s">
        <v>209</v>
      </c>
      <c r="E631" t="s">
        <v>2073</v>
      </c>
      <c r="F631" t="s">
        <v>2074</v>
      </c>
      <c r="G631" t="s">
        <v>2075</v>
      </c>
      <c r="H631" t="s">
        <v>2089</v>
      </c>
      <c r="I631" t="s">
        <v>2095</v>
      </c>
      <c r="J631" t="s">
        <v>2096</v>
      </c>
      <c r="K631" t="s">
        <v>1422</v>
      </c>
      <c r="L631" t="s">
        <v>208</v>
      </c>
      <c r="BB631" t="s">
        <v>222</v>
      </c>
    </row>
    <row r="632" spans="1:54" hidden="1" x14ac:dyDescent="0.25">
      <c r="A632" t="s">
        <v>24</v>
      </c>
      <c r="B632" t="s">
        <v>208</v>
      </c>
      <c r="C632">
        <v>694</v>
      </c>
      <c r="D632" t="s">
        <v>209</v>
      </c>
      <c r="E632" t="s">
        <v>2073</v>
      </c>
      <c r="F632" t="s">
        <v>2074</v>
      </c>
      <c r="G632" t="s">
        <v>2075</v>
      </c>
      <c r="H632" t="s">
        <v>2089</v>
      </c>
      <c r="I632" t="s">
        <v>2095</v>
      </c>
      <c r="J632" t="s">
        <v>2096</v>
      </c>
      <c r="K632" t="s">
        <v>1422</v>
      </c>
      <c r="L632" t="s">
        <v>208</v>
      </c>
      <c r="BB632" t="s">
        <v>205</v>
      </c>
    </row>
    <row r="633" spans="1:54" hidden="1" x14ac:dyDescent="0.25">
      <c r="A633" t="s">
        <v>62</v>
      </c>
      <c r="B633" t="s">
        <v>208</v>
      </c>
      <c r="C633">
        <v>31</v>
      </c>
      <c r="D633" t="s">
        <v>209</v>
      </c>
      <c r="E633" t="s">
        <v>2073</v>
      </c>
      <c r="F633" t="s">
        <v>2074</v>
      </c>
      <c r="G633" t="s">
        <v>2075</v>
      </c>
      <c r="H633" t="s">
        <v>2089</v>
      </c>
      <c r="I633" t="s">
        <v>2095</v>
      </c>
      <c r="J633" t="s">
        <v>2096</v>
      </c>
      <c r="K633" t="s">
        <v>1422</v>
      </c>
      <c r="L633" t="s">
        <v>208</v>
      </c>
      <c r="BB633" t="s">
        <v>193</v>
      </c>
    </row>
    <row r="634" spans="1:54" hidden="1" x14ac:dyDescent="0.25">
      <c r="A634" t="s">
        <v>68</v>
      </c>
      <c r="B634" t="s">
        <v>208</v>
      </c>
      <c r="C634">
        <v>53</v>
      </c>
      <c r="D634" t="s">
        <v>209</v>
      </c>
      <c r="E634" t="s">
        <v>2073</v>
      </c>
      <c r="F634" t="s">
        <v>2074</v>
      </c>
      <c r="G634" t="s">
        <v>2075</v>
      </c>
      <c r="H634" t="s">
        <v>2089</v>
      </c>
      <c r="I634" t="s">
        <v>2095</v>
      </c>
      <c r="J634" t="s">
        <v>2096</v>
      </c>
      <c r="K634" t="s">
        <v>1422</v>
      </c>
      <c r="L634" t="s">
        <v>208</v>
      </c>
      <c r="BB634" t="s">
        <v>187</v>
      </c>
    </row>
    <row r="635" spans="1:54" hidden="1" x14ac:dyDescent="0.25">
      <c r="A635" t="s">
        <v>73</v>
      </c>
      <c r="B635" t="s">
        <v>208</v>
      </c>
      <c r="C635">
        <v>211</v>
      </c>
      <c r="D635" t="s">
        <v>209</v>
      </c>
      <c r="E635" t="s">
        <v>2073</v>
      </c>
      <c r="F635" t="s">
        <v>2074</v>
      </c>
      <c r="G635" t="s">
        <v>2075</v>
      </c>
      <c r="H635" t="s">
        <v>2089</v>
      </c>
      <c r="I635" t="s">
        <v>2095</v>
      </c>
      <c r="J635" t="s">
        <v>2096</v>
      </c>
      <c r="K635" t="s">
        <v>1422</v>
      </c>
      <c r="L635" t="s">
        <v>208</v>
      </c>
      <c r="BB635" t="s">
        <v>190</v>
      </c>
    </row>
    <row r="636" spans="1:54" hidden="1" x14ac:dyDescent="0.25">
      <c r="A636" t="s">
        <v>36</v>
      </c>
      <c r="B636" t="s">
        <v>208</v>
      </c>
      <c r="C636">
        <v>209</v>
      </c>
      <c r="D636" t="s">
        <v>209</v>
      </c>
      <c r="E636" t="s">
        <v>2073</v>
      </c>
      <c r="F636" t="s">
        <v>2074</v>
      </c>
      <c r="G636" t="s">
        <v>2075</v>
      </c>
      <c r="H636" t="s">
        <v>2089</v>
      </c>
      <c r="I636" t="s">
        <v>2095</v>
      </c>
      <c r="J636" t="s">
        <v>2096</v>
      </c>
      <c r="K636" t="s">
        <v>1422</v>
      </c>
      <c r="L636" t="s">
        <v>208</v>
      </c>
      <c r="BB636" t="s">
        <v>207</v>
      </c>
    </row>
    <row r="637" spans="1:54" hidden="1" x14ac:dyDescent="0.25">
      <c r="A637" t="s">
        <v>60</v>
      </c>
      <c r="B637" t="s">
        <v>208</v>
      </c>
      <c r="C637">
        <v>201</v>
      </c>
      <c r="D637" t="s">
        <v>209</v>
      </c>
      <c r="E637" t="s">
        <v>2073</v>
      </c>
      <c r="F637" t="s">
        <v>2074</v>
      </c>
      <c r="G637" t="s">
        <v>2075</v>
      </c>
      <c r="H637" t="s">
        <v>2089</v>
      </c>
      <c r="I637" t="s">
        <v>2095</v>
      </c>
      <c r="J637" t="s">
        <v>2096</v>
      </c>
      <c r="K637" t="s">
        <v>1422</v>
      </c>
      <c r="L637" t="s">
        <v>208</v>
      </c>
      <c r="BB637" t="s">
        <v>210</v>
      </c>
    </row>
    <row r="638" spans="1:54" hidden="1" x14ac:dyDescent="0.25">
      <c r="A638" t="s">
        <v>91</v>
      </c>
      <c r="B638" t="s">
        <v>208</v>
      </c>
      <c r="C638">
        <v>379</v>
      </c>
      <c r="D638" t="s">
        <v>209</v>
      </c>
      <c r="E638" t="s">
        <v>2073</v>
      </c>
      <c r="F638" t="s">
        <v>2074</v>
      </c>
      <c r="G638" t="s">
        <v>2075</v>
      </c>
      <c r="H638" t="s">
        <v>2089</v>
      </c>
      <c r="I638" t="s">
        <v>2095</v>
      </c>
      <c r="J638" t="s">
        <v>2096</v>
      </c>
      <c r="K638" t="s">
        <v>1422</v>
      </c>
      <c r="L638" t="s">
        <v>208</v>
      </c>
      <c r="BB638" t="s">
        <v>196</v>
      </c>
    </row>
    <row r="639" spans="1:54" hidden="1" x14ac:dyDescent="0.25">
      <c r="A639" t="s">
        <v>23</v>
      </c>
      <c r="B639" t="s">
        <v>208</v>
      </c>
      <c r="C639">
        <v>148</v>
      </c>
      <c r="D639" t="s">
        <v>209</v>
      </c>
      <c r="E639" t="s">
        <v>2073</v>
      </c>
      <c r="F639" t="s">
        <v>2074</v>
      </c>
      <c r="G639" t="s">
        <v>2075</v>
      </c>
      <c r="H639" t="s">
        <v>2089</v>
      </c>
      <c r="I639" t="s">
        <v>2095</v>
      </c>
      <c r="J639" t="s">
        <v>2096</v>
      </c>
      <c r="K639" t="s">
        <v>1422</v>
      </c>
      <c r="L639" t="s">
        <v>208</v>
      </c>
      <c r="BB639" t="s">
        <v>202</v>
      </c>
    </row>
    <row r="640" spans="1:54" hidden="1" x14ac:dyDescent="0.25">
      <c r="A640" t="s">
        <v>21</v>
      </c>
      <c r="B640" t="s">
        <v>208</v>
      </c>
      <c r="C640">
        <v>31</v>
      </c>
      <c r="D640" t="s">
        <v>209</v>
      </c>
      <c r="E640" t="s">
        <v>2073</v>
      </c>
      <c r="F640" t="s">
        <v>2074</v>
      </c>
      <c r="G640" t="s">
        <v>2075</v>
      </c>
      <c r="H640" t="s">
        <v>2089</v>
      </c>
      <c r="I640" t="s">
        <v>2095</v>
      </c>
      <c r="J640" t="s">
        <v>2096</v>
      </c>
      <c r="K640" t="s">
        <v>1422</v>
      </c>
      <c r="L640" t="s">
        <v>208</v>
      </c>
      <c r="BB640" t="s">
        <v>219</v>
      </c>
    </row>
    <row r="641" spans="1:54" hidden="1" x14ac:dyDescent="0.25">
      <c r="A641" t="s">
        <v>85</v>
      </c>
      <c r="B641" t="s">
        <v>208</v>
      </c>
      <c r="C641">
        <v>2197</v>
      </c>
      <c r="D641" t="s">
        <v>209</v>
      </c>
      <c r="E641" t="s">
        <v>2073</v>
      </c>
      <c r="F641" t="s">
        <v>2074</v>
      </c>
      <c r="G641" t="s">
        <v>2075</v>
      </c>
      <c r="H641" t="s">
        <v>2089</v>
      </c>
      <c r="I641" t="s">
        <v>2095</v>
      </c>
      <c r="J641" t="s">
        <v>2096</v>
      </c>
      <c r="K641" t="s">
        <v>1422</v>
      </c>
      <c r="L641" t="s">
        <v>208</v>
      </c>
      <c r="BB641" t="s">
        <v>193</v>
      </c>
    </row>
    <row r="642" spans="1:54" hidden="1" x14ac:dyDescent="0.25">
      <c r="A642" t="s">
        <v>52</v>
      </c>
      <c r="B642" t="s">
        <v>208</v>
      </c>
      <c r="C642">
        <v>182</v>
      </c>
      <c r="D642" t="s">
        <v>209</v>
      </c>
      <c r="E642" t="s">
        <v>2073</v>
      </c>
      <c r="F642" t="s">
        <v>2074</v>
      </c>
      <c r="G642" t="s">
        <v>2075</v>
      </c>
      <c r="H642" t="s">
        <v>2089</v>
      </c>
      <c r="I642" t="s">
        <v>2095</v>
      </c>
      <c r="J642" t="s">
        <v>2096</v>
      </c>
      <c r="K642" t="s">
        <v>1422</v>
      </c>
      <c r="L642" t="s">
        <v>208</v>
      </c>
      <c r="BB642" t="s">
        <v>187</v>
      </c>
    </row>
    <row r="643" spans="1:54" hidden="1" x14ac:dyDescent="0.25">
      <c r="A643" t="s">
        <v>12</v>
      </c>
      <c r="B643" t="s">
        <v>208</v>
      </c>
      <c r="C643">
        <v>53</v>
      </c>
      <c r="D643" t="s">
        <v>209</v>
      </c>
      <c r="E643" t="s">
        <v>2073</v>
      </c>
      <c r="F643" t="s">
        <v>2074</v>
      </c>
      <c r="G643" t="s">
        <v>2075</v>
      </c>
      <c r="H643" t="s">
        <v>2089</v>
      </c>
      <c r="I643" t="s">
        <v>2095</v>
      </c>
      <c r="J643" t="s">
        <v>2096</v>
      </c>
      <c r="K643" t="s">
        <v>1422</v>
      </c>
      <c r="L643" t="s">
        <v>208</v>
      </c>
      <c r="BB643" t="s">
        <v>190</v>
      </c>
    </row>
    <row r="644" spans="1:54" hidden="1" x14ac:dyDescent="0.25">
      <c r="A644" t="s">
        <v>92</v>
      </c>
      <c r="B644" t="s">
        <v>208</v>
      </c>
      <c r="C644">
        <v>69</v>
      </c>
      <c r="D644" t="s">
        <v>209</v>
      </c>
      <c r="E644" t="s">
        <v>2073</v>
      </c>
      <c r="F644" t="s">
        <v>2074</v>
      </c>
      <c r="G644" t="s">
        <v>2075</v>
      </c>
      <c r="H644" t="s">
        <v>2089</v>
      </c>
      <c r="I644" t="s">
        <v>2095</v>
      </c>
      <c r="J644" t="s">
        <v>2096</v>
      </c>
      <c r="K644" t="s">
        <v>1422</v>
      </c>
      <c r="L644" t="s">
        <v>208</v>
      </c>
      <c r="BB644" t="s">
        <v>210</v>
      </c>
    </row>
    <row r="645" spans="1:54" hidden="1" x14ac:dyDescent="0.25">
      <c r="A645" t="s">
        <v>63</v>
      </c>
      <c r="B645" t="s">
        <v>208</v>
      </c>
      <c r="C645">
        <v>25</v>
      </c>
      <c r="D645" t="s">
        <v>209</v>
      </c>
      <c r="E645" t="s">
        <v>2073</v>
      </c>
      <c r="F645" t="s">
        <v>2074</v>
      </c>
      <c r="G645" t="s">
        <v>2075</v>
      </c>
      <c r="H645" t="s">
        <v>2089</v>
      </c>
      <c r="I645" t="s">
        <v>2095</v>
      </c>
      <c r="J645" t="s">
        <v>2096</v>
      </c>
      <c r="K645" t="s">
        <v>1422</v>
      </c>
      <c r="L645" t="s">
        <v>208</v>
      </c>
      <c r="BB645" t="s">
        <v>207</v>
      </c>
    </row>
    <row r="646" spans="1:54" hidden="1" x14ac:dyDescent="0.25">
      <c r="A646" t="s">
        <v>53</v>
      </c>
      <c r="B646" t="s">
        <v>208</v>
      </c>
      <c r="C646">
        <v>82</v>
      </c>
      <c r="D646" t="s">
        <v>209</v>
      </c>
      <c r="E646" t="s">
        <v>2073</v>
      </c>
      <c r="F646" t="s">
        <v>2074</v>
      </c>
      <c r="G646" t="s">
        <v>2075</v>
      </c>
      <c r="H646" t="s">
        <v>2089</v>
      </c>
      <c r="I646" t="s">
        <v>2095</v>
      </c>
      <c r="J646" t="s">
        <v>2096</v>
      </c>
      <c r="K646" t="s">
        <v>1422</v>
      </c>
      <c r="L646" t="s">
        <v>208</v>
      </c>
      <c r="BB646" t="s">
        <v>196</v>
      </c>
    </row>
    <row r="647" spans="1:54" hidden="1" x14ac:dyDescent="0.25">
      <c r="A647" t="s">
        <v>76</v>
      </c>
      <c r="B647" t="s">
        <v>208</v>
      </c>
      <c r="C647">
        <v>52</v>
      </c>
      <c r="D647" t="s">
        <v>209</v>
      </c>
      <c r="E647" t="s">
        <v>2073</v>
      </c>
      <c r="F647" t="s">
        <v>2074</v>
      </c>
      <c r="G647" t="s">
        <v>2075</v>
      </c>
      <c r="H647" t="s">
        <v>2089</v>
      </c>
      <c r="I647" t="s">
        <v>2095</v>
      </c>
      <c r="J647" t="s">
        <v>2096</v>
      </c>
      <c r="K647" t="s">
        <v>1422</v>
      </c>
      <c r="L647" t="s">
        <v>208</v>
      </c>
      <c r="BB647" t="s">
        <v>202</v>
      </c>
    </row>
    <row r="648" spans="1:54" hidden="1" x14ac:dyDescent="0.25">
      <c r="A648" t="s">
        <v>90</v>
      </c>
      <c r="B648" t="s">
        <v>208</v>
      </c>
      <c r="C648">
        <v>88</v>
      </c>
      <c r="D648" t="s">
        <v>209</v>
      </c>
      <c r="E648" t="s">
        <v>2073</v>
      </c>
      <c r="F648" t="s">
        <v>2074</v>
      </c>
      <c r="G648" t="s">
        <v>2075</v>
      </c>
      <c r="H648" t="s">
        <v>2089</v>
      </c>
      <c r="I648" t="s">
        <v>2095</v>
      </c>
      <c r="J648" t="s">
        <v>2096</v>
      </c>
      <c r="K648" t="s">
        <v>1422</v>
      </c>
      <c r="L648" t="s">
        <v>208</v>
      </c>
      <c r="BB648" t="s">
        <v>219</v>
      </c>
    </row>
    <row r="649" spans="1:54" hidden="1" x14ac:dyDescent="0.25">
      <c r="A649" t="s">
        <v>71</v>
      </c>
      <c r="B649" t="s">
        <v>208</v>
      </c>
      <c r="C649">
        <v>923</v>
      </c>
      <c r="D649" t="s">
        <v>209</v>
      </c>
      <c r="E649" t="s">
        <v>2073</v>
      </c>
      <c r="F649" t="s">
        <v>2074</v>
      </c>
      <c r="G649" t="s">
        <v>2075</v>
      </c>
      <c r="H649" t="s">
        <v>2089</v>
      </c>
      <c r="I649" t="s">
        <v>2095</v>
      </c>
      <c r="J649" t="s">
        <v>2096</v>
      </c>
      <c r="K649" t="s">
        <v>1422</v>
      </c>
      <c r="L649" t="s">
        <v>208</v>
      </c>
      <c r="BB649" t="s">
        <v>222</v>
      </c>
    </row>
    <row r="650" spans="1:54" hidden="1" x14ac:dyDescent="0.25">
      <c r="A650" t="s">
        <v>16</v>
      </c>
      <c r="B650" t="s">
        <v>208</v>
      </c>
      <c r="C650">
        <v>1262</v>
      </c>
      <c r="D650" t="s">
        <v>209</v>
      </c>
      <c r="E650" t="s">
        <v>2073</v>
      </c>
      <c r="F650" t="s">
        <v>2074</v>
      </c>
      <c r="G650" t="s">
        <v>2075</v>
      </c>
      <c r="H650" t="s">
        <v>2089</v>
      </c>
      <c r="I650" t="s">
        <v>2095</v>
      </c>
      <c r="J650" t="s">
        <v>2096</v>
      </c>
      <c r="K650" t="s">
        <v>1422</v>
      </c>
      <c r="L650" t="s">
        <v>208</v>
      </c>
      <c r="BB650" t="s">
        <v>216</v>
      </c>
    </row>
    <row r="651" spans="1:54" hidden="1" x14ac:dyDescent="0.25">
      <c r="A651" t="s">
        <v>82</v>
      </c>
      <c r="B651" t="s">
        <v>208</v>
      </c>
      <c r="C651">
        <v>1645</v>
      </c>
      <c r="D651" t="s">
        <v>209</v>
      </c>
      <c r="E651" t="s">
        <v>2073</v>
      </c>
      <c r="F651" t="s">
        <v>2074</v>
      </c>
      <c r="G651" t="s">
        <v>2075</v>
      </c>
      <c r="H651" t="s">
        <v>2089</v>
      </c>
      <c r="I651" t="s">
        <v>2095</v>
      </c>
      <c r="J651" t="s">
        <v>2096</v>
      </c>
      <c r="K651" t="s">
        <v>1422</v>
      </c>
      <c r="L651" t="s">
        <v>208</v>
      </c>
      <c r="BB651" t="s">
        <v>193</v>
      </c>
    </row>
    <row r="652" spans="1:54" hidden="1" x14ac:dyDescent="0.25">
      <c r="A652" t="s">
        <v>38</v>
      </c>
      <c r="B652" t="s">
        <v>208</v>
      </c>
      <c r="C652">
        <v>616</v>
      </c>
      <c r="D652" t="s">
        <v>209</v>
      </c>
      <c r="E652" t="s">
        <v>2073</v>
      </c>
      <c r="F652" t="s">
        <v>2074</v>
      </c>
      <c r="G652" t="s">
        <v>2075</v>
      </c>
      <c r="H652" t="s">
        <v>2089</v>
      </c>
      <c r="I652" t="s">
        <v>2095</v>
      </c>
      <c r="J652" t="s">
        <v>2096</v>
      </c>
      <c r="K652" t="s">
        <v>1422</v>
      </c>
      <c r="L652" t="s">
        <v>208</v>
      </c>
      <c r="BB652" t="s">
        <v>187</v>
      </c>
    </row>
    <row r="653" spans="1:54" x14ac:dyDescent="0.25">
      <c r="A653" t="s">
        <v>84</v>
      </c>
      <c r="B653" t="s">
        <v>220</v>
      </c>
      <c r="C653">
        <v>19</v>
      </c>
      <c r="D653" t="s">
        <v>221</v>
      </c>
      <c r="E653" t="s">
        <v>2073</v>
      </c>
      <c r="F653" t="s">
        <v>2098</v>
      </c>
      <c r="G653" t="s">
        <v>2103</v>
      </c>
      <c r="H653" t="s">
        <v>2104</v>
      </c>
      <c r="I653" t="s">
        <v>2105</v>
      </c>
      <c r="J653" t="s">
        <v>2106</v>
      </c>
      <c r="K653" t="s">
        <v>1442</v>
      </c>
      <c r="L653" t="s">
        <v>220</v>
      </c>
      <c r="BB653" t="s">
        <v>210</v>
      </c>
    </row>
    <row r="654" spans="1:54" x14ac:dyDescent="0.25">
      <c r="A654" t="s">
        <v>58</v>
      </c>
      <c r="B654" t="s">
        <v>220</v>
      </c>
      <c r="C654">
        <v>85</v>
      </c>
      <c r="D654" t="s">
        <v>221</v>
      </c>
      <c r="E654" t="s">
        <v>2073</v>
      </c>
      <c r="F654" t="s">
        <v>2098</v>
      </c>
      <c r="G654" t="s">
        <v>2103</v>
      </c>
      <c r="H654" t="s">
        <v>2104</v>
      </c>
      <c r="I654" t="s">
        <v>2105</v>
      </c>
      <c r="J654" t="s">
        <v>2106</v>
      </c>
      <c r="K654" t="s">
        <v>1442</v>
      </c>
      <c r="L654" t="s">
        <v>220</v>
      </c>
      <c r="BB654" t="s">
        <v>196</v>
      </c>
    </row>
    <row r="655" spans="1:54" x14ac:dyDescent="0.25">
      <c r="A655" t="s">
        <v>79</v>
      </c>
      <c r="B655" t="s">
        <v>220</v>
      </c>
      <c r="C655">
        <v>11</v>
      </c>
      <c r="D655" t="s">
        <v>221</v>
      </c>
      <c r="E655" t="s">
        <v>2073</v>
      </c>
      <c r="F655" t="s">
        <v>2098</v>
      </c>
      <c r="G655" t="s">
        <v>2103</v>
      </c>
      <c r="H655" t="s">
        <v>2104</v>
      </c>
      <c r="I655" t="s">
        <v>2105</v>
      </c>
      <c r="J655" t="s">
        <v>2106</v>
      </c>
      <c r="K655" t="s">
        <v>1442</v>
      </c>
      <c r="L655" t="s">
        <v>220</v>
      </c>
      <c r="BB655" t="s">
        <v>228</v>
      </c>
    </row>
    <row r="656" spans="1:54" x14ac:dyDescent="0.25">
      <c r="A656" t="s">
        <v>19</v>
      </c>
      <c r="B656" t="s">
        <v>220</v>
      </c>
      <c r="C656">
        <v>5</v>
      </c>
      <c r="D656" t="s">
        <v>221</v>
      </c>
      <c r="E656" t="s">
        <v>2073</v>
      </c>
      <c r="F656" t="s">
        <v>2098</v>
      </c>
      <c r="G656" t="s">
        <v>2103</v>
      </c>
      <c r="H656" t="s">
        <v>2104</v>
      </c>
      <c r="I656" t="s">
        <v>2105</v>
      </c>
      <c r="J656" t="s">
        <v>2106</v>
      </c>
      <c r="K656" t="s">
        <v>1442</v>
      </c>
      <c r="L656" t="s">
        <v>220</v>
      </c>
      <c r="BB656" t="s">
        <v>190</v>
      </c>
    </row>
    <row r="657" spans="1:54" x14ac:dyDescent="0.25">
      <c r="A657" t="s">
        <v>70</v>
      </c>
      <c r="B657" t="s">
        <v>220</v>
      </c>
      <c r="C657">
        <v>11</v>
      </c>
      <c r="D657" t="s">
        <v>221</v>
      </c>
      <c r="E657" t="s">
        <v>2073</v>
      </c>
      <c r="F657" t="s">
        <v>2098</v>
      </c>
      <c r="G657" t="s">
        <v>2103</v>
      </c>
      <c r="H657" t="s">
        <v>2104</v>
      </c>
      <c r="I657" t="s">
        <v>2105</v>
      </c>
      <c r="J657" t="s">
        <v>2106</v>
      </c>
      <c r="K657" t="s">
        <v>1442</v>
      </c>
      <c r="L657" t="s">
        <v>220</v>
      </c>
      <c r="BB657" t="s">
        <v>231</v>
      </c>
    </row>
    <row r="658" spans="1:54" x14ac:dyDescent="0.25">
      <c r="A658" t="s">
        <v>83</v>
      </c>
      <c r="B658" t="s">
        <v>220</v>
      </c>
      <c r="C658">
        <v>14</v>
      </c>
      <c r="D658" t="s">
        <v>221</v>
      </c>
      <c r="E658" t="s">
        <v>2073</v>
      </c>
      <c r="F658" t="s">
        <v>2098</v>
      </c>
      <c r="G658" t="s">
        <v>2103</v>
      </c>
      <c r="H658" t="s">
        <v>2104</v>
      </c>
      <c r="I658" t="s">
        <v>2105</v>
      </c>
      <c r="J658" t="s">
        <v>2106</v>
      </c>
      <c r="K658" t="s">
        <v>1442</v>
      </c>
      <c r="L658" t="s">
        <v>220</v>
      </c>
      <c r="BB658" t="s">
        <v>193</v>
      </c>
    </row>
    <row r="659" spans="1:54" x14ac:dyDescent="0.25">
      <c r="A659" t="s">
        <v>39</v>
      </c>
      <c r="B659" t="s">
        <v>220</v>
      </c>
      <c r="C659">
        <v>14</v>
      </c>
      <c r="D659" t="s">
        <v>221</v>
      </c>
      <c r="E659" t="s">
        <v>2073</v>
      </c>
      <c r="F659" t="s">
        <v>2098</v>
      </c>
      <c r="G659" t="s">
        <v>2103</v>
      </c>
      <c r="H659" t="s">
        <v>2104</v>
      </c>
      <c r="I659" t="s">
        <v>2105</v>
      </c>
      <c r="J659" t="s">
        <v>2106</v>
      </c>
      <c r="K659" t="s">
        <v>1442</v>
      </c>
      <c r="L659" t="s">
        <v>220</v>
      </c>
      <c r="BB659" t="s">
        <v>187</v>
      </c>
    </row>
    <row r="660" spans="1:54" x14ac:dyDescent="0.25">
      <c r="A660" t="s">
        <v>75</v>
      </c>
      <c r="B660" t="s">
        <v>220</v>
      </c>
      <c r="C660">
        <v>12</v>
      </c>
      <c r="D660" t="s">
        <v>221</v>
      </c>
      <c r="E660" t="s">
        <v>2073</v>
      </c>
      <c r="F660" t="s">
        <v>2098</v>
      </c>
      <c r="G660" t="s">
        <v>2103</v>
      </c>
      <c r="H660" t="s">
        <v>2104</v>
      </c>
      <c r="I660" t="s">
        <v>2105</v>
      </c>
      <c r="J660" t="s">
        <v>2106</v>
      </c>
      <c r="K660" t="s">
        <v>1442</v>
      </c>
      <c r="L660" t="s">
        <v>220</v>
      </c>
      <c r="BB660" t="s">
        <v>216</v>
      </c>
    </row>
    <row r="661" spans="1:54" x14ac:dyDescent="0.25">
      <c r="A661" t="s">
        <v>74</v>
      </c>
      <c r="B661" t="s">
        <v>220</v>
      </c>
      <c r="C661">
        <v>12</v>
      </c>
      <c r="D661" t="s">
        <v>221</v>
      </c>
      <c r="E661" t="s">
        <v>2073</v>
      </c>
      <c r="F661" t="s">
        <v>2098</v>
      </c>
      <c r="G661" t="s">
        <v>2103</v>
      </c>
      <c r="H661" t="s">
        <v>2104</v>
      </c>
      <c r="I661" t="s">
        <v>2105</v>
      </c>
      <c r="J661" t="s">
        <v>2106</v>
      </c>
      <c r="K661" t="s">
        <v>1442</v>
      </c>
      <c r="L661" t="s">
        <v>220</v>
      </c>
      <c r="BB661" t="s">
        <v>210</v>
      </c>
    </row>
    <row r="662" spans="1:54" x14ac:dyDescent="0.25">
      <c r="A662" t="s">
        <v>48</v>
      </c>
      <c r="B662" t="s">
        <v>220</v>
      </c>
      <c r="C662">
        <v>15</v>
      </c>
      <c r="D662" t="s">
        <v>221</v>
      </c>
      <c r="E662" t="s">
        <v>2073</v>
      </c>
      <c r="F662" t="s">
        <v>2098</v>
      </c>
      <c r="G662" t="s">
        <v>2103</v>
      </c>
      <c r="H662" t="s">
        <v>2104</v>
      </c>
      <c r="I662" t="s">
        <v>2105</v>
      </c>
      <c r="J662" t="s">
        <v>2106</v>
      </c>
      <c r="K662" t="s">
        <v>1442</v>
      </c>
      <c r="L662" t="s">
        <v>220</v>
      </c>
      <c r="BB662" t="s">
        <v>205</v>
      </c>
    </row>
    <row r="663" spans="1:54" x14ac:dyDescent="0.25">
      <c r="A663" t="s">
        <v>43</v>
      </c>
      <c r="B663" t="s">
        <v>220</v>
      </c>
      <c r="C663">
        <v>8</v>
      </c>
      <c r="D663" t="s">
        <v>221</v>
      </c>
      <c r="E663" t="s">
        <v>2073</v>
      </c>
      <c r="F663" t="s">
        <v>2098</v>
      </c>
      <c r="G663" t="s">
        <v>2103</v>
      </c>
      <c r="H663" t="s">
        <v>2104</v>
      </c>
      <c r="I663" t="s">
        <v>2105</v>
      </c>
      <c r="J663" t="s">
        <v>2106</v>
      </c>
      <c r="K663" t="s">
        <v>1442</v>
      </c>
      <c r="L663" t="s">
        <v>220</v>
      </c>
      <c r="BB663" t="s">
        <v>207</v>
      </c>
    </row>
    <row r="664" spans="1:54" x14ac:dyDescent="0.25">
      <c r="A664" t="s">
        <v>40</v>
      </c>
      <c r="B664" t="s">
        <v>220</v>
      </c>
      <c r="C664">
        <v>28</v>
      </c>
      <c r="D664" t="s">
        <v>221</v>
      </c>
      <c r="E664" t="s">
        <v>2073</v>
      </c>
      <c r="F664" t="s">
        <v>2098</v>
      </c>
      <c r="G664" t="s">
        <v>2103</v>
      </c>
      <c r="H664" t="s">
        <v>2104</v>
      </c>
      <c r="I664" t="s">
        <v>2105</v>
      </c>
      <c r="J664" t="s">
        <v>2106</v>
      </c>
      <c r="K664" t="s">
        <v>1442</v>
      </c>
      <c r="L664" t="s">
        <v>220</v>
      </c>
      <c r="BB664" t="s">
        <v>196</v>
      </c>
    </row>
    <row r="665" spans="1:54" x14ac:dyDescent="0.25">
      <c r="A665" t="s">
        <v>34</v>
      </c>
      <c r="B665" t="s">
        <v>220</v>
      </c>
      <c r="C665">
        <v>17</v>
      </c>
      <c r="D665" t="s">
        <v>221</v>
      </c>
      <c r="E665" t="s">
        <v>2073</v>
      </c>
      <c r="F665" t="s">
        <v>2098</v>
      </c>
      <c r="G665" t="s">
        <v>2103</v>
      </c>
      <c r="H665" t="s">
        <v>2104</v>
      </c>
      <c r="I665" t="s">
        <v>2105</v>
      </c>
      <c r="J665" t="s">
        <v>2106</v>
      </c>
      <c r="K665" t="s">
        <v>1442</v>
      </c>
      <c r="L665" t="s">
        <v>220</v>
      </c>
      <c r="BB665" t="s">
        <v>187</v>
      </c>
    </row>
    <row r="666" spans="1:54" x14ac:dyDescent="0.25">
      <c r="A666" t="s">
        <v>42</v>
      </c>
      <c r="B666" t="s">
        <v>220</v>
      </c>
      <c r="C666">
        <v>23</v>
      </c>
      <c r="D666" t="s">
        <v>221</v>
      </c>
      <c r="E666" t="s">
        <v>2073</v>
      </c>
      <c r="F666" t="s">
        <v>2098</v>
      </c>
      <c r="G666" t="s">
        <v>2103</v>
      </c>
      <c r="H666" t="s">
        <v>2104</v>
      </c>
      <c r="I666" t="s">
        <v>2105</v>
      </c>
      <c r="J666" t="s">
        <v>2106</v>
      </c>
      <c r="K666" t="s">
        <v>1442</v>
      </c>
      <c r="L666" t="s">
        <v>220</v>
      </c>
      <c r="BB666" t="s">
        <v>193</v>
      </c>
    </row>
    <row r="667" spans="1:54" x14ac:dyDescent="0.25">
      <c r="A667" t="s">
        <v>37</v>
      </c>
      <c r="B667" t="s">
        <v>220</v>
      </c>
      <c r="C667">
        <v>17</v>
      </c>
      <c r="D667" t="s">
        <v>221</v>
      </c>
      <c r="E667" t="s">
        <v>2073</v>
      </c>
      <c r="F667" t="s">
        <v>2098</v>
      </c>
      <c r="G667" t="s">
        <v>2103</v>
      </c>
      <c r="H667" t="s">
        <v>2104</v>
      </c>
      <c r="I667" t="s">
        <v>2105</v>
      </c>
      <c r="J667" t="s">
        <v>2106</v>
      </c>
      <c r="K667" t="s">
        <v>1442</v>
      </c>
      <c r="L667" t="s">
        <v>220</v>
      </c>
      <c r="BB667" t="s">
        <v>210</v>
      </c>
    </row>
    <row r="668" spans="1:54" x14ac:dyDescent="0.25">
      <c r="A668" t="s">
        <v>18</v>
      </c>
      <c r="B668" t="s">
        <v>220</v>
      </c>
      <c r="C668">
        <v>17</v>
      </c>
      <c r="D668" t="s">
        <v>221</v>
      </c>
      <c r="E668" t="s">
        <v>2073</v>
      </c>
      <c r="F668" t="s">
        <v>2098</v>
      </c>
      <c r="G668" t="s">
        <v>2103</v>
      </c>
      <c r="H668" t="s">
        <v>2104</v>
      </c>
      <c r="I668" t="s">
        <v>2105</v>
      </c>
      <c r="J668" t="s">
        <v>2106</v>
      </c>
      <c r="K668" t="s">
        <v>1442</v>
      </c>
      <c r="L668" t="s">
        <v>220</v>
      </c>
      <c r="BB668" t="s">
        <v>216</v>
      </c>
    </row>
    <row r="669" spans="1:54" x14ac:dyDescent="0.25">
      <c r="A669" t="s">
        <v>89</v>
      </c>
      <c r="B669" t="s">
        <v>220</v>
      </c>
      <c r="C669">
        <v>18</v>
      </c>
      <c r="D669" t="s">
        <v>221</v>
      </c>
      <c r="E669" t="s">
        <v>2073</v>
      </c>
      <c r="F669" t="s">
        <v>2098</v>
      </c>
      <c r="G669" t="s">
        <v>2103</v>
      </c>
      <c r="H669" t="s">
        <v>2104</v>
      </c>
      <c r="I669" t="s">
        <v>2105</v>
      </c>
      <c r="J669" t="s">
        <v>2106</v>
      </c>
      <c r="K669" t="s">
        <v>1442</v>
      </c>
      <c r="L669" t="s">
        <v>220</v>
      </c>
      <c r="BB669" t="s">
        <v>202</v>
      </c>
    </row>
    <row r="670" spans="1:54" x14ac:dyDescent="0.25">
      <c r="A670" t="s">
        <v>17</v>
      </c>
      <c r="B670" t="s">
        <v>220</v>
      </c>
      <c r="C670">
        <v>5</v>
      </c>
      <c r="D670" t="s">
        <v>221</v>
      </c>
      <c r="E670" t="s">
        <v>2073</v>
      </c>
      <c r="F670" t="s">
        <v>2098</v>
      </c>
      <c r="G670" t="s">
        <v>2103</v>
      </c>
      <c r="H670" t="s">
        <v>2104</v>
      </c>
      <c r="I670" t="s">
        <v>2105</v>
      </c>
      <c r="J670" t="s">
        <v>2106</v>
      </c>
      <c r="K670" t="s">
        <v>1442</v>
      </c>
      <c r="L670" t="s">
        <v>220</v>
      </c>
      <c r="BB670" t="s">
        <v>205</v>
      </c>
    </row>
    <row r="671" spans="1:54" x14ac:dyDescent="0.25">
      <c r="A671" t="s">
        <v>66</v>
      </c>
      <c r="B671" t="s">
        <v>220</v>
      </c>
      <c r="C671">
        <v>6</v>
      </c>
      <c r="D671" t="s">
        <v>221</v>
      </c>
      <c r="E671" t="s">
        <v>2073</v>
      </c>
      <c r="F671" t="s">
        <v>2098</v>
      </c>
      <c r="G671" t="s">
        <v>2103</v>
      </c>
      <c r="H671" t="s">
        <v>2104</v>
      </c>
      <c r="I671" t="s">
        <v>2105</v>
      </c>
      <c r="J671" t="s">
        <v>2106</v>
      </c>
      <c r="K671" t="s">
        <v>1442</v>
      </c>
      <c r="L671" t="s">
        <v>220</v>
      </c>
      <c r="BB671" t="s">
        <v>207</v>
      </c>
    </row>
    <row r="672" spans="1:54" x14ac:dyDescent="0.25">
      <c r="A672" t="s">
        <v>9</v>
      </c>
      <c r="B672" t="s">
        <v>220</v>
      </c>
      <c r="C672">
        <v>34</v>
      </c>
      <c r="D672" t="s">
        <v>221</v>
      </c>
      <c r="E672" t="s">
        <v>2073</v>
      </c>
      <c r="F672" t="s">
        <v>2098</v>
      </c>
      <c r="G672" t="s">
        <v>2103</v>
      </c>
      <c r="H672" t="s">
        <v>2104</v>
      </c>
      <c r="I672" t="s">
        <v>2105</v>
      </c>
      <c r="J672" t="s">
        <v>2106</v>
      </c>
      <c r="K672" t="s">
        <v>1442</v>
      </c>
      <c r="L672" t="s">
        <v>220</v>
      </c>
      <c r="BB672" t="s">
        <v>222</v>
      </c>
    </row>
    <row r="673" spans="1:54" x14ac:dyDescent="0.25">
      <c r="A673" t="s">
        <v>25</v>
      </c>
      <c r="B673" t="s">
        <v>220</v>
      </c>
      <c r="C673">
        <v>35</v>
      </c>
      <c r="D673" t="s">
        <v>221</v>
      </c>
      <c r="E673" t="s">
        <v>2073</v>
      </c>
      <c r="F673" t="s">
        <v>2098</v>
      </c>
      <c r="G673" t="s">
        <v>2103</v>
      </c>
      <c r="H673" t="s">
        <v>2104</v>
      </c>
      <c r="I673" t="s">
        <v>2105</v>
      </c>
      <c r="J673" t="s">
        <v>2106</v>
      </c>
      <c r="K673" t="s">
        <v>1442</v>
      </c>
      <c r="L673" t="s">
        <v>220</v>
      </c>
      <c r="BB673" t="s">
        <v>219</v>
      </c>
    </row>
    <row r="674" spans="1:54" x14ac:dyDescent="0.25">
      <c r="A674" t="s">
        <v>32</v>
      </c>
      <c r="B674" t="s">
        <v>220</v>
      </c>
      <c r="C674">
        <v>20</v>
      </c>
      <c r="D674" t="s">
        <v>221</v>
      </c>
      <c r="E674" t="s">
        <v>2073</v>
      </c>
      <c r="F674" t="s">
        <v>2098</v>
      </c>
      <c r="G674" t="s">
        <v>2103</v>
      </c>
      <c r="H674" t="s">
        <v>2104</v>
      </c>
      <c r="I674" t="s">
        <v>2105</v>
      </c>
      <c r="J674" t="s">
        <v>2106</v>
      </c>
      <c r="K674" t="s">
        <v>1442</v>
      </c>
      <c r="L674" t="s">
        <v>220</v>
      </c>
      <c r="BB674" t="s">
        <v>228</v>
      </c>
    </row>
    <row r="675" spans="1:54" x14ac:dyDescent="0.25">
      <c r="A675" t="s">
        <v>65</v>
      </c>
      <c r="B675" t="s">
        <v>220</v>
      </c>
      <c r="C675">
        <v>43</v>
      </c>
      <c r="D675" t="s">
        <v>221</v>
      </c>
      <c r="E675" t="s">
        <v>2073</v>
      </c>
      <c r="F675" t="s">
        <v>2098</v>
      </c>
      <c r="G675" t="s">
        <v>2103</v>
      </c>
      <c r="H675" t="s">
        <v>2104</v>
      </c>
      <c r="I675" t="s">
        <v>2105</v>
      </c>
      <c r="J675" t="s">
        <v>2106</v>
      </c>
      <c r="K675" t="s">
        <v>1442</v>
      </c>
      <c r="L675" t="s">
        <v>220</v>
      </c>
      <c r="BB675" t="s">
        <v>196</v>
      </c>
    </row>
    <row r="676" spans="1:54" x14ac:dyDescent="0.25">
      <c r="A676" t="s">
        <v>59</v>
      </c>
      <c r="B676" t="s">
        <v>220</v>
      </c>
      <c r="C676">
        <v>14</v>
      </c>
      <c r="D676" t="s">
        <v>221</v>
      </c>
      <c r="E676" t="s">
        <v>2073</v>
      </c>
      <c r="F676" t="s">
        <v>2098</v>
      </c>
      <c r="G676" t="s">
        <v>2103</v>
      </c>
      <c r="H676" t="s">
        <v>2104</v>
      </c>
      <c r="I676" t="s">
        <v>2105</v>
      </c>
      <c r="J676" t="s">
        <v>2106</v>
      </c>
      <c r="K676" t="s">
        <v>1442</v>
      </c>
      <c r="L676" t="s">
        <v>220</v>
      </c>
      <c r="BB676" t="s">
        <v>193</v>
      </c>
    </row>
    <row r="677" spans="1:54" x14ac:dyDescent="0.25">
      <c r="A677" t="s">
        <v>45</v>
      </c>
      <c r="B677" t="s">
        <v>220</v>
      </c>
      <c r="C677">
        <v>11</v>
      </c>
      <c r="D677" t="s">
        <v>221</v>
      </c>
      <c r="E677" t="s">
        <v>2073</v>
      </c>
      <c r="F677" t="s">
        <v>2098</v>
      </c>
      <c r="G677" t="s">
        <v>2103</v>
      </c>
      <c r="H677" t="s">
        <v>2104</v>
      </c>
      <c r="I677" t="s">
        <v>2105</v>
      </c>
      <c r="J677" t="s">
        <v>2106</v>
      </c>
      <c r="K677" t="s">
        <v>1442</v>
      </c>
      <c r="L677" t="s">
        <v>220</v>
      </c>
      <c r="BB677" t="s">
        <v>187</v>
      </c>
    </row>
    <row r="678" spans="1:54" x14ac:dyDescent="0.25">
      <c r="A678" t="s">
        <v>15</v>
      </c>
      <c r="B678" t="s">
        <v>220</v>
      </c>
      <c r="C678">
        <v>31</v>
      </c>
      <c r="D678" t="s">
        <v>221</v>
      </c>
      <c r="E678" t="s">
        <v>2073</v>
      </c>
      <c r="F678" t="s">
        <v>2098</v>
      </c>
      <c r="G678" t="s">
        <v>2103</v>
      </c>
      <c r="H678" t="s">
        <v>2104</v>
      </c>
      <c r="I678" t="s">
        <v>2105</v>
      </c>
      <c r="J678" t="s">
        <v>2106</v>
      </c>
      <c r="K678" t="s">
        <v>1442</v>
      </c>
      <c r="L678" t="s">
        <v>220</v>
      </c>
      <c r="BB678" t="s">
        <v>210</v>
      </c>
    </row>
    <row r="679" spans="1:54" x14ac:dyDescent="0.25">
      <c r="A679" t="s">
        <v>72</v>
      </c>
      <c r="B679" t="s">
        <v>220</v>
      </c>
      <c r="C679">
        <v>55</v>
      </c>
      <c r="D679" t="s">
        <v>221</v>
      </c>
      <c r="E679" t="s">
        <v>2073</v>
      </c>
      <c r="F679" t="s">
        <v>2098</v>
      </c>
      <c r="G679" t="s">
        <v>2103</v>
      </c>
      <c r="H679" t="s">
        <v>2104</v>
      </c>
      <c r="I679" t="s">
        <v>2105</v>
      </c>
      <c r="J679" t="s">
        <v>2106</v>
      </c>
      <c r="K679" t="s">
        <v>1442</v>
      </c>
      <c r="L679" t="s">
        <v>220</v>
      </c>
      <c r="BB679" t="s">
        <v>216</v>
      </c>
    </row>
    <row r="680" spans="1:54" x14ac:dyDescent="0.25">
      <c r="A680" t="s">
        <v>26</v>
      </c>
      <c r="B680" t="s">
        <v>220</v>
      </c>
      <c r="C680">
        <v>32</v>
      </c>
      <c r="D680" t="s">
        <v>221</v>
      </c>
      <c r="E680" t="s">
        <v>2073</v>
      </c>
      <c r="F680" t="s">
        <v>2098</v>
      </c>
      <c r="G680" t="s">
        <v>2103</v>
      </c>
      <c r="H680" t="s">
        <v>2104</v>
      </c>
      <c r="I680" t="s">
        <v>2105</v>
      </c>
      <c r="J680" t="s">
        <v>2106</v>
      </c>
      <c r="K680" t="s">
        <v>1442</v>
      </c>
      <c r="L680" t="s">
        <v>220</v>
      </c>
      <c r="BB680" t="s">
        <v>207</v>
      </c>
    </row>
    <row r="681" spans="1:54" x14ac:dyDescent="0.25">
      <c r="A681" t="s">
        <v>14</v>
      </c>
      <c r="B681" t="s">
        <v>220</v>
      </c>
      <c r="C681">
        <v>17</v>
      </c>
      <c r="D681" t="s">
        <v>221</v>
      </c>
      <c r="E681" t="s">
        <v>2073</v>
      </c>
      <c r="F681" t="s">
        <v>2098</v>
      </c>
      <c r="G681" t="s">
        <v>2103</v>
      </c>
      <c r="H681" t="s">
        <v>2104</v>
      </c>
      <c r="I681" t="s">
        <v>2105</v>
      </c>
      <c r="J681" t="s">
        <v>2106</v>
      </c>
      <c r="K681" t="s">
        <v>1442</v>
      </c>
      <c r="L681" t="s">
        <v>220</v>
      </c>
      <c r="BB681" t="s">
        <v>205</v>
      </c>
    </row>
    <row r="682" spans="1:54" x14ac:dyDescent="0.25">
      <c r="A682" t="s">
        <v>67</v>
      </c>
      <c r="B682" t="s">
        <v>220</v>
      </c>
      <c r="C682">
        <v>35</v>
      </c>
      <c r="D682" t="s">
        <v>221</v>
      </c>
      <c r="E682" t="s">
        <v>2073</v>
      </c>
      <c r="F682" t="s">
        <v>2098</v>
      </c>
      <c r="G682" t="s">
        <v>2103</v>
      </c>
      <c r="H682" t="s">
        <v>2104</v>
      </c>
      <c r="I682" t="s">
        <v>2105</v>
      </c>
      <c r="J682" t="s">
        <v>2106</v>
      </c>
      <c r="K682" t="s">
        <v>1442</v>
      </c>
      <c r="L682" t="s">
        <v>220</v>
      </c>
      <c r="BB682" t="s">
        <v>202</v>
      </c>
    </row>
    <row r="683" spans="1:54" x14ac:dyDescent="0.25">
      <c r="A683" t="s">
        <v>68</v>
      </c>
      <c r="B683" t="s">
        <v>220</v>
      </c>
      <c r="C683">
        <v>102</v>
      </c>
      <c r="D683" t="s">
        <v>221</v>
      </c>
      <c r="E683" t="s">
        <v>2073</v>
      </c>
      <c r="F683" t="s">
        <v>2098</v>
      </c>
      <c r="G683" t="s">
        <v>2103</v>
      </c>
      <c r="H683" t="s">
        <v>2104</v>
      </c>
      <c r="I683" t="s">
        <v>2105</v>
      </c>
      <c r="J683" t="s">
        <v>2106</v>
      </c>
      <c r="K683" t="s">
        <v>1442</v>
      </c>
      <c r="L683" t="s">
        <v>220</v>
      </c>
      <c r="BB683" t="s">
        <v>219</v>
      </c>
    </row>
    <row r="684" spans="1:54" x14ac:dyDescent="0.25">
      <c r="A684" t="s">
        <v>36</v>
      </c>
      <c r="B684" t="s">
        <v>220</v>
      </c>
      <c r="C684">
        <v>7</v>
      </c>
      <c r="D684" t="s">
        <v>221</v>
      </c>
      <c r="E684" t="s">
        <v>2073</v>
      </c>
      <c r="F684" t="s">
        <v>2098</v>
      </c>
      <c r="G684" t="s">
        <v>2103</v>
      </c>
      <c r="H684" t="s">
        <v>2104</v>
      </c>
      <c r="I684" t="s">
        <v>2105</v>
      </c>
      <c r="J684" t="s">
        <v>2106</v>
      </c>
      <c r="K684" t="s">
        <v>1442</v>
      </c>
      <c r="L684" t="s">
        <v>220</v>
      </c>
      <c r="BB684" t="s">
        <v>190</v>
      </c>
    </row>
    <row r="685" spans="1:54" x14ac:dyDescent="0.25">
      <c r="A685" t="s">
        <v>91</v>
      </c>
      <c r="B685" t="s">
        <v>220</v>
      </c>
      <c r="C685">
        <v>10</v>
      </c>
      <c r="D685" t="s">
        <v>221</v>
      </c>
      <c r="E685" t="s">
        <v>2073</v>
      </c>
      <c r="F685" t="s">
        <v>2098</v>
      </c>
      <c r="G685" t="s">
        <v>2103</v>
      </c>
      <c r="H685" t="s">
        <v>2104</v>
      </c>
      <c r="I685" t="s">
        <v>2105</v>
      </c>
      <c r="J685" t="s">
        <v>2106</v>
      </c>
      <c r="K685" t="s">
        <v>1442</v>
      </c>
      <c r="L685" t="s">
        <v>220</v>
      </c>
      <c r="BB685" t="s">
        <v>187</v>
      </c>
    </row>
    <row r="686" spans="1:54" x14ac:dyDescent="0.25">
      <c r="A686" t="s">
        <v>85</v>
      </c>
      <c r="B686" t="s">
        <v>220</v>
      </c>
      <c r="C686">
        <v>29</v>
      </c>
      <c r="D686" t="s">
        <v>221</v>
      </c>
      <c r="E686" t="s">
        <v>2073</v>
      </c>
      <c r="F686" t="s">
        <v>2098</v>
      </c>
      <c r="G686" t="s">
        <v>2103</v>
      </c>
      <c r="H686" t="s">
        <v>2104</v>
      </c>
      <c r="I686" t="s">
        <v>2105</v>
      </c>
      <c r="J686" t="s">
        <v>2106</v>
      </c>
      <c r="K686" t="s">
        <v>1442</v>
      </c>
      <c r="L686" t="s">
        <v>220</v>
      </c>
      <c r="BB686" t="s">
        <v>193</v>
      </c>
    </row>
    <row r="687" spans="1:54" x14ac:dyDescent="0.25">
      <c r="A687" t="s">
        <v>53</v>
      </c>
      <c r="B687" t="s">
        <v>220</v>
      </c>
      <c r="C687">
        <v>27</v>
      </c>
      <c r="D687" t="s">
        <v>221</v>
      </c>
      <c r="E687" t="s">
        <v>2073</v>
      </c>
      <c r="F687" t="s">
        <v>2098</v>
      </c>
      <c r="G687" t="s">
        <v>2103</v>
      </c>
      <c r="H687" t="s">
        <v>2104</v>
      </c>
      <c r="I687" t="s">
        <v>2105</v>
      </c>
      <c r="J687" t="s">
        <v>2106</v>
      </c>
      <c r="K687" t="s">
        <v>1442</v>
      </c>
      <c r="L687" t="s">
        <v>220</v>
      </c>
      <c r="BB687" t="s">
        <v>196</v>
      </c>
    </row>
    <row r="688" spans="1:54" x14ac:dyDescent="0.25">
      <c r="A688" t="s">
        <v>76</v>
      </c>
      <c r="B688" t="s">
        <v>220</v>
      </c>
      <c r="C688">
        <v>63</v>
      </c>
      <c r="D688" t="s">
        <v>221</v>
      </c>
      <c r="E688" t="s">
        <v>2073</v>
      </c>
      <c r="F688" t="s">
        <v>2098</v>
      </c>
      <c r="G688" t="s">
        <v>2103</v>
      </c>
      <c r="H688" t="s">
        <v>2104</v>
      </c>
      <c r="I688" t="s">
        <v>2105</v>
      </c>
      <c r="J688" t="s">
        <v>2106</v>
      </c>
      <c r="K688" t="s">
        <v>1442</v>
      </c>
      <c r="L688" t="s">
        <v>220</v>
      </c>
      <c r="BB688" t="s">
        <v>233</v>
      </c>
    </row>
    <row r="689" spans="1:54" x14ac:dyDescent="0.25">
      <c r="A689" t="s">
        <v>90</v>
      </c>
      <c r="B689" t="s">
        <v>220</v>
      </c>
      <c r="C689">
        <v>57</v>
      </c>
      <c r="D689" t="s">
        <v>221</v>
      </c>
      <c r="E689" t="s">
        <v>2073</v>
      </c>
      <c r="F689" t="s">
        <v>2098</v>
      </c>
      <c r="G689" t="s">
        <v>2103</v>
      </c>
      <c r="H689" t="s">
        <v>2104</v>
      </c>
      <c r="I689" t="s">
        <v>2105</v>
      </c>
      <c r="J689" t="s">
        <v>2106</v>
      </c>
      <c r="K689" t="s">
        <v>1442</v>
      </c>
      <c r="L689" t="s">
        <v>220</v>
      </c>
      <c r="BB689" t="s">
        <v>207</v>
      </c>
    </row>
    <row r="690" spans="1:54" x14ac:dyDescent="0.25">
      <c r="A690" t="s">
        <v>16</v>
      </c>
      <c r="B690" t="s">
        <v>220</v>
      </c>
      <c r="C690">
        <v>39</v>
      </c>
      <c r="D690" t="s">
        <v>221</v>
      </c>
      <c r="E690" t="s">
        <v>2073</v>
      </c>
      <c r="F690" t="s">
        <v>2098</v>
      </c>
      <c r="G690" t="s">
        <v>2103</v>
      </c>
      <c r="H690" t="s">
        <v>2104</v>
      </c>
      <c r="I690" t="s">
        <v>2105</v>
      </c>
      <c r="J690" t="s">
        <v>2106</v>
      </c>
      <c r="K690" t="s">
        <v>1442</v>
      </c>
      <c r="L690" t="s">
        <v>220</v>
      </c>
      <c r="BB690" t="s">
        <v>225</v>
      </c>
    </row>
    <row r="691" spans="1:54" x14ac:dyDescent="0.25">
      <c r="A691" t="s">
        <v>82</v>
      </c>
      <c r="B691" t="s">
        <v>220</v>
      </c>
      <c r="C691">
        <v>36</v>
      </c>
      <c r="D691" t="s">
        <v>221</v>
      </c>
      <c r="E691" t="s">
        <v>2073</v>
      </c>
      <c r="F691" t="s">
        <v>2098</v>
      </c>
      <c r="G691" t="s">
        <v>2103</v>
      </c>
      <c r="H691" t="s">
        <v>2104</v>
      </c>
      <c r="I691" t="s">
        <v>2105</v>
      </c>
      <c r="J691" t="s">
        <v>2106</v>
      </c>
      <c r="K691" t="s">
        <v>1442</v>
      </c>
      <c r="L691" t="s">
        <v>220</v>
      </c>
      <c r="BB691" t="s">
        <v>202</v>
      </c>
    </row>
    <row r="692" spans="1:54" x14ac:dyDescent="0.25">
      <c r="A692" t="s">
        <v>38</v>
      </c>
      <c r="B692" t="s">
        <v>220</v>
      </c>
      <c r="C692">
        <v>4</v>
      </c>
      <c r="D692" t="s">
        <v>221</v>
      </c>
      <c r="E692" t="s">
        <v>2073</v>
      </c>
      <c r="F692" t="s">
        <v>2098</v>
      </c>
      <c r="G692" t="s">
        <v>2103</v>
      </c>
      <c r="H692" t="s">
        <v>2104</v>
      </c>
      <c r="I692" t="s">
        <v>2105</v>
      </c>
      <c r="J692" t="s">
        <v>2106</v>
      </c>
      <c r="K692" t="s">
        <v>1442</v>
      </c>
      <c r="L692" t="s">
        <v>220</v>
      </c>
      <c r="BB692" t="s">
        <v>247</v>
      </c>
    </row>
    <row r="693" spans="1:54" hidden="1" x14ac:dyDescent="0.25">
      <c r="A693" t="s">
        <v>69</v>
      </c>
      <c r="B693" t="s">
        <v>197</v>
      </c>
      <c r="C693">
        <v>22</v>
      </c>
      <c r="D693" t="s">
        <v>198</v>
      </c>
      <c r="E693" t="s">
        <v>2073</v>
      </c>
      <c r="F693" t="s">
        <v>2074</v>
      </c>
      <c r="G693" t="s">
        <v>2085</v>
      </c>
      <c r="H693" t="s">
        <v>2086</v>
      </c>
      <c r="I693" t="s">
        <v>2087</v>
      </c>
      <c r="J693" t="s">
        <v>2088</v>
      </c>
      <c r="K693" t="s">
        <v>1447</v>
      </c>
      <c r="L693" t="s">
        <v>197</v>
      </c>
      <c r="BB693" t="s">
        <v>213</v>
      </c>
    </row>
    <row r="694" spans="1:54" hidden="1" x14ac:dyDescent="0.25">
      <c r="A694" t="s">
        <v>88</v>
      </c>
      <c r="B694" t="s">
        <v>197</v>
      </c>
      <c r="C694">
        <v>205</v>
      </c>
      <c r="D694" t="s">
        <v>198</v>
      </c>
      <c r="E694" t="s">
        <v>2073</v>
      </c>
      <c r="F694" t="s">
        <v>2074</v>
      </c>
      <c r="G694" t="s">
        <v>2085</v>
      </c>
      <c r="H694" t="s">
        <v>2086</v>
      </c>
      <c r="I694" t="s">
        <v>2087</v>
      </c>
      <c r="J694" t="s">
        <v>2088</v>
      </c>
      <c r="K694" t="s">
        <v>1447</v>
      </c>
      <c r="L694" t="s">
        <v>197</v>
      </c>
      <c r="BB694" t="s">
        <v>196</v>
      </c>
    </row>
    <row r="695" spans="1:54" hidden="1" x14ac:dyDescent="0.25">
      <c r="A695" t="s">
        <v>7</v>
      </c>
      <c r="B695" t="s">
        <v>197</v>
      </c>
      <c r="C695">
        <v>26</v>
      </c>
      <c r="D695" t="s">
        <v>198</v>
      </c>
      <c r="E695" t="s">
        <v>2073</v>
      </c>
      <c r="F695" t="s">
        <v>2074</v>
      </c>
      <c r="G695" t="s">
        <v>2085</v>
      </c>
      <c r="H695" t="s">
        <v>2086</v>
      </c>
      <c r="I695" t="s">
        <v>2087</v>
      </c>
      <c r="J695" t="s">
        <v>2088</v>
      </c>
      <c r="K695" t="s">
        <v>1447</v>
      </c>
      <c r="L695" t="s">
        <v>197</v>
      </c>
      <c r="BB695" t="s">
        <v>207</v>
      </c>
    </row>
    <row r="696" spans="1:54" hidden="1" x14ac:dyDescent="0.25">
      <c r="A696" t="s">
        <v>11</v>
      </c>
      <c r="B696" t="s">
        <v>197</v>
      </c>
      <c r="C696">
        <v>31</v>
      </c>
      <c r="D696" t="s">
        <v>198</v>
      </c>
      <c r="E696" t="s">
        <v>2073</v>
      </c>
      <c r="F696" t="s">
        <v>2074</v>
      </c>
      <c r="G696" t="s">
        <v>2085</v>
      </c>
      <c r="H696" t="s">
        <v>2086</v>
      </c>
      <c r="I696" t="s">
        <v>2087</v>
      </c>
      <c r="J696" t="s">
        <v>2088</v>
      </c>
      <c r="K696" t="s">
        <v>1447</v>
      </c>
      <c r="L696" t="s">
        <v>197</v>
      </c>
      <c r="BB696" t="s">
        <v>199</v>
      </c>
    </row>
    <row r="697" spans="1:54" hidden="1" x14ac:dyDescent="0.25">
      <c r="A697" t="s">
        <v>27</v>
      </c>
      <c r="B697" t="s">
        <v>197</v>
      </c>
      <c r="C697">
        <v>173</v>
      </c>
      <c r="D697" t="s">
        <v>198</v>
      </c>
      <c r="E697" t="s">
        <v>2073</v>
      </c>
      <c r="F697" t="s">
        <v>2074</v>
      </c>
      <c r="G697" t="s">
        <v>2085</v>
      </c>
      <c r="H697" t="s">
        <v>2086</v>
      </c>
      <c r="I697" t="s">
        <v>2087</v>
      </c>
      <c r="J697" t="s">
        <v>2088</v>
      </c>
      <c r="K697" t="s">
        <v>1447</v>
      </c>
      <c r="L697" t="s">
        <v>197</v>
      </c>
      <c r="BB697" t="s">
        <v>190</v>
      </c>
    </row>
    <row r="698" spans="1:54" hidden="1" x14ac:dyDescent="0.25">
      <c r="A698" t="s">
        <v>78</v>
      </c>
      <c r="B698" t="s">
        <v>197</v>
      </c>
      <c r="C698">
        <v>561</v>
      </c>
      <c r="D698" t="s">
        <v>198</v>
      </c>
      <c r="E698" t="s">
        <v>2073</v>
      </c>
      <c r="F698" t="s">
        <v>2074</v>
      </c>
      <c r="G698" t="s">
        <v>2085</v>
      </c>
      <c r="H698" t="s">
        <v>2086</v>
      </c>
      <c r="I698" t="s">
        <v>2087</v>
      </c>
      <c r="J698" t="s">
        <v>2088</v>
      </c>
      <c r="K698" t="s">
        <v>1447</v>
      </c>
      <c r="L698" t="s">
        <v>197</v>
      </c>
      <c r="BB698" t="s">
        <v>228</v>
      </c>
    </row>
    <row r="699" spans="1:54" hidden="1" x14ac:dyDescent="0.25">
      <c r="A699" t="s">
        <v>86</v>
      </c>
      <c r="B699" t="s">
        <v>197</v>
      </c>
      <c r="C699">
        <v>49</v>
      </c>
      <c r="D699" t="s">
        <v>198</v>
      </c>
      <c r="E699" t="s">
        <v>2073</v>
      </c>
      <c r="F699" t="s">
        <v>2074</v>
      </c>
      <c r="G699" t="s">
        <v>2085</v>
      </c>
      <c r="H699" t="s">
        <v>2086</v>
      </c>
      <c r="I699" t="s">
        <v>2087</v>
      </c>
      <c r="J699" t="s">
        <v>2088</v>
      </c>
      <c r="K699" t="s">
        <v>1447</v>
      </c>
      <c r="L699" t="s">
        <v>197</v>
      </c>
      <c r="BB699" t="s">
        <v>233</v>
      </c>
    </row>
    <row r="700" spans="1:54" hidden="1" x14ac:dyDescent="0.25">
      <c r="A700" t="s">
        <v>93</v>
      </c>
      <c r="B700" t="s">
        <v>197</v>
      </c>
      <c r="C700">
        <v>12</v>
      </c>
      <c r="D700" t="s">
        <v>198</v>
      </c>
      <c r="E700" t="s">
        <v>2073</v>
      </c>
      <c r="F700" t="s">
        <v>2074</v>
      </c>
      <c r="G700" t="s">
        <v>2085</v>
      </c>
      <c r="H700" t="s">
        <v>2086</v>
      </c>
      <c r="I700" t="s">
        <v>2087</v>
      </c>
      <c r="J700" t="s">
        <v>2088</v>
      </c>
      <c r="K700" t="s">
        <v>1447</v>
      </c>
      <c r="L700" t="s">
        <v>197</v>
      </c>
      <c r="BB700" t="s">
        <v>202</v>
      </c>
    </row>
    <row r="701" spans="1:54" hidden="1" x14ac:dyDescent="0.25">
      <c r="A701" t="s">
        <v>10</v>
      </c>
      <c r="B701" t="s">
        <v>197</v>
      </c>
      <c r="C701">
        <v>24</v>
      </c>
      <c r="D701" t="s">
        <v>198</v>
      </c>
      <c r="E701" t="s">
        <v>2073</v>
      </c>
      <c r="F701" t="s">
        <v>2074</v>
      </c>
      <c r="G701" t="s">
        <v>2085</v>
      </c>
      <c r="H701" t="s">
        <v>2086</v>
      </c>
      <c r="I701" t="s">
        <v>2087</v>
      </c>
      <c r="J701" t="s">
        <v>2088</v>
      </c>
      <c r="K701" t="s">
        <v>1447</v>
      </c>
      <c r="L701" t="s">
        <v>197</v>
      </c>
      <c r="BB701" t="s">
        <v>210</v>
      </c>
    </row>
    <row r="702" spans="1:54" hidden="1" x14ac:dyDescent="0.25">
      <c r="A702" t="s">
        <v>25</v>
      </c>
      <c r="B702" t="s">
        <v>197</v>
      </c>
      <c r="C702">
        <v>4</v>
      </c>
      <c r="D702" t="s">
        <v>198</v>
      </c>
      <c r="E702" t="s">
        <v>2073</v>
      </c>
      <c r="F702" t="s">
        <v>2074</v>
      </c>
      <c r="G702" t="s">
        <v>2085</v>
      </c>
      <c r="H702" t="s">
        <v>2086</v>
      </c>
      <c r="I702" t="s">
        <v>2087</v>
      </c>
      <c r="J702" t="s">
        <v>2088</v>
      </c>
      <c r="K702" t="s">
        <v>1447</v>
      </c>
      <c r="L702" t="s">
        <v>197</v>
      </c>
      <c r="BB702" t="s">
        <v>205</v>
      </c>
    </row>
    <row r="703" spans="1:54" hidden="1" x14ac:dyDescent="0.25">
      <c r="A703" t="s">
        <v>35</v>
      </c>
      <c r="B703" t="s">
        <v>197</v>
      </c>
      <c r="C703">
        <v>137</v>
      </c>
      <c r="D703" t="s">
        <v>198</v>
      </c>
      <c r="E703" t="s">
        <v>2073</v>
      </c>
      <c r="F703" t="s">
        <v>2074</v>
      </c>
      <c r="G703" t="s">
        <v>2085</v>
      </c>
      <c r="H703" t="s">
        <v>2086</v>
      </c>
      <c r="I703" t="s">
        <v>2087</v>
      </c>
      <c r="J703" t="s">
        <v>2088</v>
      </c>
      <c r="K703" t="s">
        <v>1447</v>
      </c>
      <c r="L703" t="s">
        <v>197</v>
      </c>
      <c r="BB703" t="s">
        <v>190</v>
      </c>
    </row>
    <row r="704" spans="1:54" hidden="1" x14ac:dyDescent="0.25">
      <c r="A704" t="s">
        <v>77</v>
      </c>
      <c r="B704" t="s">
        <v>197</v>
      </c>
      <c r="C704">
        <v>14</v>
      </c>
      <c r="D704" t="s">
        <v>198</v>
      </c>
      <c r="E704" t="s">
        <v>2073</v>
      </c>
      <c r="F704" t="s">
        <v>2074</v>
      </c>
      <c r="G704" t="s">
        <v>2085</v>
      </c>
      <c r="H704" t="s">
        <v>2086</v>
      </c>
      <c r="I704" t="s">
        <v>2087</v>
      </c>
      <c r="J704" t="s">
        <v>2088</v>
      </c>
      <c r="K704" t="s">
        <v>1447</v>
      </c>
      <c r="L704" t="s">
        <v>197</v>
      </c>
      <c r="BB704" t="s">
        <v>199</v>
      </c>
    </row>
    <row r="705" spans="1:54" hidden="1" x14ac:dyDescent="0.25">
      <c r="A705" t="s">
        <v>49</v>
      </c>
      <c r="B705" t="s">
        <v>197</v>
      </c>
      <c r="C705">
        <v>189</v>
      </c>
      <c r="D705" t="s">
        <v>198</v>
      </c>
      <c r="E705" t="s">
        <v>2073</v>
      </c>
      <c r="F705" t="s">
        <v>2074</v>
      </c>
      <c r="G705" t="s">
        <v>2085</v>
      </c>
      <c r="H705" t="s">
        <v>2086</v>
      </c>
      <c r="I705" t="s">
        <v>2087</v>
      </c>
      <c r="J705" t="s">
        <v>2088</v>
      </c>
      <c r="K705" t="s">
        <v>1447</v>
      </c>
      <c r="L705" t="s">
        <v>197</v>
      </c>
      <c r="BB705" t="s">
        <v>202</v>
      </c>
    </row>
    <row r="706" spans="1:54" hidden="1" x14ac:dyDescent="0.25">
      <c r="A706" t="s">
        <v>13</v>
      </c>
      <c r="B706" t="s">
        <v>197</v>
      </c>
      <c r="C706">
        <v>8</v>
      </c>
      <c r="D706" t="s">
        <v>198</v>
      </c>
      <c r="E706" t="s">
        <v>2073</v>
      </c>
      <c r="F706" t="s">
        <v>2074</v>
      </c>
      <c r="G706" t="s">
        <v>2085</v>
      </c>
      <c r="H706" t="s">
        <v>2086</v>
      </c>
      <c r="I706" t="s">
        <v>2087</v>
      </c>
      <c r="J706" t="s">
        <v>2088</v>
      </c>
      <c r="K706" t="s">
        <v>1447</v>
      </c>
      <c r="L706" t="s">
        <v>197</v>
      </c>
      <c r="BB706" t="s">
        <v>196</v>
      </c>
    </row>
    <row r="707" spans="1:54" hidden="1" x14ac:dyDescent="0.25">
      <c r="A707" t="s">
        <v>54</v>
      </c>
      <c r="B707" t="s">
        <v>197</v>
      </c>
      <c r="C707">
        <v>759</v>
      </c>
      <c r="D707" t="s">
        <v>198</v>
      </c>
      <c r="E707" t="s">
        <v>2073</v>
      </c>
      <c r="F707" t="s">
        <v>2074</v>
      </c>
      <c r="G707" t="s">
        <v>2085</v>
      </c>
      <c r="H707" t="s">
        <v>2086</v>
      </c>
      <c r="I707" t="s">
        <v>2087</v>
      </c>
      <c r="J707" t="s">
        <v>2088</v>
      </c>
      <c r="K707" t="s">
        <v>1447</v>
      </c>
      <c r="L707" t="s">
        <v>197</v>
      </c>
      <c r="BB707" t="s">
        <v>216</v>
      </c>
    </row>
    <row r="708" spans="1:54" hidden="1" x14ac:dyDescent="0.25">
      <c r="A708" t="s">
        <v>55</v>
      </c>
      <c r="B708" t="s">
        <v>197</v>
      </c>
      <c r="C708">
        <v>42</v>
      </c>
      <c r="D708" t="s">
        <v>198</v>
      </c>
      <c r="E708" t="s">
        <v>2073</v>
      </c>
      <c r="F708" t="s">
        <v>2074</v>
      </c>
      <c r="G708" t="s">
        <v>2085</v>
      </c>
      <c r="H708" t="s">
        <v>2086</v>
      </c>
      <c r="I708" t="s">
        <v>2087</v>
      </c>
      <c r="J708" t="s">
        <v>2088</v>
      </c>
      <c r="K708" t="s">
        <v>1447</v>
      </c>
      <c r="L708" t="s">
        <v>197</v>
      </c>
      <c r="BB708" t="s">
        <v>207</v>
      </c>
    </row>
    <row r="709" spans="1:54" hidden="1" x14ac:dyDescent="0.25">
      <c r="A709" t="s">
        <v>47</v>
      </c>
      <c r="B709" t="s">
        <v>197</v>
      </c>
      <c r="C709">
        <v>22</v>
      </c>
      <c r="D709" t="s">
        <v>198</v>
      </c>
      <c r="E709" t="s">
        <v>2073</v>
      </c>
      <c r="F709" t="s">
        <v>2074</v>
      </c>
      <c r="G709" t="s">
        <v>2085</v>
      </c>
      <c r="H709" t="s">
        <v>2086</v>
      </c>
      <c r="I709" t="s">
        <v>2087</v>
      </c>
      <c r="J709" t="s">
        <v>2088</v>
      </c>
      <c r="K709" t="s">
        <v>1447</v>
      </c>
      <c r="L709" t="s">
        <v>197</v>
      </c>
      <c r="BB709" t="s">
        <v>225</v>
      </c>
    </row>
    <row r="710" spans="1:54" hidden="1" x14ac:dyDescent="0.25">
      <c r="A710" t="s">
        <v>14</v>
      </c>
      <c r="B710" t="s">
        <v>197</v>
      </c>
      <c r="C710">
        <v>10</v>
      </c>
      <c r="D710" t="s">
        <v>198</v>
      </c>
      <c r="E710" t="s">
        <v>2073</v>
      </c>
      <c r="F710" t="s">
        <v>2074</v>
      </c>
      <c r="G710" t="s">
        <v>2085</v>
      </c>
      <c r="H710" t="s">
        <v>2086</v>
      </c>
      <c r="I710" t="s">
        <v>2087</v>
      </c>
      <c r="J710" t="s">
        <v>2088</v>
      </c>
      <c r="K710" t="s">
        <v>1447</v>
      </c>
      <c r="L710" t="s">
        <v>197</v>
      </c>
      <c r="BB710" t="s">
        <v>187</v>
      </c>
    </row>
    <row r="711" spans="1:54" hidden="1" x14ac:dyDescent="0.25">
      <c r="A711" t="s">
        <v>67</v>
      </c>
      <c r="B711" t="s">
        <v>197</v>
      </c>
      <c r="C711">
        <v>18</v>
      </c>
      <c r="D711" t="s">
        <v>198</v>
      </c>
      <c r="E711" t="s">
        <v>2073</v>
      </c>
      <c r="F711" t="s">
        <v>2074</v>
      </c>
      <c r="G711" t="s">
        <v>2085</v>
      </c>
      <c r="H711" t="s">
        <v>2086</v>
      </c>
      <c r="I711" t="s">
        <v>2087</v>
      </c>
      <c r="J711" t="s">
        <v>2088</v>
      </c>
      <c r="K711" t="s">
        <v>1447</v>
      </c>
      <c r="L711" t="s">
        <v>197</v>
      </c>
      <c r="BB711" t="s">
        <v>210</v>
      </c>
    </row>
    <row r="712" spans="1:54" hidden="1" x14ac:dyDescent="0.25">
      <c r="A712" t="s">
        <v>24</v>
      </c>
      <c r="B712" t="s">
        <v>197</v>
      </c>
      <c r="C712">
        <v>13</v>
      </c>
      <c r="D712" t="s">
        <v>198</v>
      </c>
      <c r="E712" t="s">
        <v>2073</v>
      </c>
      <c r="F712" t="s">
        <v>2074</v>
      </c>
      <c r="G712" t="s">
        <v>2085</v>
      </c>
      <c r="H712" t="s">
        <v>2086</v>
      </c>
      <c r="I712" t="s">
        <v>2087</v>
      </c>
      <c r="J712" t="s">
        <v>2088</v>
      </c>
      <c r="K712" t="s">
        <v>1447</v>
      </c>
      <c r="L712" t="s">
        <v>197</v>
      </c>
      <c r="BB712" t="s">
        <v>247</v>
      </c>
    </row>
    <row r="713" spans="1:54" hidden="1" x14ac:dyDescent="0.25">
      <c r="A713" t="s">
        <v>62</v>
      </c>
      <c r="B713" t="s">
        <v>197</v>
      </c>
      <c r="C713">
        <v>636</v>
      </c>
      <c r="D713" t="s">
        <v>198</v>
      </c>
      <c r="E713" t="s">
        <v>2073</v>
      </c>
      <c r="F713" t="s">
        <v>2074</v>
      </c>
      <c r="G713" t="s">
        <v>2085</v>
      </c>
      <c r="H713" t="s">
        <v>2086</v>
      </c>
      <c r="I713" t="s">
        <v>2087</v>
      </c>
      <c r="J713" t="s">
        <v>2088</v>
      </c>
      <c r="K713" t="s">
        <v>1447</v>
      </c>
      <c r="L713" t="s">
        <v>197</v>
      </c>
      <c r="BB713" t="s">
        <v>193</v>
      </c>
    </row>
    <row r="714" spans="1:54" hidden="1" x14ac:dyDescent="0.25">
      <c r="A714" t="s">
        <v>57</v>
      </c>
      <c r="B714" t="s">
        <v>197</v>
      </c>
      <c r="C714">
        <v>30</v>
      </c>
      <c r="D714" t="s">
        <v>198</v>
      </c>
      <c r="E714" t="s">
        <v>2073</v>
      </c>
      <c r="F714" t="s">
        <v>2074</v>
      </c>
      <c r="G714" t="s">
        <v>2085</v>
      </c>
      <c r="H714" t="s">
        <v>2086</v>
      </c>
      <c r="I714" t="s">
        <v>2087</v>
      </c>
      <c r="J714" t="s">
        <v>2088</v>
      </c>
      <c r="K714" t="s">
        <v>1447</v>
      </c>
      <c r="L714" t="s">
        <v>197</v>
      </c>
      <c r="BB714" t="s">
        <v>228</v>
      </c>
    </row>
    <row r="715" spans="1:54" hidden="1" x14ac:dyDescent="0.25">
      <c r="A715" t="s">
        <v>68</v>
      </c>
      <c r="B715" t="s">
        <v>197</v>
      </c>
      <c r="C715">
        <v>93</v>
      </c>
      <c r="D715" t="s">
        <v>198</v>
      </c>
      <c r="E715" t="s">
        <v>2073</v>
      </c>
      <c r="F715" t="s">
        <v>2074</v>
      </c>
      <c r="G715" t="s">
        <v>2085</v>
      </c>
      <c r="H715" t="s">
        <v>2086</v>
      </c>
      <c r="I715" t="s">
        <v>2087</v>
      </c>
      <c r="J715" t="s">
        <v>2088</v>
      </c>
      <c r="K715" t="s">
        <v>1447</v>
      </c>
      <c r="L715" t="s">
        <v>197</v>
      </c>
      <c r="BB715" t="s">
        <v>187</v>
      </c>
    </row>
    <row r="716" spans="1:54" hidden="1" x14ac:dyDescent="0.25">
      <c r="A716" t="s">
        <v>12</v>
      </c>
      <c r="B716" t="s">
        <v>197</v>
      </c>
      <c r="C716">
        <v>307</v>
      </c>
      <c r="D716" t="s">
        <v>198</v>
      </c>
      <c r="E716" t="s">
        <v>2073</v>
      </c>
      <c r="F716" t="s">
        <v>2074</v>
      </c>
      <c r="G716" t="s">
        <v>2085</v>
      </c>
      <c r="H716" t="s">
        <v>2086</v>
      </c>
      <c r="I716" t="s">
        <v>2087</v>
      </c>
      <c r="J716" t="s">
        <v>2088</v>
      </c>
      <c r="K716" t="s">
        <v>1447</v>
      </c>
      <c r="L716" t="s">
        <v>197</v>
      </c>
      <c r="BB716" t="s">
        <v>193</v>
      </c>
    </row>
    <row r="717" spans="1:54" hidden="1" x14ac:dyDescent="0.25">
      <c r="A717" t="s">
        <v>92</v>
      </c>
      <c r="B717" t="s">
        <v>197</v>
      </c>
      <c r="C717">
        <v>226</v>
      </c>
      <c r="D717" t="s">
        <v>198</v>
      </c>
      <c r="E717" t="s">
        <v>2073</v>
      </c>
      <c r="F717" t="s">
        <v>2074</v>
      </c>
      <c r="G717" t="s">
        <v>2085</v>
      </c>
      <c r="H717" t="s">
        <v>2086</v>
      </c>
      <c r="I717" t="s">
        <v>2087</v>
      </c>
      <c r="J717" t="s">
        <v>2088</v>
      </c>
      <c r="K717" t="s">
        <v>1447</v>
      </c>
      <c r="L717" t="s">
        <v>197</v>
      </c>
      <c r="BB717" t="s">
        <v>205</v>
      </c>
    </row>
    <row r="718" spans="1:54" hidden="1" x14ac:dyDescent="0.25">
      <c r="A718" t="s">
        <v>53</v>
      </c>
      <c r="B718" t="s">
        <v>197</v>
      </c>
      <c r="C718">
        <v>5</v>
      </c>
      <c r="D718" t="s">
        <v>198</v>
      </c>
      <c r="E718" t="s">
        <v>2073</v>
      </c>
      <c r="F718" t="s">
        <v>2074</v>
      </c>
      <c r="G718" t="s">
        <v>2085</v>
      </c>
      <c r="H718" t="s">
        <v>2086</v>
      </c>
      <c r="I718" t="s">
        <v>2087</v>
      </c>
      <c r="J718" t="s">
        <v>2088</v>
      </c>
      <c r="K718" t="s">
        <v>1447</v>
      </c>
      <c r="L718" t="s">
        <v>197</v>
      </c>
      <c r="BB718" t="s">
        <v>216</v>
      </c>
    </row>
    <row r="719" spans="1:54" hidden="1" x14ac:dyDescent="0.25">
      <c r="A719" t="s">
        <v>8</v>
      </c>
      <c r="B719" t="s">
        <v>237</v>
      </c>
      <c r="C719">
        <v>277</v>
      </c>
      <c r="D719" t="s">
        <v>238</v>
      </c>
      <c r="E719" t="s">
        <v>2073</v>
      </c>
      <c r="F719" t="s">
        <v>2074</v>
      </c>
      <c r="G719" t="s">
        <v>2075</v>
      </c>
      <c r="H719" t="s">
        <v>2089</v>
      </c>
      <c r="I719" t="s">
        <v>2095</v>
      </c>
      <c r="J719" t="s">
        <v>2096</v>
      </c>
      <c r="K719" t="s">
        <v>1451</v>
      </c>
      <c r="L719" t="s">
        <v>237</v>
      </c>
      <c r="BB719" t="s">
        <v>236</v>
      </c>
    </row>
    <row r="720" spans="1:54" hidden="1" x14ac:dyDescent="0.25">
      <c r="A720" t="s">
        <v>27</v>
      </c>
      <c r="B720" t="s">
        <v>237</v>
      </c>
      <c r="C720">
        <v>136</v>
      </c>
      <c r="D720" t="s">
        <v>238</v>
      </c>
      <c r="E720" t="s">
        <v>2073</v>
      </c>
      <c r="F720" t="s">
        <v>2074</v>
      </c>
      <c r="G720" t="s">
        <v>2075</v>
      </c>
      <c r="H720" t="s">
        <v>2089</v>
      </c>
      <c r="I720" t="s">
        <v>2095</v>
      </c>
      <c r="J720" t="s">
        <v>2096</v>
      </c>
      <c r="K720" t="s">
        <v>1451</v>
      </c>
      <c r="L720" t="s">
        <v>237</v>
      </c>
      <c r="BB720" t="s">
        <v>210</v>
      </c>
    </row>
    <row r="721" spans="1:54" hidden="1" x14ac:dyDescent="0.25">
      <c r="A721" t="s">
        <v>40</v>
      </c>
      <c r="B721" t="s">
        <v>237</v>
      </c>
      <c r="C721">
        <v>58</v>
      </c>
      <c r="D721" t="s">
        <v>238</v>
      </c>
      <c r="E721" t="s">
        <v>2073</v>
      </c>
      <c r="F721" t="s">
        <v>2074</v>
      </c>
      <c r="G721" t="s">
        <v>2075</v>
      </c>
      <c r="H721" t="s">
        <v>2089</v>
      </c>
      <c r="I721" t="s">
        <v>2095</v>
      </c>
      <c r="J721" t="s">
        <v>2096</v>
      </c>
      <c r="K721" t="s">
        <v>1451</v>
      </c>
      <c r="L721" t="s">
        <v>237</v>
      </c>
      <c r="BB721" t="s">
        <v>193</v>
      </c>
    </row>
    <row r="722" spans="1:54" hidden="1" x14ac:dyDescent="0.25">
      <c r="A722" t="s">
        <v>29</v>
      </c>
      <c r="B722" t="s">
        <v>237</v>
      </c>
      <c r="C722">
        <v>35</v>
      </c>
      <c r="D722" t="s">
        <v>238</v>
      </c>
      <c r="E722" t="s">
        <v>2073</v>
      </c>
      <c r="F722" t="s">
        <v>2074</v>
      </c>
      <c r="G722" t="s">
        <v>2075</v>
      </c>
      <c r="H722" t="s">
        <v>2089</v>
      </c>
      <c r="I722" t="s">
        <v>2095</v>
      </c>
      <c r="J722" t="s">
        <v>2096</v>
      </c>
      <c r="K722" t="s">
        <v>1451</v>
      </c>
      <c r="L722" t="s">
        <v>237</v>
      </c>
      <c r="BB722" t="s">
        <v>190</v>
      </c>
    </row>
    <row r="723" spans="1:54" hidden="1" x14ac:dyDescent="0.25">
      <c r="A723" t="s">
        <v>65</v>
      </c>
      <c r="B723" t="s">
        <v>237</v>
      </c>
      <c r="C723">
        <v>29</v>
      </c>
      <c r="D723" t="s">
        <v>238</v>
      </c>
      <c r="E723" t="s">
        <v>2073</v>
      </c>
      <c r="F723" t="s">
        <v>2074</v>
      </c>
      <c r="G723" t="s">
        <v>2075</v>
      </c>
      <c r="H723" t="s">
        <v>2089</v>
      </c>
      <c r="I723" t="s">
        <v>2095</v>
      </c>
      <c r="J723" t="s">
        <v>2096</v>
      </c>
      <c r="K723" t="s">
        <v>1451</v>
      </c>
      <c r="L723" t="s">
        <v>237</v>
      </c>
      <c r="BB723" t="s">
        <v>207</v>
      </c>
    </row>
    <row r="724" spans="1:54" hidden="1" x14ac:dyDescent="0.25">
      <c r="A724" t="s">
        <v>15</v>
      </c>
      <c r="B724" t="s">
        <v>237</v>
      </c>
      <c r="C724">
        <v>41</v>
      </c>
      <c r="D724" t="s">
        <v>238</v>
      </c>
      <c r="E724" t="s">
        <v>2073</v>
      </c>
      <c r="F724" t="s">
        <v>2074</v>
      </c>
      <c r="G724" t="s">
        <v>2075</v>
      </c>
      <c r="H724" t="s">
        <v>2089</v>
      </c>
      <c r="I724" t="s">
        <v>2095</v>
      </c>
      <c r="J724" t="s">
        <v>2096</v>
      </c>
      <c r="K724" t="s">
        <v>1451</v>
      </c>
      <c r="L724" t="s">
        <v>237</v>
      </c>
      <c r="BB724" t="s">
        <v>187</v>
      </c>
    </row>
    <row r="725" spans="1:54" hidden="1" x14ac:dyDescent="0.25">
      <c r="A725" t="s">
        <v>13</v>
      </c>
      <c r="B725" t="s">
        <v>237</v>
      </c>
      <c r="C725">
        <v>11</v>
      </c>
      <c r="D725" t="s">
        <v>238</v>
      </c>
      <c r="E725" t="s">
        <v>2073</v>
      </c>
      <c r="F725" t="s">
        <v>2074</v>
      </c>
      <c r="G725" t="s">
        <v>2075</v>
      </c>
      <c r="H725" t="s">
        <v>2089</v>
      </c>
      <c r="I725" t="s">
        <v>2095</v>
      </c>
      <c r="J725" t="s">
        <v>2096</v>
      </c>
      <c r="K725" t="s">
        <v>1451</v>
      </c>
      <c r="L725" t="s">
        <v>237</v>
      </c>
      <c r="BB725" t="s">
        <v>202</v>
      </c>
    </row>
    <row r="726" spans="1:54" hidden="1" x14ac:dyDescent="0.25">
      <c r="A726" t="s">
        <v>55</v>
      </c>
      <c r="B726" t="s">
        <v>237</v>
      </c>
      <c r="C726">
        <v>26</v>
      </c>
      <c r="D726" t="s">
        <v>238</v>
      </c>
      <c r="E726" t="s">
        <v>2073</v>
      </c>
      <c r="F726" t="s">
        <v>2074</v>
      </c>
      <c r="G726" t="s">
        <v>2075</v>
      </c>
      <c r="H726" t="s">
        <v>2089</v>
      </c>
      <c r="I726" t="s">
        <v>2095</v>
      </c>
      <c r="J726" t="s">
        <v>2096</v>
      </c>
      <c r="K726" t="s">
        <v>1451</v>
      </c>
      <c r="L726" t="s">
        <v>237</v>
      </c>
      <c r="BB726" t="s">
        <v>196</v>
      </c>
    </row>
    <row r="727" spans="1:54" hidden="1" x14ac:dyDescent="0.25">
      <c r="A727" t="s">
        <v>53</v>
      </c>
      <c r="B727" t="s">
        <v>237</v>
      </c>
      <c r="C727">
        <v>58</v>
      </c>
      <c r="D727" t="s">
        <v>238</v>
      </c>
      <c r="E727" t="s">
        <v>2073</v>
      </c>
      <c r="F727" t="s">
        <v>2074</v>
      </c>
      <c r="G727" t="s">
        <v>2075</v>
      </c>
      <c r="H727" t="s">
        <v>2089</v>
      </c>
      <c r="I727" t="s">
        <v>2095</v>
      </c>
      <c r="J727" t="s">
        <v>2096</v>
      </c>
      <c r="K727" t="s">
        <v>1451</v>
      </c>
      <c r="L727" t="s">
        <v>237</v>
      </c>
      <c r="BB727" t="s">
        <v>210</v>
      </c>
    </row>
    <row r="728" spans="1:54" hidden="1" x14ac:dyDescent="0.25">
      <c r="A728" t="s">
        <v>51</v>
      </c>
      <c r="B728" t="s">
        <v>211</v>
      </c>
      <c r="C728">
        <v>1061</v>
      </c>
      <c r="D728" t="s">
        <v>212</v>
      </c>
      <c r="E728" t="s">
        <v>2073</v>
      </c>
      <c r="F728" t="s">
        <v>2074</v>
      </c>
      <c r="G728" t="s">
        <v>2085</v>
      </c>
      <c r="H728" t="s">
        <v>2086</v>
      </c>
      <c r="I728" t="s">
        <v>2087</v>
      </c>
      <c r="J728" t="s">
        <v>2088</v>
      </c>
      <c r="K728" t="s">
        <v>1456</v>
      </c>
      <c r="L728" t="s">
        <v>211</v>
      </c>
      <c r="BB728" t="s">
        <v>239</v>
      </c>
    </row>
    <row r="729" spans="1:54" hidden="1" x14ac:dyDescent="0.25">
      <c r="A729" t="s">
        <v>86</v>
      </c>
      <c r="B729" t="s">
        <v>211</v>
      </c>
      <c r="C729">
        <v>10</v>
      </c>
      <c r="D729" t="s">
        <v>212</v>
      </c>
      <c r="E729" t="s">
        <v>2073</v>
      </c>
      <c r="F729" t="s">
        <v>2074</v>
      </c>
      <c r="G729" t="s">
        <v>2085</v>
      </c>
      <c r="H729" t="s">
        <v>2086</v>
      </c>
      <c r="I729" t="s">
        <v>2087</v>
      </c>
      <c r="J729" t="s">
        <v>2088</v>
      </c>
      <c r="K729" t="s">
        <v>1456</v>
      </c>
      <c r="L729" t="s">
        <v>211</v>
      </c>
      <c r="BB729" t="s">
        <v>219</v>
      </c>
    </row>
    <row r="730" spans="1:54" hidden="1" x14ac:dyDescent="0.25">
      <c r="A730" t="s">
        <v>6</v>
      </c>
      <c r="B730" t="s">
        <v>211</v>
      </c>
      <c r="C730">
        <v>71</v>
      </c>
      <c r="D730" t="s">
        <v>212</v>
      </c>
      <c r="E730" t="s">
        <v>2073</v>
      </c>
      <c r="F730" t="s">
        <v>2074</v>
      </c>
      <c r="G730" t="s">
        <v>2085</v>
      </c>
      <c r="H730" t="s">
        <v>2086</v>
      </c>
      <c r="I730" t="s">
        <v>2087</v>
      </c>
      <c r="J730" t="s">
        <v>2088</v>
      </c>
      <c r="K730" t="s">
        <v>1456</v>
      </c>
      <c r="L730" t="s">
        <v>211</v>
      </c>
      <c r="BB730" t="s">
        <v>205</v>
      </c>
    </row>
    <row r="731" spans="1:54" hidden="1" x14ac:dyDescent="0.25">
      <c r="A731" t="s">
        <v>38</v>
      </c>
      <c r="B731" t="s">
        <v>211</v>
      </c>
      <c r="C731">
        <v>2</v>
      </c>
      <c r="D731" t="s">
        <v>212</v>
      </c>
      <c r="E731" t="s">
        <v>2073</v>
      </c>
      <c r="F731" t="s">
        <v>2074</v>
      </c>
      <c r="G731" t="s">
        <v>2085</v>
      </c>
      <c r="H731" t="s">
        <v>2086</v>
      </c>
      <c r="I731" t="s">
        <v>2087</v>
      </c>
      <c r="J731" t="s">
        <v>2088</v>
      </c>
      <c r="K731" t="s">
        <v>1456</v>
      </c>
      <c r="L731" t="s">
        <v>211</v>
      </c>
      <c r="BB731" t="s">
        <v>228</v>
      </c>
    </row>
    <row r="732" spans="1:54" hidden="1" x14ac:dyDescent="0.25">
      <c r="A732" t="s">
        <v>56</v>
      </c>
      <c r="B732" t="s">
        <v>232</v>
      </c>
      <c r="C732">
        <v>20</v>
      </c>
      <c r="D732" t="s">
        <v>204</v>
      </c>
      <c r="E732" t="s">
        <v>2073</v>
      </c>
      <c r="F732" t="s">
        <v>2074</v>
      </c>
      <c r="G732" t="s">
        <v>2079</v>
      </c>
      <c r="H732" t="s">
        <v>2092</v>
      </c>
      <c r="I732" t="s">
        <v>2093</v>
      </c>
      <c r="J732" t="s">
        <v>2094</v>
      </c>
      <c r="K732" t="s">
        <v>1432</v>
      </c>
      <c r="L732" t="s">
        <v>232</v>
      </c>
      <c r="BB732" t="s">
        <v>222</v>
      </c>
    </row>
    <row r="733" spans="1:54" hidden="1" x14ac:dyDescent="0.25">
      <c r="A733" t="s">
        <v>70</v>
      </c>
      <c r="B733" t="s">
        <v>232</v>
      </c>
      <c r="C733">
        <v>26</v>
      </c>
      <c r="D733" t="s">
        <v>204</v>
      </c>
      <c r="E733" t="s">
        <v>2073</v>
      </c>
      <c r="F733" t="s">
        <v>2074</v>
      </c>
      <c r="G733" t="s">
        <v>2079</v>
      </c>
      <c r="H733" t="s">
        <v>2092</v>
      </c>
      <c r="I733" t="s">
        <v>2093</v>
      </c>
      <c r="J733" t="s">
        <v>2094</v>
      </c>
      <c r="K733" t="s">
        <v>1432</v>
      </c>
      <c r="L733" t="s">
        <v>232</v>
      </c>
      <c r="BB733" t="s">
        <v>216</v>
      </c>
    </row>
    <row r="734" spans="1:54" hidden="1" x14ac:dyDescent="0.25">
      <c r="A734" t="s">
        <v>75</v>
      </c>
      <c r="B734" t="s">
        <v>232</v>
      </c>
      <c r="C734">
        <v>21</v>
      </c>
      <c r="D734" t="s">
        <v>204</v>
      </c>
      <c r="E734" t="s">
        <v>2073</v>
      </c>
      <c r="F734" t="s">
        <v>2074</v>
      </c>
      <c r="G734" t="s">
        <v>2079</v>
      </c>
      <c r="H734" t="s">
        <v>2092</v>
      </c>
      <c r="I734" t="s">
        <v>2093</v>
      </c>
      <c r="J734" t="s">
        <v>2094</v>
      </c>
      <c r="K734" t="s">
        <v>1432</v>
      </c>
      <c r="L734" t="s">
        <v>232</v>
      </c>
      <c r="BB734" t="s">
        <v>225</v>
      </c>
    </row>
    <row r="735" spans="1:54" hidden="1" x14ac:dyDescent="0.25">
      <c r="A735" t="s">
        <v>34</v>
      </c>
      <c r="B735" t="s">
        <v>232</v>
      </c>
      <c r="C735">
        <v>11</v>
      </c>
      <c r="D735" t="s">
        <v>204</v>
      </c>
      <c r="E735" t="s">
        <v>2073</v>
      </c>
      <c r="F735" t="s">
        <v>2074</v>
      </c>
      <c r="G735" t="s">
        <v>2079</v>
      </c>
      <c r="H735" t="s">
        <v>2092</v>
      </c>
      <c r="I735" t="s">
        <v>2093</v>
      </c>
      <c r="J735" t="s">
        <v>2094</v>
      </c>
      <c r="K735" t="s">
        <v>1432</v>
      </c>
      <c r="L735" t="s">
        <v>232</v>
      </c>
      <c r="BB735" t="s">
        <v>199</v>
      </c>
    </row>
    <row r="736" spans="1:54" hidden="1" x14ac:dyDescent="0.25">
      <c r="A736" t="s">
        <v>66</v>
      </c>
      <c r="B736" t="s">
        <v>232</v>
      </c>
      <c r="C736">
        <v>7</v>
      </c>
      <c r="D736" t="s">
        <v>204</v>
      </c>
      <c r="E736" t="s">
        <v>2073</v>
      </c>
      <c r="F736" t="s">
        <v>2074</v>
      </c>
      <c r="G736" t="s">
        <v>2079</v>
      </c>
      <c r="H736" t="s">
        <v>2092</v>
      </c>
      <c r="I736" t="s">
        <v>2093</v>
      </c>
      <c r="J736" t="s">
        <v>2094</v>
      </c>
      <c r="K736" t="s">
        <v>1432</v>
      </c>
      <c r="L736" t="s">
        <v>232</v>
      </c>
      <c r="BB736" t="s">
        <v>193</v>
      </c>
    </row>
    <row r="737" spans="1:54" hidden="1" x14ac:dyDescent="0.25">
      <c r="A737" t="s">
        <v>30</v>
      </c>
      <c r="B737" t="s">
        <v>232</v>
      </c>
      <c r="C737">
        <v>25</v>
      </c>
      <c r="D737" t="s">
        <v>204</v>
      </c>
      <c r="E737" t="s">
        <v>2073</v>
      </c>
      <c r="F737" t="s">
        <v>2074</v>
      </c>
      <c r="G737" t="s">
        <v>2079</v>
      </c>
      <c r="H737" t="s">
        <v>2092</v>
      </c>
      <c r="I737" t="s">
        <v>2093</v>
      </c>
      <c r="J737" t="s">
        <v>2094</v>
      </c>
      <c r="K737" t="s">
        <v>1432</v>
      </c>
      <c r="L737" t="s">
        <v>232</v>
      </c>
      <c r="BB737" t="s">
        <v>190</v>
      </c>
    </row>
    <row r="738" spans="1:54" hidden="1" x14ac:dyDescent="0.25">
      <c r="A738" t="s">
        <v>25</v>
      </c>
      <c r="B738" t="s">
        <v>232</v>
      </c>
      <c r="C738">
        <v>122</v>
      </c>
      <c r="D738" t="s">
        <v>204</v>
      </c>
      <c r="E738" t="s">
        <v>2073</v>
      </c>
      <c r="F738" t="s">
        <v>2074</v>
      </c>
      <c r="G738" t="s">
        <v>2079</v>
      </c>
      <c r="H738" t="s">
        <v>2092</v>
      </c>
      <c r="I738" t="s">
        <v>2093</v>
      </c>
      <c r="J738" t="s">
        <v>2094</v>
      </c>
      <c r="K738" t="s">
        <v>1432</v>
      </c>
      <c r="L738" t="s">
        <v>232</v>
      </c>
      <c r="BB738" t="s">
        <v>187</v>
      </c>
    </row>
    <row r="739" spans="1:54" hidden="1" x14ac:dyDescent="0.25">
      <c r="A739" t="s">
        <v>29</v>
      </c>
      <c r="B739" t="s">
        <v>232</v>
      </c>
      <c r="C739">
        <v>37</v>
      </c>
      <c r="D739" t="s">
        <v>204</v>
      </c>
      <c r="E739" t="s">
        <v>2073</v>
      </c>
      <c r="F739" t="s">
        <v>2074</v>
      </c>
      <c r="G739" t="s">
        <v>2079</v>
      </c>
      <c r="H739" t="s">
        <v>2092</v>
      </c>
      <c r="I739" t="s">
        <v>2093</v>
      </c>
      <c r="J739" t="s">
        <v>2094</v>
      </c>
      <c r="K739" t="s">
        <v>1432</v>
      </c>
      <c r="L739" t="s">
        <v>232</v>
      </c>
      <c r="BB739" t="s">
        <v>207</v>
      </c>
    </row>
    <row r="740" spans="1:54" hidden="1" x14ac:dyDescent="0.25">
      <c r="A740" t="s">
        <v>35</v>
      </c>
      <c r="B740" t="s">
        <v>232</v>
      </c>
      <c r="C740">
        <v>50</v>
      </c>
      <c r="D740" t="s">
        <v>204</v>
      </c>
      <c r="E740" t="s">
        <v>2073</v>
      </c>
      <c r="F740" t="s">
        <v>2074</v>
      </c>
      <c r="G740" t="s">
        <v>2079</v>
      </c>
      <c r="H740" t="s">
        <v>2092</v>
      </c>
      <c r="I740" t="s">
        <v>2093</v>
      </c>
      <c r="J740" t="s">
        <v>2094</v>
      </c>
      <c r="K740" t="s">
        <v>1432</v>
      </c>
      <c r="L740" t="s">
        <v>232</v>
      </c>
      <c r="BB740" t="s">
        <v>202</v>
      </c>
    </row>
    <row r="741" spans="1:54" hidden="1" x14ac:dyDescent="0.25">
      <c r="A741" t="s">
        <v>68</v>
      </c>
      <c r="B741" t="s">
        <v>232</v>
      </c>
      <c r="C741">
        <v>165</v>
      </c>
      <c r="D741" t="s">
        <v>204</v>
      </c>
      <c r="E741" t="s">
        <v>2073</v>
      </c>
      <c r="F741" t="s">
        <v>2074</v>
      </c>
      <c r="G741" t="s">
        <v>2079</v>
      </c>
      <c r="H741" t="s">
        <v>2092</v>
      </c>
      <c r="I741" t="s">
        <v>2093</v>
      </c>
      <c r="J741" t="s">
        <v>2094</v>
      </c>
      <c r="K741" t="s">
        <v>1432</v>
      </c>
      <c r="L741" t="s">
        <v>232</v>
      </c>
      <c r="BB741" t="s">
        <v>196</v>
      </c>
    </row>
    <row r="742" spans="1:54" hidden="1" x14ac:dyDescent="0.25">
      <c r="A742" t="s">
        <v>6</v>
      </c>
      <c r="B742" t="s">
        <v>232</v>
      </c>
      <c r="C742">
        <v>208</v>
      </c>
      <c r="D742" t="s">
        <v>204</v>
      </c>
      <c r="E742" t="s">
        <v>2073</v>
      </c>
      <c r="F742" t="s">
        <v>2074</v>
      </c>
      <c r="G742" t="s">
        <v>2079</v>
      </c>
      <c r="H742" t="s">
        <v>2092</v>
      </c>
      <c r="I742" t="s">
        <v>2093</v>
      </c>
      <c r="J742" t="s">
        <v>2094</v>
      </c>
      <c r="K742" t="s">
        <v>1432</v>
      </c>
      <c r="L742" t="s">
        <v>232</v>
      </c>
      <c r="BB742" t="s">
        <v>219</v>
      </c>
    </row>
    <row r="743" spans="1:54" hidden="1" x14ac:dyDescent="0.25">
      <c r="A743" t="s">
        <v>12</v>
      </c>
      <c r="B743" t="s">
        <v>232</v>
      </c>
      <c r="C743">
        <v>93</v>
      </c>
      <c r="D743" t="s">
        <v>204</v>
      </c>
      <c r="E743" t="s">
        <v>2073</v>
      </c>
      <c r="F743" t="s">
        <v>2074</v>
      </c>
      <c r="G743" t="s">
        <v>2079</v>
      </c>
      <c r="H743" t="s">
        <v>2092</v>
      </c>
      <c r="I743" t="s">
        <v>2093</v>
      </c>
      <c r="J743" t="s">
        <v>2094</v>
      </c>
      <c r="K743" t="s">
        <v>1432</v>
      </c>
      <c r="L743" t="s">
        <v>232</v>
      </c>
      <c r="BB743" t="s">
        <v>222</v>
      </c>
    </row>
    <row r="744" spans="1:54" hidden="1" x14ac:dyDescent="0.25">
      <c r="A744" t="s">
        <v>16</v>
      </c>
      <c r="B744" t="s">
        <v>232</v>
      </c>
      <c r="C744">
        <v>88</v>
      </c>
      <c r="D744" t="s">
        <v>204</v>
      </c>
      <c r="E744" t="s">
        <v>2073</v>
      </c>
      <c r="F744" t="s">
        <v>2074</v>
      </c>
      <c r="G744" t="s">
        <v>2079</v>
      </c>
      <c r="H744" t="s">
        <v>2092</v>
      </c>
      <c r="I744" t="s">
        <v>2093</v>
      </c>
      <c r="J744" t="s">
        <v>2094</v>
      </c>
      <c r="K744" t="s">
        <v>1432</v>
      </c>
      <c r="L744" t="s">
        <v>232</v>
      </c>
      <c r="BB744" t="s">
        <v>210</v>
      </c>
    </row>
    <row r="745" spans="1:54" hidden="1" x14ac:dyDescent="0.25">
      <c r="A745" t="s">
        <v>82</v>
      </c>
      <c r="B745" t="s">
        <v>232</v>
      </c>
      <c r="C745">
        <v>25</v>
      </c>
      <c r="D745" t="s">
        <v>204</v>
      </c>
      <c r="E745" t="s">
        <v>2073</v>
      </c>
      <c r="F745" t="s">
        <v>2074</v>
      </c>
      <c r="G745" t="s">
        <v>2079</v>
      </c>
      <c r="H745" t="s">
        <v>2092</v>
      </c>
      <c r="I745" t="s">
        <v>2093</v>
      </c>
      <c r="J745" t="s">
        <v>2094</v>
      </c>
      <c r="K745" t="s">
        <v>1432</v>
      </c>
      <c r="L745" t="s">
        <v>232</v>
      </c>
      <c r="BB745" t="s">
        <v>228</v>
      </c>
    </row>
    <row r="746" spans="1:54" x14ac:dyDescent="0.25">
      <c r="A746" t="s">
        <v>84</v>
      </c>
      <c r="B746" t="s">
        <v>217</v>
      </c>
      <c r="C746">
        <v>86</v>
      </c>
      <c r="D746" t="s">
        <v>218</v>
      </c>
      <c r="E746" t="s">
        <v>2073</v>
      </c>
      <c r="F746" t="s">
        <v>2098</v>
      </c>
      <c r="G746" t="s">
        <v>2099</v>
      </c>
      <c r="H746" t="s">
        <v>2100</v>
      </c>
      <c r="I746" t="s">
        <v>2101</v>
      </c>
      <c r="J746" t="s">
        <v>2102</v>
      </c>
      <c r="K746" t="s">
        <v>1436</v>
      </c>
      <c r="L746" t="s">
        <v>217</v>
      </c>
      <c r="BB746" t="s">
        <v>205</v>
      </c>
    </row>
    <row r="747" spans="1:54" x14ac:dyDescent="0.25">
      <c r="A747" t="s">
        <v>58</v>
      </c>
      <c r="B747" t="s">
        <v>217</v>
      </c>
      <c r="C747">
        <v>11</v>
      </c>
      <c r="D747" t="s">
        <v>218</v>
      </c>
      <c r="E747" t="s">
        <v>2073</v>
      </c>
      <c r="F747" t="s">
        <v>2098</v>
      </c>
      <c r="G747" t="s">
        <v>2099</v>
      </c>
      <c r="H747" t="s">
        <v>2100</v>
      </c>
      <c r="I747" t="s">
        <v>2101</v>
      </c>
      <c r="J747" t="s">
        <v>2102</v>
      </c>
      <c r="K747" t="s">
        <v>1436</v>
      </c>
      <c r="L747" t="s">
        <v>217</v>
      </c>
      <c r="BB747" t="s">
        <v>225</v>
      </c>
    </row>
    <row r="748" spans="1:54" x14ac:dyDescent="0.25">
      <c r="A748" t="s">
        <v>79</v>
      </c>
      <c r="B748" t="s">
        <v>217</v>
      </c>
      <c r="C748">
        <v>39</v>
      </c>
      <c r="D748" t="s">
        <v>218</v>
      </c>
      <c r="E748" t="s">
        <v>2073</v>
      </c>
      <c r="F748" t="s">
        <v>2098</v>
      </c>
      <c r="G748" t="s">
        <v>2099</v>
      </c>
      <c r="H748" t="s">
        <v>2100</v>
      </c>
      <c r="I748" t="s">
        <v>2101</v>
      </c>
      <c r="J748" t="s">
        <v>2102</v>
      </c>
      <c r="K748" t="s">
        <v>1436</v>
      </c>
      <c r="L748" t="s">
        <v>217</v>
      </c>
      <c r="BB748" t="s">
        <v>193</v>
      </c>
    </row>
    <row r="749" spans="1:54" x14ac:dyDescent="0.25">
      <c r="A749" t="s">
        <v>19</v>
      </c>
      <c r="B749" t="s">
        <v>217</v>
      </c>
      <c r="C749">
        <v>22</v>
      </c>
      <c r="D749" t="s">
        <v>218</v>
      </c>
      <c r="E749" t="s">
        <v>2073</v>
      </c>
      <c r="F749" t="s">
        <v>2098</v>
      </c>
      <c r="G749" t="s">
        <v>2099</v>
      </c>
      <c r="H749" t="s">
        <v>2100</v>
      </c>
      <c r="I749" t="s">
        <v>2101</v>
      </c>
      <c r="J749" t="s">
        <v>2102</v>
      </c>
      <c r="K749" t="s">
        <v>1436</v>
      </c>
      <c r="L749" t="s">
        <v>217</v>
      </c>
      <c r="BB749" t="s">
        <v>187</v>
      </c>
    </row>
    <row r="750" spans="1:54" x14ac:dyDescent="0.25">
      <c r="A750" t="s">
        <v>70</v>
      </c>
      <c r="B750" t="s">
        <v>217</v>
      </c>
      <c r="C750">
        <v>7</v>
      </c>
      <c r="D750" t="s">
        <v>218</v>
      </c>
      <c r="E750" t="s">
        <v>2073</v>
      </c>
      <c r="F750" t="s">
        <v>2098</v>
      </c>
      <c r="G750" t="s">
        <v>2099</v>
      </c>
      <c r="H750" t="s">
        <v>2100</v>
      </c>
      <c r="I750" t="s">
        <v>2101</v>
      </c>
      <c r="J750" t="s">
        <v>2102</v>
      </c>
      <c r="K750" t="s">
        <v>1436</v>
      </c>
      <c r="L750" t="s">
        <v>217</v>
      </c>
      <c r="BB750" t="s">
        <v>190</v>
      </c>
    </row>
    <row r="751" spans="1:54" x14ac:dyDescent="0.25">
      <c r="A751" t="s">
        <v>83</v>
      </c>
      <c r="B751" t="s">
        <v>217</v>
      </c>
      <c r="C751">
        <v>17</v>
      </c>
      <c r="D751" t="s">
        <v>218</v>
      </c>
      <c r="E751" t="s">
        <v>2073</v>
      </c>
      <c r="F751" t="s">
        <v>2098</v>
      </c>
      <c r="G751" t="s">
        <v>2099</v>
      </c>
      <c r="H751" t="s">
        <v>2100</v>
      </c>
      <c r="I751" t="s">
        <v>2101</v>
      </c>
      <c r="J751" t="s">
        <v>2102</v>
      </c>
      <c r="K751" t="s">
        <v>1436</v>
      </c>
      <c r="L751" t="s">
        <v>217</v>
      </c>
      <c r="BB751" t="s">
        <v>207</v>
      </c>
    </row>
    <row r="752" spans="1:54" x14ac:dyDescent="0.25">
      <c r="A752" t="s">
        <v>28</v>
      </c>
      <c r="B752" t="s">
        <v>217</v>
      </c>
      <c r="C752">
        <v>7</v>
      </c>
      <c r="D752" t="s">
        <v>218</v>
      </c>
      <c r="E752" t="s">
        <v>2073</v>
      </c>
      <c r="F752" t="s">
        <v>2098</v>
      </c>
      <c r="G752" t="s">
        <v>2099</v>
      </c>
      <c r="H752" t="s">
        <v>2100</v>
      </c>
      <c r="I752" t="s">
        <v>2101</v>
      </c>
      <c r="J752" t="s">
        <v>2102</v>
      </c>
      <c r="K752" t="s">
        <v>1436</v>
      </c>
      <c r="L752" t="s">
        <v>217</v>
      </c>
      <c r="BB752" t="s">
        <v>202</v>
      </c>
    </row>
    <row r="753" spans="1:54" x14ac:dyDescent="0.25">
      <c r="A753" t="s">
        <v>39</v>
      </c>
      <c r="B753" t="s">
        <v>217</v>
      </c>
      <c r="C753">
        <v>11</v>
      </c>
      <c r="D753" t="s">
        <v>218</v>
      </c>
      <c r="E753" t="s">
        <v>2073</v>
      </c>
      <c r="F753" t="s">
        <v>2098</v>
      </c>
      <c r="G753" t="s">
        <v>2099</v>
      </c>
      <c r="H753" t="s">
        <v>2100</v>
      </c>
      <c r="I753" t="s">
        <v>2101</v>
      </c>
      <c r="J753" t="s">
        <v>2102</v>
      </c>
      <c r="K753" t="s">
        <v>1436</v>
      </c>
      <c r="L753" t="s">
        <v>217</v>
      </c>
      <c r="BB753" t="s">
        <v>196</v>
      </c>
    </row>
    <row r="754" spans="1:54" x14ac:dyDescent="0.25">
      <c r="A754" t="s">
        <v>75</v>
      </c>
      <c r="B754" t="s">
        <v>217</v>
      </c>
      <c r="C754">
        <v>47</v>
      </c>
      <c r="D754" t="s">
        <v>218</v>
      </c>
      <c r="E754" t="s">
        <v>2073</v>
      </c>
      <c r="F754" t="s">
        <v>2098</v>
      </c>
      <c r="G754" t="s">
        <v>2099</v>
      </c>
      <c r="H754" t="s">
        <v>2100</v>
      </c>
      <c r="I754" t="s">
        <v>2101</v>
      </c>
      <c r="J754" t="s">
        <v>2102</v>
      </c>
      <c r="K754" t="s">
        <v>1436</v>
      </c>
      <c r="L754" t="s">
        <v>217</v>
      </c>
      <c r="BB754" t="s">
        <v>210</v>
      </c>
    </row>
    <row r="755" spans="1:54" x14ac:dyDescent="0.25">
      <c r="A755" t="s">
        <v>74</v>
      </c>
      <c r="B755" t="s">
        <v>217</v>
      </c>
      <c r="C755">
        <v>20</v>
      </c>
      <c r="D755" t="s">
        <v>218</v>
      </c>
      <c r="E755" t="s">
        <v>2073</v>
      </c>
      <c r="F755" t="s">
        <v>2098</v>
      </c>
      <c r="G755" t="s">
        <v>2099</v>
      </c>
      <c r="H755" t="s">
        <v>2100</v>
      </c>
      <c r="I755" t="s">
        <v>2101</v>
      </c>
      <c r="J755" t="s">
        <v>2102</v>
      </c>
      <c r="K755" t="s">
        <v>1436</v>
      </c>
      <c r="L755" t="s">
        <v>217</v>
      </c>
      <c r="BB755" t="s">
        <v>222</v>
      </c>
    </row>
    <row r="756" spans="1:54" x14ac:dyDescent="0.25">
      <c r="A756" t="s">
        <v>48</v>
      </c>
      <c r="B756" t="s">
        <v>217</v>
      </c>
      <c r="C756">
        <v>19</v>
      </c>
      <c r="D756" t="s">
        <v>218</v>
      </c>
      <c r="E756" t="s">
        <v>2073</v>
      </c>
      <c r="F756" t="s">
        <v>2098</v>
      </c>
      <c r="G756" t="s">
        <v>2099</v>
      </c>
      <c r="H756" t="s">
        <v>2100</v>
      </c>
      <c r="I756" t="s">
        <v>2101</v>
      </c>
      <c r="J756" t="s">
        <v>2102</v>
      </c>
      <c r="K756" t="s">
        <v>1436</v>
      </c>
      <c r="L756" t="s">
        <v>217</v>
      </c>
      <c r="BB756" t="s">
        <v>205</v>
      </c>
    </row>
    <row r="757" spans="1:54" x14ac:dyDescent="0.25">
      <c r="A757" t="s">
        <v>43</v>
      </c>
      <c r="B757" t="s">
        <v>217</v>
      </c>
      <c r="C757">
        <v>27</v>
      </c>
      <c r="D757" t="s">
        <v>218</v>
      </c>
      <c r="E757" t="s">
        <v>2073</v>
      </c>
      <c r="F757" t="s">
        <v>2098</v>
      </c>
      <c r="G757" t="s">
        <v>2099</v>
      </c>
      <c r="H757" t="s">
        <v>2100</v>
      </c>
      <c r="I757" t="s">
        <v>2101</v>
      </c>
      <c r="J757" t="s">
        <v>2102</v>
      </c>
      <c r="K757" t="s">
        <v>1436</v>
      </c>
      <c r="L757" t="s">
        <v>217</v>
      </c>
      <c r="BB757" t="s">
        <v>219</v>
      </c>
    </row>
    <row r="758" spans="1:54" x14ac:dyDescent="0.25">
      <c r="A758" t="s">
        <v>40</v>
      </c>
      <c r="B758" t="s">
        <v>217</v>
      </c>
      <c r="C758">
        <v>76</v>
      </c>
      <c r="D758" t="s">
        <v>218</v>
      </c>
      <c r="E758" t="s">
        <v>2073</v>
      </c>
      <c r="F758" t="s">
        <v>2098</v>
      </c>
      <c r="G758" t="s">
        <v>2099</v>
      </c>
      <c r="H758" t="s">
        <v>2100</v>
      </c>
      <c r="I758" t="s">
        <v>2101</v>
      </c>
      <c r="J758" t="s">
        <v>2102</v>
      </c>
      <c r="K758" t="s">
        <v>1436</v>
      </c>
      <c r="L758" t="s">
        <v>217</v>
      </c>
      <c r="BB758" t="s">
        <v>228</v>
      </c>
    </row>
    <row r="759" spans="1:54" x14ac:dyDescent="0.25">
      <c r="A759" t="s">
        <v>34</v>
      </c>
      <c r="B759" t="s">
        <v>217</v>
      </c>
      <c r="C759">
        <v>20</v>
      </c>
      <c r="D759" t="s">
        <v>218</v>
      </c>
      <c r="E759" t="s">
        <v>2073</v>
      </c>
      <c r="F759" t="s">
        <v>2098</v>
      </c>
      <c r="G759" t="s">
        <v>2099</v>
      </c>
      <c r="H759" t="s">
        <v>2100</v>
      </c>
      <c r="I759" t="s">
        <v>2101</v>
      </c>
      <c r="J759" t="s">
        <v>2102</v>
      </c>
      <c r="K759" t="s">
        <v>1436</v>
      </c>
      <c r="L759" t="s">
        <v>217</v>
      </c>
      <c r="BB759" t="s">
        <v>225</v>
      </c>
    </row>
    <row r="760" spans="1:54" x14ac:dyDescent="0.25">
      <c r="A760" t="s">
        <v>42</v>
      </c>
      <c r="B760" t="s">
        <v>217</v>
      </c>
      <c r="C760">
        <v>28</v>
      </c>
      <c r="D760" t="s">
        <v>218</v>
      </c>
      <c r="E760" t="s">
        <v>2073</v>
      </c>
      <c r="F760" t="s">
        <v>2098</v>
      </c>
      <c r="G760" t="s">
        <v>2099</v>
      </c>
      <c r="H760" t="s">
        <v>2100</v>
      </c>
      <c r="I760" t="s">
        <v>2101</v>
      </c>
      <c r="J760" t="s">
        <v>2102</v>
      </c>
      <c r="K760" t="s">
        <v>1436</v>
      </c>
      <c r="L760" t="s">
        <v>217</v>
      </c>
      <c r="BB760" t="s">
        <v>187</v>
      </c>
    </row>
    <row r="761" spans="1:54" x14ac:dyDescent="0.25">
      <c r="A761" t="s">
        <v>37</v>
      </c>
      <c r="B761" t="s">
        <v>217</v>
      </c>
      <c r="C761">
        <v>30</v>
      </c>
      <c r="D761" t="s">
        <v>218</v>
      </c>
      <c r="E761" t="s">
        <v>2073</v>
      </c>
      <c r="F761" t="s">
        <v>2098</v>
      </c>
      <c r="G761" t="s">
        <v>2099</v>
      </c>
      <c r="H761" t="s">
        <v>2100</v>
      </c>
      <c r="I761" t="s">
        <v>2101</v>
      </c>
      <c r="J761" t="s">
        <v>2102</v>
      </c>
      <c r="K761" t="s">
        <v>1436</v>
      </c>
      <c r="L761" t="s">
        <v>217</v>
      </c>
      <c r="BB761" t="s">
        <v>210</v>
      </c>
    </row>
    <row r="762" spans="1:54" x14ac:dyDescent="0.25">
      <c r="A762" t="s">
        <v>18</v>
      </c>
      <c r="B762" t="s">
        <v>217</v>
      </c>
      <c r="C762">
        <v>34</v>
      </c>
      <c r="D762" t="s">
        <v>218</v>
      </c>
      <c r="E762" t="s">
        <v>2073</v>
      </c>
      <c r="F762" t="s">
        <v>2098</v>
      </c>
      <c r="G762" t="s">
        <v>2099</v>
      </c>
      <c r="H762" t="s">
        <v>2100</v>
      </c>
      <c r="I762" t="s">
        <v>2101</v>
      </c>
      <c r="J762" t="s">
        <v>2102</v>
      </c>
      <c r="K762" t="s">
        <v>1436</v>
      </c>
      <c r="L762" t="s">
        <v>217</v>
      </c>
      <c r="BB762" t="s">
        <v>193</v>
      </c>
    </row>
    <row r="763" spans="1:54" x14ac:dyDescent="0.25">
      <c r="A763" t="s">
        <v>89</v>
      </c>
      <c r="B763" t="s">
        <v>217</v>
      </c>
      <c r="C763">
        <v>45</v>
      </c>
      <c r="D763" t="s">
        <v>218</v>
      </c>
      <c r="E763" t="s">
        <v>2073</v>
      </c>
      <c r="F763" t="s">
        <v>2098</v>
      </c>
      <c r="G763" t="s">
        <v>2099</v>
      </c>
      <c r="H763" t="s">
        <v>2100</v>
      </c>
      <c r="I763" t="s">
        <v>2101</v>
      </c>
      <c r="J763" t="s">
        <v>2102</v>
      </c>
      <c r="K763" t="s">
        <v>1436</v>
      </c>
      <c r="L763" t="s">
        <v>217</v>
      </c>
      <c r="BB763" t="s">
        <v>228</v>
      </c>
    </row>
    <row r="764" spans="1:54" x14ac:dyDescent="0.25">
      <c r="A764" t="s">
        <v>10</v>
      </c>
      <c r="B764" t="s">
        <v>217</v>
      </c>
      <c r="C764">
        <v>70</v>
      </c>
      <c r="D764" t="s">
        <v>218</v>
      </c>
      <c r="E764" t="s">
        <v>2073</v>
      </c>
      <c r="F764" t="s">
        <v>2098</v>
      </c>
      <c r="G764" t="s">
        <v>2099</v>
      </c>
      <c r="H764" t="s">
        <v>2100</v>
      </c>
      <c r="I764" t="s">
        <v>2101</v>
      </c>
      <c r="J764" t="s">
        <v>2102</v>
      </c>
      <c r="K764" t="s">
        <v>1436</v>
      </c>
      <c r="L764" t="s">
        <v>217</v>
      </c>
      <c r="BB764" t="s">
        <v>190</v>
      </c>
    </row>
    <row r="765" spans="1:54" x14ac:dyDescent="0.25">
      <c r="A765" t="s">
        <v>17</v>
      </c>
      <c r="B765" t="s">
        <v>217</v>
      </c>
      <c r="C765">
        <v>8</v>
      </c>
      <c r="D765" t="s">
        <v>218</v>
      </c>
      <c r="E765" t="s">
        <v>2073</v>
      </c>
      <c r="F765" t="s">
        <v>2098</v>
      </c>
      <c r="G765" t="s">
        <v>2099</v>
      </c>
      <c r="H765" t="s">
        <v>2100</v>
      </c>
      <c r="I765" t="s">
        <v>2101</v>
      </c>
      <c r="J765" t="s">
        <v>2102</v>
      </c>
      <c r="K765" t="s">
        <v>1436</v>
      </c>
      <c r="L765" t="s">
        <v>217</v>
      </c>
      <c r="BB765" t="s">
        <v>205</v>
      </c>
    </row>
    <row r="766" spans="1:54" x14ac:dyDescent="0.25">
      <c r="A766" t="s">
        <v>66</v>
      </c>
      <c r="B766" t="s">
        <v>217</v>
      </c>
      <c r="C766">
        <v>17</v>
      </c>
      <c r="D766" t="s">
        <v>218</v>
      </c>
      <c r="E766" t="s">
        <v>2073</v>
      </c>
      <c r="F766" t="s">
        <v>2098</v>
      </c>
      <c r="G766" t="s">
        <v>2099</v>
      </c>
      <c r="H766" t="s">
        <v>2100</v>
      </c>
      <c r="I766" t="s">
        <v>2101</v>
      </c>
      <c r="J766" t="s">
        <v>2102</v>
      </c>
      <c r="K766" t="s">
        <v>1436</v>
      </c>
      <c r="L766" t="s">
        <v>217</v>
      </c>
      <c r="BB766" t="s">
        <v>187</v>
      </c>
    </row>
    <row r="767" spans="1:54" x14ac:dyDescent="0.25">
      <c r="A767" t="s">
        <v>9</v>
      </c>
      <c r="B767" t="s">
        <v>217</v>
      </c>
      <c r="C767">
        <v>33</v>
      </c>
      <c r="D767" t="s">
        <v>218</v>
      </c>
      <c r="E767" t="s">
        <v>2073</v>
      </c>
      <c r="F767" t="s">
        <v>2098</v>
      </c>
      <c r="G767" t="s">
        <v>2099</v>
      </c>
      <c r="H767" t="s">
        <v>2100</v>
      </c>
      <c r="I767" t="s">
        <v>2101</v>
      </c>
      <c r="J767" t="s">
        <v>2102</v>
      </c>
      <c r="K767" t="s">
        <v>1436</v>
      </c>
      <c r="L767" t="s">
        <v>217</v>
      </c>
      <c r="BB767" t="s">
        <v>193</v>
      </c>
    </row>
    <row r="768" spans="1:54" x14ac:dyDescent="0.25">
      <c r="A768" t="s">
        <v>33</v>
      </c>
      <c r="B768" t="s">
        <v>217</v>
      </c>
      <c r="C768">
        <v>19</v>
      </c>
      <c r="D768" t="s">
        <v>218</v>
      </c>
      <c r="E768" t="s">
        <v>2073</v>
      </c>
      <c r="F768" t="s">
        <v>2098</v>
      </c>
      <c r="G768" t="s">
        <v>2099</v>
      </c>
      <c r="H768" t="s">
        <v>2100</v>
      </c>
      <c r="I768" t="s">
        <v>2101</v>
      </c>
      <c r="J768" t="s">
        <v>2102</v>
      </c>
      <c r="K768" t="s">
        <v>1436</v>
      </c>
      <c r="L768" t="s">
        <v>217</v>
      </c>
      <c r="BB768" t="s">
        <v>210</v>
      </c>
    </row>
    <row r="769" spans="1:54" x14ac:dyDescent="0.25">
      <c r="A769" t="s">
        <v>25</v>
      </c>
      <c r="B769" t="s">
        <v>217</v>
      </c>
      <c r="C769">
        <v>44</v>
      </c>
      <c r="D769" t="s">
        <v>218</v>
      </c>
      <c r="E769" t="s">
        <v>2073</v>
      </c>
      <c r="F769" t="s">
        <v>2098</v>
      </c>
      <c r="G769" t="s">
        <v>2099</v>
      </c>
      <c r="H769" t="s">
        <v>2100</v>
      </c>
      <c r="I769" t="s">
        <v>2101</v>
      </c>
      <c r="J769" t="s">
        <v>2102</v>
      </c>
      <c r="K769" t="s">
        <v>1436</v>
      </c>
      <c r="L769" t="s">
        <v>217</v>
      </c>
      <c r="BB769" t="s">
        <v>205</v>
      </c>
    </row>
    <row r="770" spans="1:54" x14ac:dyDescent="0.25">
      <c r="A770" t="s">
        <v>29</v>
      </c>
      <c r="B770" t="s">
        <v>217</v>
      </c>
      <c r="C770">
        <v>74</v>
      </c>
      <c r="D770" t="s">
        <v>218</v>
      </c>
      <c r="E770" t="s">
        <v>2073</v>
      </c>
      <c r="F770" t="s">
        <v>2098</v>
      </c>
      <c r="G770" t="s">
        <v>2099</v>
      </c>
      <c r="H770" t="s">
        <v>2100</v>
      </c>
      <c r="I770" t="s">
        <v>2101</v>
      </c>
      <c r="J770" t="s">
        <v>2102</v>
      </c>
      <c r="K770" t="s">
        <v>1436</v>
      </c>
      <c r="L770" t="s">
        <v>217</v>
      </c>
      <c r="BB770" t="s">
        <v>216</v>
      </c>
    </row>
    <row r="771" spans="1:54" x14ac:dyDescent="0.25">
      <c r="A771" t="s">
        <v>32</v>
      </c>
      <c r="B771" t="s">
        <v>217</v>
      </c>
      <c r="C771">
        <v>17</v>
      </c>
      <c r="D771" t="s">
        <v>218</v>
      </c>
      <c r="E771" t="s">
        <v>2073</v>
      </c>
      <c r="F771" t="s">
        <v>2098</v>
      </c>
      <c r="G771" t="s">
        <v>2099</v>
      </c>
      <c r="H771" t="s">
        <v>2100</v>
      </c>
      <c r="I771" t="s">
        <v>2101</v>
      </c>
      <c r="J771" t="s">
        <v>2102</v>
      </c>
      <c r="K771" t="s">
        <v>1436</v>
      </c>
      <c r="L771" t="s">
        <v>217</v>
      </c>
      <c r="BB771" t="s">
        <v>202</v>
      </c>
    </row>
    <row r="772" spans="1:54" x14ac:dyDescent="0.25">
      <c r="A772" t="s">
        <v>65</v>
      </c>
      <c r="B772" t="s">
        <v>217</v>
      </c>
      <c r="C772">
        <v>47</v>
      </c>
      <c r="D772" t="s">
        <v>218</v>
      </c>
      <c r="E772" t="s">
        <v>2073</v>
      </c>
      <c r="F772" t="s">
        <v>2098</v>
      </c>
      <c r="G772" t="s">
        <v>2099</v>
      </c>
      <c r="H772" t="s">
        <v>2100</v>
      </c>
      <c r="I772" t="s">
        <v>2101</v>
      </c>
      <c r="J772" t="s">
        <v>2102</v>
      </c>
      <c r="K772" t="s">
        <v>1436</v>
      </c>
      <c r="L772" t="s">
        <v>217</v>
      </c>
      <c r="BB772" t="s">
        <v>233</v>
      </c>
    </row>
    <row r="773" spans="1:54" x14ac:dyDescent="0.25">
      <c r="A773" t="s">
        <v>59</v>
      </c>
      <c r="B773" t="s">
        <v>217</v>
      </c>
      <c r="C773">
        <v>18</v>
      </c>
      <c r="D773" t="s">
        <v>218</v>
      </c>
      <c r="E773" t="s">
        <v>2073</v>
      </c>
      <c r="F773" t="s">
        <v>2098</v>
      </c>
      <c r="G773" t="s">
        <v>2099</v>
      </c>
      <c r="H773" t="s">
        <v>2100</v>
      </c>
      <c r="I773" t="s">
        <v>2101</v>
      </c>
      <c r="J773" t="s">
        <v>2102</v>
      </c>
      <c r="K773" t="s">
        <v>1436</v>
      </c>
      <c r="L773" t="s">
        <v>217</v>
      </c>
      <c r="BB773" t="s">
        <v>190</v>
      </c>
    </row>
    <row r="774" spans="1:54" x14ac:dyDescent="0.25">
      <c r="A774" t="s">
        <v>45</v>
      </c>
      <c r="B774" t="s">
        <v>217</v>
      </c>
      <c r="C774">
        <v>35</v>
      </c>
      <c r="D774" t="s">
        <v>218</v>
      </c>
      <c r="E774" t="s">
        <v>2073</v>
      </c>
      <c r="F774" t="s">
        <v>2098</v>
      </c>
      <c r="G774" t="s">
        <v>2099</v>
      </c>
      <c r="H774" t="s">
        <v>2100</v>
      </c>
      <c r="I774" t="s">
        <v>2101</v>
      </c>
      <c r="J774" t="s">
        <v>2102</v>
      </c>
      <c r="K774" t="s">
        <v>1436</v>
      </c>
      <c r="L774" t="s">
        <v>217</v>
      </c>
      <c r="BB774" t="s">
        <v>219</v>
      </c>
    </row>
    <row r="775" spans="1:54" x14ac:dyDescent="0.25">
      <c r="A775" t="s">
        <v>15</v>
      </c>
      <c r="B775" t="s">
        <v>217</v>
      </c>
      <c r="C775">
        <v>23</v>
      </c>
      <c r="D775" t="s">
        <v>218</v>
      </c>
      <c r="E775" t="s">
        <v>2073</v>
      </c>
      <c r="F775" t="s">
        <v>2098</v>
      </c>
      <c r="G775" t="s">
        <v>2099</v>
      </c>
      <c r="H775" t="s">
        <v>2100</v>
      </c>
      <c r="I775" t="s">
        <v>2101</v>
      </c>
      <c r="J775" t="s">
        <v>2102</v>
      </c>
      <c r="K775" t="s">
        <v>1436</v>
      </c>
      <c r="L775" t="s">
        <v>217</v>
      </c>
      <c r="BB775" t="s">
        <v>196</v>
      </c>
    </row>
    <row r="776" spans="1:54" x14ac:dyDescent="0.25">
      <c r="A776" t="s">
        <v>22</v>
      </c>
      <c r="B776" t="s">
        <v>217</v>
      </c>
      <c r="C776">
        <v>28</v>
      </c>
      <c r="D776" t="s">
        <v>218</v>
      </c>
      <c r="E776" t="s">
        <v>2073</v>
      </c>
      <c r="F776" t="s">
        <v>2098</v>
      </c>
      <c r="G776" t="s">
        <v>2099</v>
      </c>
      <c r="H776" t="s">
        <v>2100</v>
      </c>
      <c r="I776" t="s">
        <v>2101</v>
      </c>
      <c r="J776" t="s">
        <v>2102</v>
      </c>
      <c r="K776" t="s">
        <v>1436</v>
      </c>
      <c r="L776" t="s">
        <v>217</v>
      </c>
      <c r="BB776" t="s">
        <v>222</v>
      </c>
    </row>
    <row r="777" spans="1:54" x14ac:dyDescent="0.25">
      <c r="A777" t="s">
        <v>26</v>
      </c>
      <c r="B777" t="s">
        <v>217</v>
      </c>
      <c r="C777">
        <v>35</v>
      </c>
      <c r="D777" t="s">
        <v>218</v>
      </c>
      <c r="E777" t="s">
        <v>2073</v>
      </c>
      <c r="F777" t="s">
        <v>2098</v>
      </c>
      <c r="G777" t="s">
        <v>2099</v>
      </c>
      <c r="H777" t="s">
        <v>2100</v>
      </c>
      <c r="I777" t="s">
        <v>2101</v>
      </c>
      <c r="J777" t="s">
        <v>2102</v>
      </c>
      <c r="K777" t="s">
        <v>1436</v>
      </c>
      <c r="L777" t="s">
        <v>217</v>
      </c>
      <c r="BB777" t="s">
        <v>236</v>
      </c>
    </row>
    <row r="778" spans="1:54" x14ac:dyDescent="0.25">
      <c r="A778" t="s">
        <v>14</v>
      </c>
      <c r="B778" t="s">
        <v>217</v>
      </c>
      <c r="C778">
        <v>32</v>
      </c>
      <c r="D778" t="s">
        <v>218</v>
      </c>
      <c r="E778" t="s">
        <v>2073</v>
      </c>
      <c r="F778" t="s">
        <v>2098</v>
      </c>
      <c r="G778" t="s">
        <v>2099</v>
      </c>
      <c r="H778" t="s">
        <v>2100</v>
      </c>
      <c r="I778" t="s">
        <v>2101</v>
      </c>
      <c r="J778" t="s">
        <v>2102</v>
      </c>
      <c r="K778" t="s">
        <v>1436</v>
      </c>
      <c r="L778" t="s">
        <v>217</v>
      </c>
      <c r="BB778" t="s">
        <v>187</v>
      </c>
    </row>
    <row r="779" spans="1:54" x14ac:dyDescent="0.25">
      <c r="A779" t="s">
        <v>67</v>
      </c>
      <c r="B779" t="s">
        <v>217</v>
      </c>
      <c r="C779">
        <v>47</v>
      </c>
      <c r="D779" t="s">
        <v>218</v>
      </c>
      <c r="E779" t="s">
        <v>2073</v>
      </c>
      <c r="F779" t="s">
        <v>2098</v>
      </c>
      <c r="G779" t="s">
        <v>2099</v>
      </c>
      <c r="H779" t="s">
        <v>2100</v>
      </c>
      <c r="I779" t="s">
        <v>2101</v>
      </c>
      <c r="J779" t="s">
        <v>2102</v>
      </c>
      <c r="K779" t="s">
        <v>1436</v>
      </c>
      <c r="L779" t="s">
        <v>217</v>
      </c>
      <c r="BB779" t="s">
        <v>193</v>
      </c>
    </row>
    <row r="780" spans="1:54" x14ac:dyDescent="0.25">
      <c r="A780" t="s">
        <v>24</v>
      </c>
      <c r="B780" t="s">
        <v>217</v>
      </c>
      <c r="C780">
        <v>54</v>
      </c>
      <c r="D780" t="s">
        <v>218</v>
      </c>
      <c r="E780" t="s">
        <v>2073</v>
      </c>
      <c r="F780" t="s">
        <v>2098</v>
      </c>
      <c r="G780" t="s">
        <v>2099</v>
      </c>
      <c r="H780" t="s">
        <v>2100</v>
      </c>
      <c r="I780" t="s">
        <v>2101</v>
      </c>
      <c r="J780" t="s">
        <v>2102</v>
      </c>
      <c r="K780" t="s">
        <v>1436</v>
      </c>
      <c r="L780" t="s">
        <v>217</v>
      </c>
      <c r="BB780" t="s">
        <v>210</v>
      </c>
    </row>
    <row r="781" spans="1:54" x14ac:dyDescent="0.25">
      <c r="A781" t="s">
        <v>36</v>
      </c>
      <c r="B781" t="s">
        <v>217</v>
      </c>
      <c r="C781">
        <v>8</v>
      </c>
      <c r="D781" t="s">
        <v>218</v>
      </c>
      <c r="E781" t="s">
        <v>2073</v>
      </c>
      <c r="F781" t="s">
        <v>2098</v>
      </c>
      <c r="G781" t="s">
        <v>2099</v>
      </c>
      <c r="H781" t="s">
        <v>2100</v>
      </c>
      <c r="I781" t="s">
        <v>2101</v>
      </c>
      <c r="J781" t="s">
        <v>2102</v>
      </c>
      <c r="K781" t="s">
        <v>1436</v>
      </c>
      <c r="L781" t="s">
        <v>217</v>
      </c>
      <c r="BB781" t="s">
        <v>216</v>
      </c>
    </row>
    <row r="782" spans="1:54" x14ac:dyDescent="0.25">
      <c r="A782" t="s">
        <v>60</v>
      </c>
      <c r="B782" t="s">
        <v>217</v>
      </c>
      <c r="C782">
        <v>15</v>
      </c>
      <c r="D782" t="s">
        <v>218</v>
      </c>
      <c r="E782" t="s">
        <v>2073</v>
      </c>
      <c r="F782" t="s">
        <v>2098</v>
      </c>
      <c r="G782" t="s">
        <v>2099</v>
      </c>
      <c r="H782" t="s">
        <v>2100</v>
      </c>
      <c r="I782" t="s">
        <v>2101</v>
      </c>
      <c r="J782" t="s">
        <v>2102</v>
      </c>
      <c r="K782" t="s">
        <v>1436</v>
      </c>
      <c r="L782" t="s">
        <v>217</v>
      </c>
      <c r="BB782" t="s">
        <v>205</v>
      </c>
    </row>
    <row r="783" spans="1:54" x14ac:dyDescent="0.25">
      <c r="A783" t="s">
        <v>91</v>
      </c>
      <c r="B783" t="s">
        <v>217</v>
      </c>
      <c r="C783">
        <v>18</v>
      </c>
      <c r="D783" t="s">
        <v>218</v>
      </c>
      <c r="E783" t="s">
        <v>2073</v>
      </c>
      <c r="F783" t="s">
        <v>2098</v>
      </c>
      <c r="G783" t="s">
        <v>2099</v>
      </c>
      <c r="H783" t="s">
        <v>2100</v>
      </c>
      <c r="I783" t="s">
        <v>2101</v>
      </c>
      <c r="J783" t="s">
        <v>2102</v>
      </c>
      <c r="K783" t="s">
        <v>1436</v>
      </c>
      <c r="L783" t="s">
        <v>217</v>
      </c>
      <c r="BB783" t="s">
        <v>202</v>
      </c>
    </row>
    <row r="784" spans="1:54" x14ac:dyDescent="0.25">
      <c r="A784" t="s">
        <v>85</v>
      </c>
      <c r="B784" t="s">
        <v>217</v>
      </c>
      <c r="C784">
        <v>23</v>
      </c>
      <c r="D784" t="s">
        <v>218</v>
      </c>
      <c r="E784" t="s">
        <v>2073</v>
      </c>
      <c r="F784" t="s">
        <v>2098</v>
      </c>
      <c r="G784" t="s">
        <v>2099</v>
      </c>
      <c r="H784" t="s">
        <v>2100</v>
      </c>
      <c r="I784" t="s">
        <v>2101</v>
      </c>
      <c r="J784" t="s">
        <v>2102</v>
      </c>
      <c r="K784" t="s">
        <v>1436</v>
      </c>
      <c r="L784" t="s">
        <v>217</v>
      </c>
      <c r="BB784" t="s">
        <v>219</v>
      </c>
    </row>
    <row r="785" spans="1:54" x14ac:dyDescent="0.25">
      <c r="A785" t="s">
        <v>52</v>
      </c>
      <c r="B785" t="s">
        <v>217</v>
      </c>
      <c r="C785">
        <v>11</v>
      </c>
      <c r="D785" t="s">
        <v>218</v>
      </c>
      <c r="E785" t="s">
        <v>2073</v>
      </c>
      <c r="F785" t="s">
        <v>2098</v>
      </c>
      <c r="G785" t="s">
        <v>2099</v>
      </c>
      <c r="H785" t="s">
        <v>2100</v>
      </c>
      <c r="I785" t="s">
        <v>2101</v>
      </c>
      <c r="J785" t="s">
        <v>2102</v>
      </c>
      <c r="K785" t="s">
        <v>1436</v>
      </c>
      <c r="L785" t="s">
        <v>217</v>
      </c>
      <c r="BB785" t="s">
        <v>190</v>
      </c>
    </row>
    <row r="786" spans="1:54" x14ac:dyDescent="0.25">
      <c r="A786" t="s">
        <v>53</v>
      </c>
      <c r="B786" t="s">
        <v>217</v>
      </c>
      <c r="C786">
        <v>55</v>
      </c>
      <c r="D786" t="s">
        <v>218</v>
      </c>
      <c r="E786" t="s">
        <v>2073</v>
      </c>
      <c r="F786" t="s">
        <v>2098</v>
      </c>
      <c r="G786" t="s">
        <v>2099</v>
      </c>
      <c r="H786" t="s">
        <v>2100</v>
      </c>
      <c r="I786" t="s">
        <v>2101</v>
      </c>
      <c r="J786" t="s">
        <v>2102</v>
      </c>
      <c r="K786" t="s">
        <v>1436</v>
      </c>
      <c r="L786" t="s">
        <v>217</v>
      </c>
      <c r="BB786" t="s">
        <v>222</v>
      </c>
    </row>
    <row r="787" spans="1:54" x14ac:dyDescent="0.25">
      <c r="A787" t="s">
        <v>76</v>
      </c>
      <c r="B787" t="s">
        <v>217</v>
      </c>
      <c r="C787">
        <v>104</v>
      </c>
      <c r="D787" t="s">
        <v>218</v>
      </c>
      <c r="E787" t="s">
        <v>2073</v>
      </c>
      <c r="F787" t="s">
        <v>2098</v>
      </c>
      <c r="G787" t="s">
        <v>2099</v>
      </c>
      <c r="H787" t="s">
        <v>2100</v>
      </c>
      <c r="I787" t="s">
        <v>2101</v>
      </c>
      <c r="J787" t="s">
        <v>2102</v>
      </c>
      <c r="K787" t="s">
        <v>1436</v>
      </c>
      <c r="L787" t="s">
        <v>217</v>
      </c>
      <c r="BB787" t="s">
        <v>233</v>
      </c>
    </row>
    <row r="788" spans="1:54" x14ac:dyDescent="0.25">
      <c r="A788" t="s">
        <v>90</v>
      </c>
      <c r="B788" t="s">
        <v>217</v>
      </c>
      <c r="C788">
        <v>40</v>
      </c>
      <c r="D788" t="s">
        <v>218</v>
      </c>
      <c r="E788" t="s">
        <v>2073</v>
      </c>
      <c r="F788" t="s">
        <v>2098</v>
      </c>
      <c r="G788" t="s">
        <v>2099</v>
      </c>
      <c r="H788" t="s">
        <v>2100</v>
      </c>
      <c r="I788" t="s">
        <v>2101</v>
      </c>
      <c r="J788" t="s">
        <v>2102</v>
      </c>
      <c r="K788" t="s">
        <v>1436</v>
      </c>
      <c r="L788" t="s">
        <v>217</v>
      </c>
      <c r="BB788" t="s">
        <v>193</v>
      </c>
    </row>
    <row r="789" spans="1:54" x14ac:dyDescent="0.25">
      <c r="A789" t="s">
        <v>16</v>
      </c>
      <c r="B789" t="s">
        <v>217</v>
      </c>
      <c r="C789">
        <v>83</v>
      </c>
      <c r="D789" t="s">
        <v>218</v>
      </c>
      <c r="E789" t="s">
        <v>2073</v>
      </c>
      <c r="F789" t="s">
        <v>2098</v>
      </c>
      <c r="G789" t="s">
        <v>2099</v>
      </c>
      <c r="H789" t="s">
        <v>2100</v>
      </c>
      <c r="I789" t="s">
        <v>2101</v>
      </c>
      <c r="J789" t="s">
        <v>2102</v>
      </c>
      <c r="K789" t="s">
        <v>1436</v>
      </c>
      <c r="L789" t="s">
        <v>217</v>
      </c>
      <c r="BB789" t="s">
        <v>187</v>
      </c>
    </row>
    <row r="790" spans="1:54" x14ac:dyDescent="0.25">
      <c r="A790" t="s">
        <v>82</v>
      </c>
      <c r="B790" t="s">
        <v>217</v>
      </c>
      <c r="C790">
        <v>94</v>
      </c>
      <c r="D790" t="s">
        <v>218</v>
      </c>
      <c r="E790" t="s">
        <v>2073</v>
      </c>
      <c r="F790" t="s">
        <v>2098</v>
      </c>
      <c r="G790" t="s">
        <v>2099</v>
      </c>
      <c r="H790" t="s">
        <v>2100</v>
      </c>
      <c r="I790" t="s">
        <v>2101</v>
      </c>
      <c r="J790" t="s">
        <v>2102</v>
      </c>
      <c r="K790" t="s">
        <v>1436</v>
      </c>
      <c r="L790" t="s">
        <v>217</v>
      </c>
      <c r="BB790" t="s">
        <v>210</v>
      </c>
    </row>
    <row r="791" spans="1:54" x14ac:dyDescent="0.25">
      <c r="A791" t="s">
        <v>38</v>
      </c>
      <c r="B791" t="s">
        <v>217</v>
      </c>
      <c r="C791">
        <v>39</v>
      </c>
      <c r="D791" t="s">
        <v>218</v>
      </c>
      <c r="E791" t="s">
        <v>2073</v>
      </c>
      <c r="F791" t="s">
        <v>2098</v>
      </c>
      <c r="G791" t="s">
        <v>2099</v>
      </c>
      <c r="H791" t="s">
        <v>2100</v>
      </c>
      <c r="I791" t="s">
        <v>2101</v>
      </c>
      <c r="J791" t="s">
        <v>2102</v>
      </c>
      <c r="K791" t="s">
        <v>1436</v>
      </c>
      <c r="L791" t="s">
        <v>217</v>
      </c>
      <c r="BB791" t="s">
        <v>216</v>
      </c>
    </row>
    <row r="792" spans="1:54" hidden="1" x14ac:dyDescent="0.25">
      <c r="A792" t="s">
        <v>56</v>
      </c>
      <c r="B792" t="s">
        <v>234</v>
      </c>
      <c r="C792">
        <v>2</v>
      </c>
      <c r="D792" t="s">
        <v>235</v>
      </c>
      <c r="E792" t="s">
        <v>2073</v>
      </c>
      <c r="F792" t="s">
        <v>2074</v>
      </c>
      <c r="G792" t="s">
        <v>2079</v>
      </c>
      <c r="H792" t="s">
        <v>2080</v>
      </c>
      <c r="I792" t="s">
        <v>2111</v>
      </c>
      <c r="J792" t="s">
        <v>2112</v>
      </c>
      <c r="K792" t="s">
        <v>1453</v>
      </c>
      <c r="L792" t="s">
        <v>234</v>
      </c>
      <c r="BB792" t="s">
        <v>205</v>
      </c>
    </row>
    <row r="793" spans="1:54" hidden="1" x14ac:dyDescent="0.25">
      <c r="A793" t="s">
        <v>50</v>
      </c>
      <c r="B793" t="s">
        <v>234</v>
      </c>
      <c r="C793">
        <v>18</v>
      </c>
      <c r="D793" t="s">
        <v>235</v>
      </c>
      <c r="E793" t="s">
        <v>2073</v>
      </c>
      <c r="F793" t="s">
        <v>2074</v>
      </c>
      <c r="G793" t="s">
        <v>2079</v>
      </c>
      <c r="H793" t="s">
        <v>2080</v>
      </c>
      <c r="I793" t="s">
        <v>2111</v>
      </c>
      <c r="J793" t="s">
        <v>2112</v>
      </c>
      <c r="K793" t="s">
        <v>1453</v>
      </c>
      <c r="L793" t="s">
        <v>234</v>
      </c>
      <c r="BB793" t="s">
        <v>202</v>
      </c>
    </row>
    <row r="794" spans="1:54" hidden="1" x14ac:dyDescent="0.25">
      <c r="A794" t="s">
        <v>47</v>
      </c>
      <c r="B794" t="s">
        <v>234</v>
      </c>
      <c r="C794">
        <v>5</v>
      </c>
      <c r="D794" t="s">
        <v>235</v>
      </c>
      <c r="E794" t="s">
        <v>2073</v>
      </c>
      <c r="F794" t="s">
        <v>2074</v>
      </c>
      <c r="G794" t="s">
        <v>2079</v>
      </c>
      <c r="H794" t="s">
        <v>2080</v>
      </c>
      <c r="I794" t="s">
        <v>2111</v>
      </c>
      <c r="J794" t="s">
        <v>2112</v>
      </c>
      <c r="K794" t="s">
        <v>1453</v>
      </c>
      <c r="L794" t="s">
        <v>234</v>
      </c>
      <c r="BB794" t="s">
        <v>190</v>
      </c>
    </row>
    <row r="795" spans="1:54" hidden="1" x14ac:dyDescent="0.25">
      <c r="A795" t="s">
        <v>14</v>
      </c>
      <c r="B795" t="s">
        <v>234</v>
      </c>
      <c r="C795">
        <v>4</v>
      </c>
      <c r="D795" t="s">
        <v>235</v>
      </c>
      <c r="E795" t="s">
        <v>2073</v>
      </c>
      <c r="F795" t="s">
        <v>2074</v>
      </c>
      <c r="G795" t="s">
        <v>2079</v>
      </c>
      <c r="H795" t="s">
        <v>2080</v>
      </c>
      <c r="I795" t="s">
        <v>2111</v>
      </c>
      <c r="J795" t="s">
        <v>2112</v>
      </c>
      <c r="K795" t="s">
        <v>1453</v>
      </c>
      <c r="L795" t="s">
        <v>234</v>
      </c>
      <c r="BB795" t="s">
        <v>219</v>
      </c>
    </row>
    <row r="796" spans="1:54" hidden="1" x14ac:dyDescent="0.25">
      <c r="A796" t="s">
        <v>24</v>
      </c>
      <c r="B796" t="s">
        <v>234</v>
      </c>
      <c r="C796">
        <v>3</v>
      </c>
      <c r="D796" t="s">
        <v>235</v>
      </c>
      <c r="E796" t="s">
        <v>2073</v>
      </c>
      <c r="F796" t="s">
        <v>2074</v>
      </c>
      <c r="G796" t="s">
        <v>2079</v>
      </c>
      <c r="H796" t="s">
        <v>2080</v>
      </c>
      <c r="I796" t="s">
        <v>2111</v>
      </c>
      <c r="J796" t="s">
        <v>2112</v>
      </c>
      <c r="K796" t="s">
        <v>1453</v>
      </c>
      <c r="L796" t="s">
        <v>234</v>
      </c>
      <c r="BB796" t="s">
        <v>231</v>
      </c>
    </row>
    <row r="797" spans="1:54" hidden="1" x14ac:dyDescent="0.25">
      <c r="A797" t="s">
        <v>63</v>
      </c>
      <c r="B797" t="s">
        <v>234</v>
      </c>
      <c r="C797">
        <v>57</v>
      </c>
      <c r="D797" t="s">
        <v>235</v>
      </c>
      <c r="E797" t="s">
        <v>2073</v>
      </c>
      <c r="F797" t="s">
        <v>2074</v>
      </c>
      <c r="G797" t="s">
        <v>2079</v>
      </c>
      <c r="H797" t="s">
        <v>2080</v>
      </c>
      <c r="I797" t="s">
        <v>2111</v>
      </c>
      <c r="J797" t="s">
        <v>2112</v>
      </c>
      <c r="K797" t="s">
        <v>1453</v>
      </c>
      <c r="L797" t="s">
        <v>234</v>
      </c>
      <c r="BB797" t="s">
        <v>222</v>
      </c>
    </row>
    <row r="798" spans="1:54" hidden="1" x14ac:dyDescent="0.25">
      <c r="A798" t="s">
        <v>16</v>
      </c>
      <c r="B798" t="s">
        <v>234</v>
      </c>
      <c r="C798">
        <v>4</v>
      </c>
      <c r="D798" t="s">
        <v>235</v>
      </c>
      <c r="E798" t="s">
        <v>2073</v>
      </c>
      <c r="F798" t="s">
        <v>2074</v>
      </c>
      <c r="G798" t="s">
        <v>2079</v>
      </c>
      <c r="H798" t="s">
        <v>2080</v>
      </c>
      <c r="I798" t="s">
        <v>2111</v>
      </c>
      <c r="J798" t="s">
        <v>2112</v>
      </c>
      <c r="K798" t="s">
        <v>1453</v>
      </c>
      <c r="L798" t="s">
        <v>234</v>
      </c>
      <c r="BB798" t="s">
        <v>213</v>
      </c>
    </row>
  </sheetData>
  <autoFilter ref="A1:L798" xr:uid="{00000000-0001-0000-0300-000000000000}">
    <filterColumn colId="9">
      <filters>
        <filter val="g__Symmetrospora"/>
        <filter val="g__Vishniacozyma"/>
      </filters>
    </filterColumn>
    <sortState xmlns:xlrd2="http://schemas.microsoft.com/office/spreadsheetml/2017/richdata2" ref="A2:L798">
      <sortCondition ref="L1:L798"/>
    </sortState>
  </autoFilter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9661F-9DC5-4F33-9615-0B8477242CFC}">
  <dimension ref="A1:Y87"/>
  <sheetViews>
    <sheetView tabSelected="1" topLeftCell="G1" zoomScale="85" zoomScaleNormal="85" workbookViewId="0">
      <selection activeCell="P33" sqref="P33"/>
    </sheetView>
  </sheetViews>
  <sheetFormatPr baseColWidth="10" defaultRowHeight="12.5" x14ac:dyDescent="0.25"/>
  <cols>
    <col min="9" max="9" width="31.6328125" customWidth="1"/>
    <col min="15" max="15" width="26.6328125" customWidth="1"/>
  </cols>
  <sheetData>
    <row r="1" spans="1:25" ht="13" x14ac:dyDescent="0.3">
      <c r="A1" s="3" t="s">
        <v>0</v>
      </c>
      <c r="B1" s="3" t="s">
        <v>182</v>
      </c>
      <c r="C1" s="3" t="s">
        <v>183</v>
      </c>
      <c r="D1" s="3"/>
      <c r="E1" s="3"/>
      <c r="F1" s="3"/>
      <c r="G1" s="3"/>
      <c r="H1" s="3"/>
      <c r="I1" s="3"/>
      <c r="O1" s="5" t="s">
        <v>971</v>
      </c>
      <c r="P1" s="5" t="s">
        <v>972</v>
      </c>
      <c r="Q1" s="5" t="s">
        <v>973</v>
      </c>
    </row>
    <row r="2" spans="1:25" x14ac:dyDescent="0.25">
      <c r="A2" t="s">
        <v>84</v>
      </c>
      <c r="B2">
        <v>19</v>
      </c>
      <c r="C2" t="s">
        <v>2073</v>
      </c>
      <c r="D2" t="s">
        <v>2098</v>
      </c>
      <c r="E2" t="s">
        <v>2103</v>
      </c>
      <c r="F2" t="s">
        <v>2104</v>
      </c>
      <c r="G2" t="s">
        <v>2105</v>
      </c>
      <c r="H2" t="s">
        <v>2106</v>
      </c>
      <c r="I2" t="s">
        <v>1442</v>
      </c>
      <c r="J2" t="s">
        <v>220</v>
      </c>
      <c r="O2" s="16" t="s">
        <v>1277</v>
      </c>
      <c r="P2" s="16" t="s">
        <v>220</v>
      </c>
      <c r="Q2" s="16" t="s">
        <v>936</v>
      </c>
    </row>
    <row r="3" spans="1:25" x14ac:dyDescent="0.25">
      <c r="A3" t="s">
        <v>58</v>
      </c>
      <c r="B3">
        <v>85</v>
      </c>
      <c r="C3" t="s">
        <v>2073</v>
      </c>
      <c r="D3" t="s">
        <v>2098</v>
      </c>
      <c r="E3" t="s">
        <v>2103</v>
      </c>
      <c r="F3" t="s">
        <v>2104</v>
      </c>
      <c r="G3" t="s">
        <v>2105</v>
      </c>
      <c r="H3" t="s">
        <v>2106</v>
      </c>
      <c r="I3" t="s">
        <v>1442</v>
      </c>
      <c r="J3" t="s">
        <v>220</v>
      </c>
      <c r="O3" s="16" t="s">
        <v>1278</v>
      </c>
      <c r="P3" s="16" t="s">
        <v>220</v>
      </c>
      <c r="Q3" s="16" t="s">
        <v>936</v>
      </c>
    </row>
    <row r="4" spans="1:25" x14ac:dyDescent="0.25">
      <c r="A4" t="s">
        <v>79</v>
      </c>
      <c r="B4">
        <v>11</v>
      </c>
      <c r="C4" t="s">
        <v>2073</v>
      </c>
      <c r="D4" t="s">
        <v>2098</v>
      </c>
      <c r="E4" t="s">
        <v>2103</v>
      </c>
      <c r="F4" t="s">
        <v>2104</v>
      </c>
      <c r="G4" t="s">
        <v>2105</v>
      </c>
      <c r="H4" t="s">
        <v>2106</v>
      </c>
      <c r="I4" t="s">
        <v>1442</v>
      </c>
      <c r="J4" t="s">
        <v>220</v>
      </c>
      <c r="O4" s="16" t="s">
        <v>1352</v>
      </c>
      <c r="P4" s="16" t="s">
        <v>217</v>
      </c>
      <c r="Q4" s="16" t="s">
        <v>958</v>
      </c>
    </row>
    <row r="5" spans="1:25" x14ac:dyDescent="0.25">
      <c r="A5" t="s">
        <v>19</v>
      </c>
      <c r="B5">
        <v>5</v>
      </c>
      <c r="C5" t="s">
        <v>2073</v>
      </c>
      <c r="D5" t="s">
        <v>2098</v>
      </c>
      <c r="E5" t="s">
        <v>2103</v>
      </c>
      <c r="F5" t="s">
        <v>2104</v>
      </c>
      <c r="G5" t="s">
        <v>2105</v>
      </c>
      <c r="H5" t="s">
        <v>2106</v>
      </c>
      <c r="I5" t="s">
        <v>1442</v>
      </c>
      <c r="J5" t="s">
        <v>220</v>
      </c>
    </row>
    <row r="6" spans="1:25" x14ac:dyDescent="0.25">
      <c r="A6" t="s">
        <v>70</v>
      </c>
      <c r="B6">
        <v>11</v>
      </c>
      <c r="C6" t="s">
        <v>2073</v>
      </c>
      <c r="D6" t="s">
        <v>2098</v>
      </c>
      <c r="E6" t="s">
        <v>2103</v>
      </c>
      <c r="F6" t="s">
        <v>2104</v>
      </c>
      <c r="G6" t="s">
        <v>2105</v>
      </c>
      <c r="H6" t="s">
        <v>2106</v>
      </c>
      <c r="I6" t="s">
        <v>1442</v>
      </c>
      <c r="J6" t="s">
        <v>220</v>
      </c>
    </row>
    <row r="7" spans="1:25" x14ac:dyDescent="0.25">
      <c r="A7" t="s">
        <v>83</v>
      </c>
      <c r="B7">
        <v>14</v>
      </c>
      <c r="C7" t="s">
        <v>2073</v>
      </c>
      <c r="D7" t="s">
        <v>2098</v>
      </c>
      <c r="E7" t="s">
        <v>2103</v>
      </c>
      <c r="F7" t="s">
        <v>2104</v>
      </c>
      <c r="G7" t="s">
        <v>2105</v>
      </c>
      <c r="H7" t="s">
        <v>2106</v>
      </c>
      <c r="I7" t="s">
        <v>1442</v>
      </c>
      <c r="J7" t="s">
        <v>220</v>
      </c>
    </row>
    <row r="8" spans="1:25" x14ac:dyDescent="0.25">
      <c r="A8" t="s">
        <v>39</v>
      </c>
      <c r="B8">
        <v>14</v>
      </c>
      <c r="C8" t="s">
        <v>2073</v>
      </c>
      <c r="D8" t="s">
        <v>2098</v>
      </c>
      <c r="E8" t="s">
        <v>2103</v>
      </c>
      <c r="F8" t="s">
        <v>2104</v>
      </c>
      <c r="G8" t="s">
        <v>2105</v>
      </c>
      <c r="H8" t="s">
        <v>2106</v>
      </c>
      <c r="I8" t="s">
        <v>1442</v>
      </c>
      <c r="J8" t="s">
        <v>220</v>
      </c>
    </row>
    <row r="9" spans="1:25" x14ac:dyDescent="0.25">
      <c r="A9" t="s">
        <v>75</v>
      </c>
      <c r="B9">
        <v>12</v>
      </c>
      <c r="C9" t="s">
        <v>2073</v>
      </c>
      <c r="D9" t="s">
        <v>2098</v>
      </c>
      <c r="E9" t="s">
        <v>2103</v>
      </c>
      <c r="F9" t="s">
        <v>2104</v>
      </c>
      <c r="G9" t="s">
        <v>2105</v>
      </c>
      <c r="H9" t="s">
        <v>2106</v>
      </c>
      <c r="I9" t="s">
        <v>1442</v>
      </c>
      <c r="J9" t="s">
        <v>220</v>
      </c>
    </row>
    <row r="10" spans="1:25" x14ac:dyDescent="0.25">
      <c r="A10" t="s">
        <v>74</v>
      </c>
      <c r="B10">
        <v>12</v>
      </c>
      <c r="C10" t="s">
        <v>2073</v>
      </c>
      <c r="D10" t="s">
        <v>2098</v>
      </c>
      <c r="E10" t="s">
        <v>2103</v>
      </c>
      <c r="F10" t="s">
        <v>2104</v>
      </c>
      <c r="G10" t="s">
        <v>2105</v>
      </c>
      <c r="H10" t="s">
        <v>2106</v>
      </c>
      <c r="I10" t="s">
        <v>1442</v>
      </c>
      <c r="J10" t="s">
        <v>220</v>
      </c>
      <c r="O10" t="s">
        <v>181</v>
      </c>
      <c r="P10" t="s">
        <v>1485</v>
      </c>
      <c r="Q10" t="s">
        <v>1402</v>
      </c>
      <c r="R10" t="s">
        <v>1401</v>
      </c>
      <c r="S10" t="s">
        <v>1404</v>
      </c>
      <c r="T10" t="s">
        <v>1405</v>
      </c>
      <c r="U10" t="s">
        <v>1461</v>
      </c>
      <c r="V10" t="s">
        <v>1462</v>
      </c>
      <c r="W10" s="17" t="s">
        <v>1406</v>
      </c>
      <c r="X10" s="17" t="s">
        <v>1407</v>
      </c>
      <c r="Y10" s="17" t="s">
        <v>1408</v>
      </c>
    </row>
    <row r="11" spans="1:25" x14ac:dyDescent="0.25">
      <c r="A11" t="s">
        <v>48</v>
      </c>
      <c r="B11">
        <v>15</v>
      </c>
      <c r="C11" t="s">
        <v>2073</v>
      </c>
      <c r="D11" t="s">
        <v>2098</v>
      </c>
      <c r="E11" t="s">
        <v>2103</v>
      </c>
      <c r="F11" t="s">
        <v>2104</v>
      </c>
      <c r="G11" t="s">
        <v>2105</v>
      </c>
      <c r="H11" t="s">
        <v>2106</v>
      </c>
      <c r="I11" t="s">
        <v>1442</v>
      </c>
      <c r="J11" t="s">
        <v>220</v>
      </c>
      <c r="O11" t="s">
        <v>1352</v>
      </c>
      <c r="P11" t="s">
        <v>1523</v>
      </c>
      <c r="Q11" t="s">
        <v>1403</v>
      </c>
      <c r="R11" t="s">
        <v>218</v>
      </c>
      <c r="S11">
        <v>368709</v>
      </c>
      <c r="T11">
        <v>86</v>
      </c>
      <c r="U11">
        <v>13</v>
      </c>
      <c r="V11">
        <v>38</v>
      </c>
      <c r="W11" s="14">
        <v>0.28144930257695011</v>
      </c>
      <c r="X11" s="18">
        <v>0.97727272727272729</v>
      </c>
      <c r="Y11" s="18">
        <v>1</v>
      </c>
    </row>
    <row r="12" spans="1:25" x14ac:dyDescent="0.25">
      <c r="A12" t="s">
        <v>43</v>
      </c>
      <c r="B12">
        <v>8</v>
      </c>
      <c r="C12" t="s">
        <v>2073</v>
      </c>
      <c r="D12" t="s">
        <v>2098</v>
      </c>
      <c r="E12" t="s">
        <v>2103</v>
      </c>
      <c r="F12" t="s">
        <v>2104</v>
      </c>
      <c r="G12" t="s">
        <v>2105</v>
      </c>
      <c r="H12" t="s">
        <v>2106</v>
      </c>
      <c r="I12" t="s">
        <v>1442</v>
      </c>
      <c r="J12" t="s">
        <v>220</v>
      </c>
      <c r="O12" t="s">
        <v>1277</v>
      </c>
      <c r="P12" t="s">
        <v>1543</v>
      </c>
      <c r="Q12" t="s">
        <v>1403</v>
      </c>
      <c r="R12" t="s">
        <v>221</v>
      </c>
      <c r="S12">
        <v>336277</v>
      </c>
      <c r="T12">
        <v>81</v>
      </c>
      <c r="U12">
        <v>19</v>
      </c>
      <c r="V12">
        <v>58</v>
      </c>
      <c r="W12" s="14">
        <v>0.25669274989943031</v>
      </c>
      <c r="X12" s="18">
        <v>0.92045454545454541</v>
      </c>
      <c r="Y12" s="18">
        <v>1</v>
      </c>
    </row>
    <row r="13" spans="1:25" x14ac:dyDescent="0.25">
      <c r="A13" t="s">
        <v>40</v>
      </c>
      <c r="B13">
        <v>28</v>
      </c>
      <c r="C13" t="s">
        <v>2073</v>
      </c>
      <c r="D13" t="s">
        <v>2098</v>
      </c>
      <c r="E13" t="s">
        <v>2103</v>
      </c>
      <c r="F13" t="s">
        <v>2104</v>
      </c>
      <c r="G13" t="s">
        <v>2105</v>
      </c>
      <c r="H13" t="s">
        <v>2106</v>
      </c>
      <c r="I13" t="s">
        <v>1442</v>
      </c>
      <c r="J13" t="s">
        <v>220</v>
      </c>
      <c r="O13" t="s">
        <v>1278</v>
      </c>
      <c r="P13" t="s">
        <v>1715</v>
      </c>
      <c r="S13">
        <v>103338</v>
      </c>
      <c r="T13">
        <v>80</v>
      </c>
      <c r="U13">
        <v>196</v>
      </c>
      <c r="V13">
        <v>229</v>
      </c>
      <c r="W13" s="14">
        <v>7.8881741508064276E-2</v>
      </c>
      <c r="X13" s="18">
        <v>0.90909090909090906</v>
      </c>
      <c r="Y13" s="18">
        <v>1</v>
      </c>
    </row>
    <row r="14" spans="1:25" x14ac:dyDescent="0.25">
      <c r="A14" t="s">
        <v>34</v>
      </c>
      <c r="B14">
        <v>17</v>
      </c>
      <c r="C14" t="s">
        <v>2073</v>
      </c>
      <c r="D14" t="s">
        <v>2098</v>
      </c>
      <c r="E14" t="s">
        <v>2103</v>
      </c>
      <c r="F14" t="s">
        <v>2104</v>
      </c>
      <c r="G14" t="s">
        <v>2105</v>
      </c>
      <c r="H14" t="s">
        <v>2106</v>
      </c>
      <c r="I14" t="s">
        <v>1442</v>
      </c>
      <c r="J14" t="s">
        <v>220</v>
      </c>
    </row>
    <row r="15" spans="1:25" x14ac:dyDescent="0.25">
      <c r="A15" t="s">
        <v>42</v>
      </c>
      <c r="B15">
        <v>23</v>
      </c>
      <c r="C15" t="s">
        <v>2073</v>
      </c>
      <c r="D15" t="s">
        <v>2098</v>
      </c>
      <c r="E15" t="s">
        <v>2103</v>
      </c>
      <c r="F15" t="s">
        <v>2104</v>
      </c>
      <c r="G15" t="s">
        <v>2105</v>
      </c>
      <c r="H15" t="s">
        <v>2106</v>
      </c>
      <c r="I15" t="s">
        <v>1442</v>
      </c>
      <c r="J15" t="s">
        <v>220</v>
      </c>
    </row>
    <row r="16" spans="1:25" x14ac:dyDescent="0.25">
      <c r="A16" t="s">
        <v>37</v>
      </c>
      <c r="B16">
        <v>17</v>
      </c>
      <c r="C16" t="s">
        <v>2073</v>
      </c>
      <c r="D16" t="s">
        <v>2098</v>
      </c>
      <c r="E16" t="s">
        <v>2103</v>
      </c>
      <c r="F16" t="s">
        <v>2104</v>
      </c>
      <c r="G16" t="s">
        <v>2105</v>
      </c>
      <c r="H16" t="s">
        <v>2106</v>
      </c>
      <c r="I16" t="s">
        <v>1442</v>
      </c>
      <c r="J16" t="s">
        <v>220</v>
      </c>
    </row>
    <row r="17" spans="1:16" x14ac:dyDescent="0.25">
      <c r="A17" t="s">
        <v>18</v>
      </c>
      <c r="B17">
        <v>17</v>
      </c>
      <c r="C17" t="s">
        <v>2073</v>
      </c>
      <c r="D17" t="s">
        <v>2098</v>
      </c>
      <c r="E17" t="s">
        <v>2103</v>
      </c>
      <c r="F17" t="s">
        <v>2104</v>
      </c>
      <c r="G17" t="s">
        <v>2105</v>
      </c>
      <c r="H17" t="s">
        <v>2106</v>
      </c>
      <c r="I17" t="s">
        <v>1442</v>
      </c>
      <c r="J17" t="s">
        <v>220</v>
      </c>
    </row>
    <row r="18" spans="1:16" x14ac:dyDescent="0.25">
      <c r="A18" t="s">
        <v>89</v>
      </c>
      <c r="B18">
        <v>18</v>
      </c>
      <c r="C18" t="s">
        <v>2073</v>
      </c>
      <c r="D18" t="s">
        <v>2098</v>
      </c>
      <c r="E18" t="s">
        <v>2103</v>
      </c>
      <c r="F18" t="s">
        <v>2104</v>
      </c>
      <c r="G18" t="s">
        <v>2105</v>
      </c>
      <c r="H18" t="s">
        <v>2106</v>
      </c>
      <c r="I18" t="s">
        <v>1442</v>
      </c>
      <c r="J18" t="s">
        <v>220</v>
      </c>
    </row>
    <row r="19" spans="1:16" x14ac:dyDescent="0.25">
      <c r="A19" t="s">
        <v>17</v>
      </c>
      <c r="B19">
        <v>5</v>
      </c>
      <c r="C19" t="s">
        <v>2073</v>
      </c>
      <c r="D19" t="s">
        <v>2098</v>
      </c>
      <c r="E19" t="s">
        <v>2103</v>
      </c>
      <c r="F19" t="s">
        <v>2104</v>
      </c>
      <c r="G19" t="s">
        <v>2105</v>
      </c>
      <c r="H19" t="s">
        <v>2106</v>
      </c>
      <c r="I19" t="s">
        <v>1442</v>
      </c>
      <c r="J19" t="s">
        <v>220</v>
      </c>
    </row>
    <row r="20" spans="1:16" x14ac:dyDescent="0.25">
      <c r="A20" t="s">
        <v>66</v>
      </c>
      <c r="B20">
        <v>6</v>
      </c>
      <c r="C20" t="s">
        <v>2073</v>
      </c>
      <c r="D20" t="s">
        <v>2098</v>
      </c>
      <c r="E20" t="s">
        <v>2103</v>
      </c>
      <c r="F20" t="s">
        <v>2104</v>
      </c>
      <c r="G20" t="s">
        <v>2105</v>
      </c>
      <c r="H20" t="s">
        <v>2106</v>
      </c>
      <c r="I20" t="s">
        <v>1442</v>
      </c>
      <c r="J20" t="s">
        <v>220</v>
      </c>
    </row>
    <row r="21" spans="1:16" x14ac:dyDescent="0.25">
      <c r="A21" t="s">
        <v>9</v>
      </c>
      <c r="B21">
        <v>34</v>
      </c>
      <c r="C21" t="s">
        <v>2073</v>
      </c>
      <c r="D21" t="s">
        <v>2098</v>
      </c>
      <c r="E21" t="s">
        <v>2103</v>
      </c>
      <c r="F21" t="s">
        <v>2104</v>
      </c>
      <c r="G21" t="s">
        <v>2105</v>
      </c>
      <c r="H21" t="s">
        <v>2106</v>
      </c>
      <c r="I21" t="s">
        <v>1442</v>
      </c>
      <c r="J21" t="s">
        <v>220</v>
      </c>
    </row>
    <row r="22" spans="1:16" x14ac:dyDescent="0.25">
      <c r="A22" t="s">
        <v>25</v>
      </c>
      <c r="B22">
        <v>35</v>
      </c>
      <c r="C22" t="s">
        <v>2073</v>
      </c>
      <c r="D22" t="s">
        <v>2098</v>
      </c>
      <c r="E22" t="s">
        <v>2103</v>
      </c>
      <c r="F22" t="s">
        <v>2104</v>
      </c>
      <c r="G22" t="s">
        <v>2105</v>
      </c>
      <c r="H22" t="s">
        <v>2106</v>
      </c>
      <c r="I22" t="s">
        <v>1442</v>
      </c>
      <c r="J22" t="s">
        <v>220</v>
      </c>
      <c r="O22" s="16" t="s">
        <v>1277</v>
      </c>
      <c r="P22" s="16" t="s">
        <v>936</v>
      </c>
    </row>
    <row r="23" spans="1:16" x14ac:dyDescent="0.25">
      <c r="A23" t="s">
        <v>32</v>
      </c>
      <c r="B23">
        <v>20</v>
      </c>
      <c r="C23" t="s">
        <v>2073</v>
      </c>
      <c r="D23" t="s">
        <v>2098</v>
      </c>
      <c r="E23" t="s">
        <v>2103</v>
      </c>
      <c r="F23" t="s">
        <v>2104</v>
      </c>
      <c r="G23" t="s">
        <v>2105</v>
      </c>
      <c r="H23" t="s">
        <v>2106</v>
      </c>
      <c r="I23" t="s">
        <v>1442</v>
      </c>
      <c r="J23" t="s">
        <v>220</v>
      </c>
      <c r="O23" s="16" t="s">
        <v>1278</v>
      </c>
      <c r="P23" s="16" t="s">
        <v>936</v>
      </c>
    </row>
    <row r="24" spans="1:16" x14ac:dyDescent="0.25">
      <c r="A24" t="s">
        <v>65</v>
      </c>
      <c r="B24">
        <v>43</v>
      </c>
      <c r="C24" t="s">
        <v>2073</v>
      </c>
      <c r="D24" t="s">
        <v>2098</v>
      </c>
      <c r="E24" t="s">
        <v>2103</v>
      </c>
      <c r="F24" t="s">
        <v>2104</v>
      </c>
      <c r="G24" t="s">
        <v>2105</v>
      </c>
      <c r="H24" t="s">
        <v>2106</v>
      </c>
      <c r="I24" t="s">
        <v>1442</v>
      </c>
      <c r="J24" t="s">
        <v>220</v>
      </c>
      <c r="O24" s="16" t="s">
        <v>1352</v>
      </c>
      <c r="P24" s="16" t="s">
        <v>958</v>
      </c>
    </row>
    <row r="25" spans="1:16" x14ac:dyDescent="0.25">
      <c r="A25" t="s">
        <v>59</v>
      </c>
      <c r="B25">
        <v>14</v>
      </c>
      <c r="C25" t="s">
        <v>2073</v>
      </c>
      <c r="D25" t="s">
        <v>2098</v>
      </c>
      <c r="E25" t="s">
        <v>2103</v>
      </c>
      <c r="F25" t="s">
        <v>2104</v>
      </c>
      <c r="G25" t="s">
        <v>2105</v>
      </c>
      <c r="H25" t="s">
        <v>2106</v>
      </c>
      <c r="I25" t="s">
        <v>1442</v>
      </c>
      <c r="J25" t="s">
        <v>220</v>
      </c>
    </row>
    <row r="26" spans="1:16" x14ac:dyDescent="0.25">
      <c r="A26" t="s">
        <v>45</v>
      </c>
      <c r="B26">
        <v>11</v>
      </c>
      <c r="C26" t="s">
        <v>2073</v>
      </c>
      <c r="D26" t="s">
        <v>2098</v>
      </c>
      <c r="E26" t="s">
        <v>2103</v>
      </c>
      <c r="F26" t="s">
        <v>2104</v>
      </c>
      <c r="G26" t="s">
        <v>2105</v>
      </c>
      <c r="H26" t="s">
        <v>2106</v>
      </c>
      <c r="I26" t="s">
        <v>1442</v>
      </c>
      <c r="J26" t="s">
        <v>220</v>
      </c>
    </row>
    <row r="27" spans="1:16" x14ac:dyDescent="0.25">
      <c r="A27" t="s">
        <v>15</v>
      </c>
      <c r="B27">
        <v>31</v>
      </c>
      <c r="C27" t="s">
        <v>2073</v>
      </c>
      <c r="D27" t="s">
        <v>2098</v>
      </c>
      <c r="E27" t="s">
        <v>2103</v>
      </c>
      <c r="F27" t="s">
        <v>2104</v>
      </c>
      <c r="G27" t="s">
        <v>2105</v>
      </c>
      <c r="H27" t="s">
        <v>2106</v>
      </c>
      <c r="I27" t="s">
        <v>1442</v>
      </c>
      <c r="J27" t="s">
        <v>220</v>
      </c>
    </row>
    <row r="28" spans="1:16" x14ac:dyDescent="0.25">
      <c r="A28" t="s">
        <v>72</v>
      </c>
      <c r="B28">
        <v>55</v>
      </c>
      <c r="C28" t="s">
        <v>2073</v>
      </c>
      <c r="D28" t="s">
        <v>2098</v>
      </c>
      <c r="E28" t="s">
        <v>2103</v>
      </c>
      <c r="F28" t="s">
        <v>2104</v>
      </c>
      <c r="G28" t="s">
        <v>2105</v>
      </c>
      <c r="H28" t="s">
        <v>2106</v>
      </c>
      <c r="I28" t="s">
        <v>1442</v>
      </c>
      <c r="J28" t="s">
        <v>220</v>
      </c>
    </row>
    <row r="29" spans="1:16" x14ac:dyDescent="0.25">
      <c r="A29" t="s">
        <v>26</v>
      </c>
      <c r="B29">
        <v>32</v>
      </c>
      <c r="C29" t="s">
        <v>2073</v>
      </c>
      <c r="D29" t="s">
        <v>2098</v>
      </c>
      <c r="E29" t="s">
        <v>2103</v>
      </c>
      <c r="F29" t="s">
        <v>2104</v>
      </c>
      <c r="G29" t="s">
        <v>2105</v>
      </c>
      <c r="H29" t="s">
        <v>2106</v>
      </c>
      <c r="I29" t="s">
        <v>1442</v>
      </c>
      <c r="J29" t="s">
        <v>220</v>
      </c>
    </row>
    <row r="30" spans="1:16" x14ac:dyDescent="0.25">
      <c r="A30" t="s">
        <v>14</v>
      </c>
      <c r="B30">
        <v>17</v>
      </c>
      <c r="C30" t="s">
        <v>2073</v>
      </c>
      <c r="D30" t="s">
        <v>2098</v>
      </c>
      <c r="E30" t="s">
        <v>2103</v>
      </c>
      <c r="F30" t="s">
        <v>2104</v>
      </c>
      <c r="G30" t="s">
        <v>2105</v>
      </c>
      <c r="H30" t="s">
        <v>2106</v>
      </c>
      <c r="I30" t="s">
        <v>1442</v>
      </c>
      <c r="J30" t="s">
        <v>220</v>
      </c>
    </row>
    <row r="31" spans="1:16" x14ac:dyDescent="0.25">
      <c r="A31" t="s">
        <v>67</v>
      </c>
      <c r="B31">
        <v>35</v>
      </c>
      <c r="C31" t="s">
        <v>2073</v>
      </c>
      <c r="D31" t="s">
        <v>2098</v>
      </c>
      <c r="E31" t="s">
        <v>2103</v>
      </c>
      <c r="F31" t="s">
        <v>2104</v>
      </c>
      <c r="G31" t="s">
        <v>2105</v>
      </c>
      <c r="H31" t="s">
        <v>2106</v>
      </c>
      <c r="I31" t="s">
        <v>1442</v>
      </c>
      <c r="J31" t="s">
        <v>220</v>
      </c>
    </row>
    <row r="32" spans="1:16" x14ac:dyDescent="0.25">
      <c r="A32" t="s">
        <v>68</v>
      </c>
      <c r="B32">
        <v>102</v>
      </c>
      <c r="C32" t="s">
        <v>2073</v>
      </c>
      <c r="D32" t="s">
        <v>2098</v>
      </c>
      <c r="E32" t="s">
        <v>2103</v>
      </c>
      <c r="F32" t="s">
        <v>2104</v>
      </c>
      <c r="G32" t="s">
        <v>2105</v>
      </c>
      <c r="H32" t="s">
        <v>2106</v>
      </c>
      <c r="I32" t="s">
        <v>1442</v>
      </c>
      <c r="J32" t="s">
        <v>220</v>
      </c>
    </row>
    <row r="33" spans="1:10" x14ac:dyDescent="0.25">
      <c r="A33" t="s">
        <v>36</v>
      </c>
      <c r="B33">
        <v>7</v>
      </c>
      <c r="C33" t="s">
        <v>2073</v>
      </c>
      <c r="D33" t="s">
        <v>2098</v>
      </c>
      <c r="E33" t="s">
        <v>2103</v>
      </c>
      <c r="F33" t="s">
        <v>2104</v>
      </c>
      <c r="G33" t="s">
        <v>2105</v>
      </c>
      <c r="H33" t="s">
        <v>2106</v>
      </c>
      <c r="I33" t="s">
        <v>1442</v>
      </c>
      <c r="J33" t="s">
        <v>220</v>
      </c>
    </row>
    <row r="34" spans="1:10" x14ac:dyDescent="0.25">
      <c r="A34" t="s">
        <v>91</v>
      </c>
      <c r="B34">
        <v>10</v>
      </c>
      <c r="C34" t="s">
        <v>2073</v>
      </c>
      <c r="D34" t="s">
        <v>2098</v>
      </c>
      <c r="E34" t="s">
        <v>2103</v>
      </c>
      <c r="F34" t="s">
        <v>2104</v>
      </c>
      <c r="G34" t="s">
        <v>2105</v>
      </c>
      <c r="H34" t="s">
        <v>2106</v>
      </c>
      <c r="I34" t="s">
        <v>1442</v>
      </c>
      <c r="J34" t="s">
        <v>220</v>
      </c>
    </row>
    <row r="35" spans="1:10" x14ac:dyDescent="0.25">
      <c r="A35" t="s">
        <v>85</v>
      </c>
      <c r="B35">
        <v>29</v>
      </c>
      <c r="C35" t="s">
        <v>2073</v>
      </c>
      <c r="D35" t="s">
        <v>2098</v>
      </c>
      <c r="E35" t="s">
        <v>2103</v>
      </c>
      <c r="F35" t="s">
        <v>2104</v>
      </c>
      <c r="G35" t="s">
        <v>2105</v>
      </c>
      <c r="H35" t="s">
        <v>2106</v>
      </c>
      <c r="I35" t="s">
        <v>1442</v>
      </c>
      <c r="J35" t="s">
        <v>220</v>
      </c>
    </row>
    <row r="36" spans="1:10" x14ac:dyDescent="0.25">
      <c r="A36" t="s">
        <v>53</v>
      </c>
      <c r="B36">
        <v>27</v>
      </c>
      <c r="C36" t="s">
        <v>2073</v>
      </c>
      <c r="D36" t="s">
        <v>2098</v>
      </c>
      <c r="E36" t="s">
        <v>2103</v>
      </c>
      <c r="F36" t="s">
        <v>2104</v>
      </c>
      <c r="G36" t="s">
        <v>2105</v>
      </c>
      <c r="H36" t="s">
        <v>2106</v>
      </c>
      <c r="I36" t="s">
        <v>1442</v>
      </c>
      <c r="J36" t="s">
        <v>220</v>
      </c>
    </row>
    <row r="37" spans="1:10" x14ac:dyDescent="0.25">
      <c r="A37" t="s">
        <v>76</v>
      </c>
      <c r="B37">
        <v>63</v>
      </c>
      <c r="C37" t="s">
        <v>2073</v>
      </c>
      <c r="D37" t="s">
        <v>2098</v>
      </c>
      <c r="E37" t="s">
        <v>2103</v>
      </c>
      <c r="F37" t="s">
        <v>2104</v>
      </c>
      <c r="G37" t="s">
        <v>2105</v>
      </c>
      <c r="H37" t="s">
        <v>2106</v>
      </c>
      <c r="I37" t="s">
        <v>1442</v>
      </c>
      <c r="J37" t="s">
        <v>220</v>
      </c>
    </row>
    <row r="38" spans="1:10" x14ac:dyDescent="0.25">
      <c r="A38" t="s">
        <v>90</v>
      </c>
      <c r="B38">
        <v>57</v>
      </c>
      <c r="C38" t="s">
        <v>2073</v>
      </c>
      <c r="D38" t="s">
        <v>2098</v>
      </c>
      <c r="E38" t="s">
        <v>2103</v>
      </c>
      <c r="F38" t="s">
        <v>2104</v>
      </c>
      <c r="G38" t="s">
        <v>2105</v>
      </c>
      <c r="H38" t="s">
        <v>2106</v>
      </c>
      <c r="I38" t="s">
        <v>1442</v>
      </c>
      <c r="J38" t="s">
        <v>220</v>
      </c>
    </row>
    <row r="39" spans="1:10" x14ac:dyDescent="0.25">
      <c r="A39" t="s">
        <v>16</v>
      </c>
      <c r="B39">
        <v>39</v>
      </c>
      <c r="C39" t="s">
        <v>2073</v>
      </c>
      <c r="D39" t="s">
        <v>2098</v>
      </c>
      <c r="E39" t="s">
        <v>2103</v>
      </c>
      <c r="F39" t="s">
        <v>2104</v>
      </c>
      <c r="G39" t="s">
        <v>2105</v>
      </c>
      <c r="H39" t="s">
        <v>2106</v>
      </c>
      <c r="I39" t="s">
        <v>1442</v>
      </c>
      <c r="J39" t="s">
        <v>220</v>
      </c>
    </row>
    <row r="40" spans="1:10" x14ac:dyDescent="0.25">
      <c r="A40" t="s">
        <v>82</v>
      </c>
      <c r="B40">
        <v>36</v>
      </c>
      <c r="C40" t="s">
        <v>2073</v>
      </c>
      <c r="D40" t="s">
        <v>2098</v>
      </c>
      <c r="E40" t="s">
        <v>2103</v>
      </c>
      <c r="F40" t="s">
        <v>2104</v>
      </c>
      <c r="G40" t="s">
        <v>2105</v>
      </c>
      <c r="H40" t="s">
        <v>2106</v>
      </c>
      <c r="I40" t="s">
        <v>1442</v>
      </c>
      <c r="J40" t="s">
        <v>220</v>
      </c>
    </row>
    <row r="41" spans="1:10" x14ac:dyDescent="0.25">
      <c r="A41" t="s">
        <v>38</v>
      </c>
      <c r="B41">
        <v>4</v>
      </c>
      <c r="C41" t="s">
        <v>2073</v>
      </c>
      <c r="D41" t="s">
        <v>2098</v>
      </c>
      <c r="E41" t="s">
        <v>2103</v>
      </c>
      <c r="F41" t="s">
        <v>2104</v>
      </c>
      <c r="G41" t="s">
        <v>2105</v>
      </c>
      <c r="H41" t="s">
        <v>2106</v>
      </c>
      <c r="I41" t="s">
        <v>1442</v>
      </c>
      <c r="J41" t="s">
        <v>220</v>
      </c>
    </row>
    <row r="42" spans="1:10" x14ac:dyDescent="0.25">
      <c r="A42" t="s">
        <v>84</v>
      </c>
      <c r="B42">
        <v>86</v>
      </c>
      <c r="C42" t="s">
        <v>2073</v>
      </c>
      <c r="D42" t="s">
        <v>2098</v>
      </c>
      <c r="E42" t="s">
        <v>2099</v>
      </c>
      <c r="F42" t="s">
        <v>2100</v>
      </c>
      <c r="G42" t="s">
        <v>2101</v>
      </c>
      <c r="H42" t="s">
        <v>2102</v>
      </c>
      <c r="I42" t="s">
        <v>1436</v>
      </c>
      <c r="J42" t="s">
        <v>217</v>
      </c>
    </row>
    <row r="43" spans="1:10" x14ac:dyDescent="0.25">
      <c r="A43" t="s">
        <v>58</v>
      </c>
      <c r="B43">
        <v>11</v>
      </c>
      <c r="C43" t="s">
        <v>2073</v>
      </c>
      <c r="D43" t="s">
        <v>2098</v>
      </c>
      <c r="E43" t="s">
        <v>2099</v>
      </c>
      <c r="F43" t="s">
        <v>2100</v>
      </c>
      <c r="G43" t="s">
        <v>2101</v>
      </c>
      <c r="H43" t="s">
        <v>2102</v>
      </c>
      <c r="I43" t="s">
        <v>1436</v>
      </c>
      <c r="J43" t="s">
        <v>217</v>
      </c>
    </row>
    <row r="44" spans="1:10" x14ac:dyDescent="0.25">
      <c r="A44" t="s">
        <v>79</v>
      </c>
      <c r="B44">
        <v>39</v>
      </c>
      <c r="C44" t="s">
        <v>2073</v>
      </c>
      <c r="D44" t="s">
        <v>2098</v>
      </c>
      <c r="E44" t="s">
        <v>2099</v>
      </c>
      <c r="F44" t="s">
        <v>2100</v>
      </c>
      <c r="G44" t="s">
        <v>2101</v>
      </c>
      <c r="H44" t="s">
        <v>2102</v>
      </c>
      <c r="I44" t="s">
        <v>1436</v>
      </c>
      <c r="J44" t="s">
        <v>217</v>
      </c>
    </row>
    <row r="45" spans="1:10" x14ac:dyDescent="0.25">
      <c r="A45" t="s">
        <v>19</v>
      </c>
      <c r="B45">
        <v>22</v>
      </c>
      <c r="C45" t="s">
        <v>2073</v>
      </c>
      <c r="D45" t="s">
        <v>2098</v>
      </c>
      <c r="E45" t="s">
        <v>2099</v>
      </c>
      <c r="F45" t="s">
        <v>2100</v>
      </c>
      <c r="G45" t="s">
        <v>2101</v>
      </c>
      <c r="H45" t="s">
        <v>2102</v>
      </c>
      <c r="I45" t="s">
        <v>1436</v>
      </c>
      <c r="J45" t="s">
        <v>217</v>
      </c>
    </row>
    <row r="46" spans="1:10" x14ac:dyDescent="0.25">
      <c r="A46" t="s">
        <v>70</v>
      </c>
      <c r="B46">
        <v>7</v>
      </c>
      <c r="C46" t="s">
        <v>2073</v>
      </c>
      <c r="D46" t="s">
        <v>2098</v>
      </c>
      <c r="E46" t="s">
        <v>2099</v>
      </c>
      <c r="F46" t="s">
        <v>2100</v>
      </c>
      <c r="G46" t="s">
        <v>2101</v>
      </c>
      <c r="H46" t="s">
        <v>2102</v>
      </c>
      <c r="I46" t="s">
        <v>1436</v>
      </c>
      <c r="J46" t="s">
        <v>217</v>
      </c>
    </row>
    <row r="47" spans="1:10" x14ac:dyDescent="0.25">
      <c r="A47" t="s">
        <v>83</v>
      </c>
      <c r="B47">
        <v>17</v>
      </c>
      <c r="C47" t="s">
        <v>2073</v>
      </c>
      <c r="D47" t="s">
        <v>2098</v>
      </c>
      <c r="E47" t="s">
        <v>2099</v>
      </c>
      <c r="F47" t="s">
        <v>2100</v>
      </c>
      <c r="G47" t="s">
        <v>2101</v>
      </c>
      <c r="H47" t="s">
        <v>2102</v>
      </c>
      <c r="I47" t="s">
        <v>1436</v>
      </c>
      <c r="J47" t="s">
        <v>217</v>
      </c>
    </row>
    <row r="48" spans="1:10" x14ac:dyDescent="0.25">
      <c r="A48" t="s">
        <v>28</v>
      </c>
      <c r="B48">
        <v>7</v>
      </c>
      <c r="C48" t="s">
        <v>2073</v>
      </c>
      <c r="D48" t="s">
        <v>2098</v>
      </c>
      <c r="E48" t="s">
        <v>2099</v>
      </c>
      <c r="F48" t="s">
        <v>2100</v>
      </c>
      <c r="G48" t="s">
        <v>2101</v>
      </c>
      <c r="H48" t="s">
        <v>2102</v>
      </c>
      <c r="I48" t="s">
        <v>1436</v>
      </c>
      <c r="J48" t="s">
        <v>217</v>
      </c>
    </row>
    <row r="49" spans="1:10" x14ac:dyDescent="0.25">
      <c r="A49" t="s">
        <v>39</v>
      </c>
      <c r="B49">
        <v>11</v>
      </c>
      <c r="C49" t="s">
        <v>2073</v>
      </c>
      <c r="D49" t="s">
        <v>2098</v>
      </c>
      <c r="E49" t="s">
        <v>2099</v>
      </c>
      <c r="F49" t="s">
        <v>2100</v>
      </c>
      <c r="G49" t="s">
        <v>2101</v>
      </c>
      <c r="H49" t="s">
        <v>2102</v>
      </c>
      <c r="I49" t="s">
        <v>1436</v>
      </c>
      <c r="J49" t="s">
        <v>217</v>
      </c>
    </row>
    <row r="50" spans="1:10" x14ac:dyDescent="0.25">
      <c r="A50" t="s">
        <v>75</v>
      </c>
      <c r="B50">
        <v>47</v>
      </c>
      <c r="C50" t="s">
        <v>2073</v>
      </c>
      <c r="D50" t="s">
        <v>2098</v>
      </c>
      <c r="E50" t="s">
        <v>2099</v>
      </c>
      <c r="F50" t="s">
        <v>2100</v>
      </c>
      <c r="G50" t="s">
        <v>2101</v>
      </c>
      <c r="H50" t="s">
        <v>2102</v>
      </c>
      <c r="I50" t="s">
        <v>1436</v>
      </c>
      <c r="J50" t="s">
        <v>217</v>
      </c>
    </row>
    <row r="51" spans="1:10" x14ac:dyDescent="0.25">
      <c r="A51" t="s">
        <v>74</v>
      </c>
      <c r="B51">
        <v>20</v>
      </c>
      <c r="C51" t="s">
        <v>2073</v>
      </c>
      <c r="D51" t="s">
        <v>2098</v>
      </c>
      <c r="E51" t="s">
        <v>2099</v>
      </c>
      <c r="F51" t="s">
        <v>2100</v>
      </c>
      <c r="G51" t="s">
        <v>2101</v>
      </c>
      <c r="H51" t="s">
        <v>2102</v>
      </c>
      <c r="I51" t="s">
        <v>1436</v>
      </c>
      <c r="J51" t="s">
        <v>217</v>
      </c>
    </row>
    <row r="52" spans="1:10" x14ac:dyDescent="0.25">
      <c r="A52" t="s">
        <v>48</v>
      </c>
      <c r="B52">
        <v>19</v>
      </c>
      <c r="C52" t="s">
        <v>2073</v>
      </c>
      <c r="D52" t="s">
        <v>2098</v>
      </c>
      <c r="E52" t="s">
        <v>2099</v>
      </c>
      <c r="F52" t="s">
        <v>2100</v>
      </c>
      <c r="G52" t="s">
        <v>2101</v>
      </c>
      <c r="H52" t="s">
        <v>2102</v>
      </c>
      <c r="I52" t="s">
        <v>1436</v>
      </c>
      <c r="J52" t="s">
        <v>217</v>
      </c>
    </row>
    <row r="53" spans="1:10" x14ac:dyDescent="0.25">
      <c r="A53" t="s">
        <v>43</v>
      </c>
      <c r="B53">
        <v>27</v>
      </c>
      <c r="C53" t="s">
        <v>2073</v>
      </c>
      <c r="D53" t="s">
        <v>2098</v>
      </c>
      <c r="E53" t="s">
        <v>2099</v>
      </c>
      <c r="F53" t="s">
        <v>2100</v>
      </c>
      <c r="G53" t="s">
        <v>2101</v>
      </c>
      <c r="H53" t="s">
        <v>2102</v>
      </c>
      <c r="I53" t="s">
        <v>1436</v>
      </c>
      <c r="J53" t="s">
        <v>217</v>
      </c>
    </row>
    <row r="54" spans="1:10" x14ac:dyDescent="0.25">
      <c r="A54" t="s">
        <v>40</v>
      </c>
      <c r="B54">
        <v>76</v>
      </c>
      <c r="C54" t="s">
        <v>2073</v>
      </c>
      <c r="D54" t="s">
        <v>2098</v>
      </c>
      <c r="E54" t="s">
        <v>2099</v>
      </c>
      <c r="F54" t="s">
        <v>2100</v>
      </c>
      <c r="G54" t="s">
        <v>2101</v>
      </c>
      <c r="H54" t="s">
        <v>2102</v>
      </c>
      <c r="I54" t="s">
        <v>1436</v>
      </c>
      <c r="J54" t="s">
        <v>217</v>
      </c>
    </row>
    <row r="55" spans="1:10" x14ac:dyDescent="0.25">
      <c r="A55" t="s">
        <v>34</v>
      </c>
      <c r="B55">
        <v>20</v>
      </c>
      <c r="C55" t="s">
        <v>2073</v>
      </c>
      <c r="D55" t="s">
        <v>2098</v>
      </c>
      <c r="E55" t="s">
        <v>2099</v>
      </c>
      <c r="F55" t="s">
        <v>2100</v>
      </c>
      <c r="G55" t="s">
        <v>2101</v>
      </c>
      <c r="H55" t="s">
        <v>2102</v>
      </c>
      <c r="I55" t="s">
        <v>1436</v>
      </c>
      <c r="J55" t="s">
        <v>217</v>
      </c>
    </row>
    <row r="56" spans="1:10" x14ac:dyDescent="0.25">
      <c r="A56" t="s">
        <v>42</v>
      </c>
      <c r="B56">
        <v>28</v>
      </c>
      <c r="C56" t="s">
        <v>2073</v>
      </c>
      <c r="D56" t="s">
        <v>2098</v>
      </c>
      <c r="E56" t="s">
        <v>2099</v>
      </c>
      <c r="F56" t="s">
        <v>2100</v>
      </c>
      <c r="G56" t="s">
        <v>2101</v>
      </c>
      <c r="H56" t="s">
        <v>2102</v>
      </c>
      <c r="I56" t="s">
        <v>1436</v>
      </c>
      <c r="J56" t="s">
        <v>217</v>
      </c>
    </row>
    <row r="57" spans="1:10" x14ac:dyDescent="0.25">
      <c r="A57" t="s">
        <v>37</v>
      </c>
      <c r="B57">
        <v>30</v>
      </c>
      <c r="C57" t="s">
        <v>2073</v>
      </c>
      <c r="D57" t="s">
        <v>2098</v>
      </c>
      <c r="E57" t="s">
        <v>2099</v>
      </c>
      <c r="F57" t="s">
        <v>2100</v>
      </c>
      <c r="G57" t="s">
        <v>2101</v>
      </c>
      <c r="H57" t="s">
        <v>2102</v>
      </c>
      <c r="I57" t="s">
        <v>1436</v>
      </c>
      <c r="J57" t="s">
        <v>217</v>
      </c>
    </row>
    <row r="58" spans="1:10" x14ac:dyDescent="0.25">
      <c r="A58" t="s">
        <v>18</v>
      </c>
      <c r="B58">
        <v>34</v>
      </c>
      <c r="C58" t="s">
        <v>2073</v>
      </c>
      <c r="D58" t="s">
        <v>2098</v>
      </c>
      <c r="E58" t="s">
        <v>2099</v>
      </c>
      <c r="F58" t="s">
        <v>2100</v>
      </c>
      <c r="G58" t="s">
        <v>2101</v>
      </c>
      <c r="H58" t="s">
        <v>2102</v>
      </c>
      <c r="I58" t="s">
        <v>1436</v>
      </c>
      <c r="J58" t="s">
        <v>217</v>
      </c>
    </row>
    <row r="59" spans="1:10" x14ac:dyDescent="0.25">
      <c r="A59" t="s">
        <v>89</v>
      </c>
      <c r="B59">
        <v>45</v>
      </c>
      <c r="C59" t="s">
        <v>2073</v>
      </c>
      <c r="D59" t="s">
        <v>2098</v>
      </c>
      <c r="E59" t="s">
        <v>2099</v>
      </c>
      <c r="F59" t="s">
        <v>2100</v>
      </c>
      <c r="G59" t="s">
        <v>2101</v>
      </c>
      <c r="H59" t="s">
        <v>2102</v>
      </c>
      <c r="I59" t="s">
        <v>1436</v>
      </c>
      <c r="J59" t="s">
        <v>217</v>
      </c>
    </row>
    <row r="60" spans="1:10" x14ac:dyDescent="0.25">
      <c r="A60" t="s">
        <v>10</v>
      </c>
      <c r="B60">
        <v>70</v>
      </c>
      <c r="C60" t="s">
        <v>2073</v>
      </c>
      <c r="D60" t="s">
        <v>2098</v>
      </c>
      <c r="E60" t="s">
        <v>2099</v>
      </c>
      <c r="F60" t="s">
        <v>2100</v>
      </c>
      <c r="G60" t="s">
        <v>2101</v>
      </c>
      <c r="H60" t="s">
        <v>2102</v>
      </c>
      <c r="I60" t="s">
        <v>1436</v>
      </c>
      <c r="J60" t="s">
        <v>217</v>
      </c>
    </row>
    <row r="61" spans="1:10" x14ac:dyDescent="0.25">
      <c r="A61" t="s">
        <v>17</v>
      </c>
      <c r="B61">
        <v>8</v>
      </c>
      <c r="C61" t="s">
        <v>2073</v>
      </c>
      <c r="D61" t="s">
        <v>2098</v>
      </c>
      <c r="E61" t="s">
        <v>2099</v>
      </c>
      <c r="F61" t="s">
        <v>2100</v>
      </c>
      <c r="G61" t="s">
        <v>2101</v>
      </c>
      <c r="H61" t="s">
        <v>2102</v>
      </c>
      <c r="I61" t="s">
        <v>1436</v>
      </c>
      <c r="J61" t="s">
        <v>217</v>
      </c>
    </row>
    <row r="62" spans="1:10" x14ac:dyDescent="0.25">
      <c r="A62" t="s">
        <v>66</v>
      </c>
      <c r="B62">
        <v>17</v>
      </c>
      <c r="C62" t="s">
        <v>2073</v>
      </c>
      <c r="D62" t="s">
        <v>2098</v>
      </c>
      <c r="E62" t="s">
        <v>2099</v>
      </c>
      <c r="F62" t="s">
        <v>2100</v>
      </c>
      <c r="G62" t="s">
        <v>2101</v>
      </c>
      <c r="H62" t="s">
        <v>2102</v>
      </c>
      <c r="I62" t="s">
        <v>1436</v>
      </c>
      <c r="J62" t="s">
        <v>217</v>
      </c>
    </row>
    <row r="63" spans="1:10" x14ac:dyDescent="0.25">
      <c r="A63" t="s">
        <v>9</v>
      </c>
      <c r="B63">
        <v>33</v>
      </c>
      <c r="C63" t="s">
        <v>2073</v>
      </c>
      <c r="D63" t="s">
        <v>2098</v>
      </c>
      <c r="E63" t="s">
        <v>2099</v>
      </c>
      <c r="F63" t="s">
        <v>2100</v>
      </c>
      <c r="G63" t="s">
        <v>2101</v>
      </c>
      <c r="H63" t="s">
        <v>2102</v>
      </c>
      <c r="I63" t="s">
        <v>1436</v>
      </c>
      <c r="J63" t="s">
        <v>217</v>
      </c>
    </row>
    <row r="64" spans="1:10" x14ac:dyDescent="0.25">
      <c r="A64" t="s">
        <v>33</v>
      </c>
      <c r="B64">
        <v>19</v>
      </c>
      <c r="C64" t="s">
        <v>2073</v>
      </c>
      <c r="D64" t="s">
        <v>2098</v>
      </c>
      <c r="E64" t="s">
        <v>2099</v>
      </c>
      <c r="F64" t="s">
        <v>2100</v>
      </c>
      <c r="G64" t="s">
        <v>2101</v>
      </c>
      <c r="H64" t="s">
        <v>2102</v>
      </c>
      <c r="I64" t="s">
        <v>1436</v>
      </c>
      <c r="J64" t="s">
        <v>217</v>
      </c>
    </row>
    <row r="65" spans="1:10" x14ac:dyDescent="0.25">
      <c r="A65" t="s">
        <v>25</v>
      </c>
      <c r="B65">
        <v>44</v>
      </c>
      <c r="C65" t="s">
        <v>2073</v>
      </c>
      <c r="D65" t="s">
        <v>2098</v>
      </c>
      <c r="E65" t="s">
        <v>2099</v>
      </c>
      <c r="F65" t="s">
        <v>2100</v>
      </c>
      <c r="G65" t="s">
        <v>2101</v>
      </c>
      <c r="H65" t="s">
        <v>2102</v>
      </c>
      <c r="I65" t="s">
        <v>1436</v>
      </c>
      <c r="J65" t="s">
        <v>217</v>
      </c>
    </row>
    <row r="66" spans="1:10" x14ac:dyDescent="0.25">
      <c r="A66" t="s">
        <v>29</v>
      </c>
      <c r="B66">
        <v>74</v>
      </c>
      <c r="C66" t="s">
        <v>2073</v>
      </c>
      <c r="D66" t="s">
        <v>2098</v>
      </c>
      <c r="E66" t="s">
        <v>2099</v>
      </c>
      <c r="F66" t="s">
        <v>2100</v>
      </c>
      <c r="G66" t="s">
        <v>2101</v>
      </c>
      <c r="H66" t="s">
        <v>2102</v>
      </c>
      <c r="I66" t="s">
        <v>1436</v>
      </c>
      <c r="J66" t="s">
        <v>217</v>
      </c>
    </row>
    <row r="67" spans="1:10" x14ac:dyDescent="0.25">
      <c r="A67" t="s">
        <v>32</v>
      </c>
      <c r="B67">
        <v>17</v>
      </c>
      <c r="C67" t="s">
        <v>2073</v>
      </c>
      <c r="D67" t="s">
        <v>2098</v>
      </c>
      <c r="E67" t="s">
        <v>2099</v>
      </c>
      <c r="F67" t="s">
        <v>2100</v>
      </c>
      <c r="G67" t="s">
        <v>2101</v>
      </c>
      <c r="H67" t="s">
        <v>2102</v>
      </c>
      <c r="I67" t="s">
        <v>1436</v>
      </c>
      <c r="J67" t="s">
        <v>217</v>
      </c>
    </row>
    <row r="68" spans="1:10" x14ac:dyDescent="0.25">
      <c r="A68" t="s">
        <v>65</v>
      </c>
      <c r="B68">
        <v>47</v>
      </c>
      <c r="C68" t="s">
        <v>2073</v>
      </c>
      <c r="D68" t="s">
        <v>2098</v>
      </c>
      <c r="E68" t="s">
        <v>2099</v>
      </c>
      <c r="F68" t="s">
        <v>2100</v>
      </c>
      <c r="G68" t="s">
        <v>2101</v>
      </c>
      <c r="H68" t="s">
        <v>2102</v>
      </c>
      <c r="I68" t="s">
        <v>1436</v>
      </c>
      <c r="J68" t="s">
        <v>217</v>
      </c>
    </row>
    <row r="69" spans="1:10" x14ac:dyDescent="0.25">
      <c r="A69" t="s">
        <v>59</v>
      </c>
      <c r="B69">
        <v>18</v>
      </c>
      <c r="C69" t="s">
        <v>2073</v>
      </c>
      <c r="D69" t="s">
        <v>2098</v>
      </c>
      <c r="E69" t="s">
        <v>2099</v>
      </c>
      <c r="F69" t="s">
        <v>2100</v>
      </c>
      <c r="G69" t="s">
        <v>2101</v>
      </c>
      <c r="H69" t="s">
        <v>2102</v>
      </c>
      <c r="I69" t="s">
        <v>1436</v>
      </c>
      <c r="J69" t="s">
        <v>217</v>
      </c>
    </row>
    <row r="70" spans="1:10" x14ac:dyDescent="0.25">
      <c r="A70" t="s">
        <v>45</v>
      </c>
      <c r="B70">
        <v>35</v>
      </c>
      <c r="C70" t="s">
        <v>2073</v>
      </c>
      <c r="D70" t="s">
        <v>2098</v>
      </c>
      <c r="E70" t="s">
        <v>2099</v>
      </c>
      <c r="F70" t="s">
        <v>2100</v>
      </c>
      <c r="G70" t="s">
        <v>2101</v>
      </c>
      <c r="H70" t="s">
        <v>2102</v>
      </c>
      <c r="I70" t="s">
        <v>1436</v>
      </c>
      <c r="J70" t="s">
        <v>217</v>
      </c>
    </row>
    <row r="71" spans="1:10" x14ac:dyDescent="0.25">
      <c r="A71" t="s">
        <v>15</v>
      </c>
      <c r="B71">
        <v>23</v>
      </c>
      <c r="C71" t="s">
        <v>2073</v>
      </c>
      <c r="D71" t="s">
        <v>2098</v>
      </c>
      <c r="E71" t="s">
        <v>2099</v>
      </c>
      <c r="F71" t="s">
        <v>2100</v>
      </c>
      <c r="G71" t="s">
        <v>2101</v>
      </c>
      <c r="H71" t="s">
        <v>2102</v>
      </c>
      <c r="I71" t="s">
        <v>1436</v>
      </c>
      <c r="J71" t="s">
        <v>217</v>
      </c>
    </row>
    <row r="72" spans="1:10" x14ac:dyDescent="0.25">
      <c r="A72" t="s">
        <v>22</v>
      </c>
      <c r="B72">
        <v>28</v>
      </c>
      <c r="C72" t="s">
        <v>2073</v>
      </c>
      <c r="D72" t="s">
        <v>2098</v>
      </c>
      <c r="E72" t="s">
        <v>2099</v>
      </c>
      <c r="F72" t="s">
        <v>2100</v>
      </c>
      <c r="G72" t="s">
        <v>2101</v>
      </c>
      <c r="H72" t="s">
        <v>2102</v>
      </c>
      <c r="I72" t="s">
        <v>1436</v>
      </c>
      <c r="J72" t="s">
        <v>217</v>
      </c>
    </row>
    <row r="73" spans="1:10" x14ac:dyDescent="0.25">
      <c r="A73" t="s">
        <v>26</v>
      </c>
      <c r="B73">
        <v>35</v>
      </c>
      <c r="C73" t="s">
        <v>2073</v>
      </c>
      <c r="D73" t="s">
        <v>2098</v>
      </c>
      <c r="E73" t="s">
        <v>2099</v>
      </c>
      <c r="F73" t="s">
        <v>2100</v>
      </c>
      <c r="G73" t="s">
        <v>2101</v>
      </c>
      <c r="H73" t="s">
        <v>2102</v>
      </c>
      <c r="I73" t="s">
        <v>1436</v>
      </c>
      <c r="J73" t="s">
        <v>217</v>
      </c>
    </row>
    <row r="74" spans="1:10" x14ac:dyDescent="0.25">
      <c r="A74" t="s">
        <v>14</v>
      </c>
      <c r="B74">
        <v>32</v>
      </c>
      <c r="C74" t="s">
        <v>2073</v>
      </c>
      <c r="D74" t="s">
        <v>2098</v>
      </c>
      <c r="E74" t="s">
        <v>2099</v>
      </c>
      <c r="F74" t="s">
        <v>2100</v>
      </c>
      <c r="G74" t="s">
        <v>2101</v>
      </c>
      <c r="H74" t="s">
        <v>2102</v>
      </c>
      <c r="I74" t="s">
        <v>1436</v>
      </c>
      <c r="J74" t="s">
        <v>217</v>
      </c>
    </row>
    <row r="75" spans="1:10" x14ac:dyDescent="0.25">
      <c r="A75" t="s">
        <v>67</v>
      </c>
      <c r="B75">
        <v>47</v>
      </c>
      <c r="C75" t="s">
        <v>2073</v>
      </c>
      <c r="D75" t="s">
        <v>2098</v>
      </c>
      <c r="E75" t="s">
        <v>2099</v>
      </c>
      <c r="F75" t="s">
        <v>2100</v>
      </c>
      <c r="G75" t="s">
        <v>2101</v>
      </c>
      <c r="H75" t="s">
        <v>2102</v>
      </c>
      <c r="I75" t="s">
        <v>1436</v>
      </c>
      <c r="J75" t="s">
        <v>217</v>
      </c>
    </row>
    <row r="76" spans="1:10" x14ac:dyDescent="0.25">
      <c r="A76" t="s">
        <v>24</v>
      </c>
      <c r="B76">
        <v>54</v>
      </c>
      <c r="C76" t="s">
        <v>2073</v>
      </c>
      <c r="D76" t="s">
        <v>2098</v>
      </c>
      <c r="E76" t="s">
        <v>2099</v>
      </c>
      <c r="F76" t="s">
        <v>2100</v>
      </c>
      <c r="G76" t="s">
        <v>2101</v>
      </c>
      <c r="H76" t="s">
        <v>2102</v>
      </c>
      <c r="I76" t="s">
        <v>1436</v>
      </c>
      <c r="J76" t="s">
        <v>217</v>
      </c>
    </row>
    <row r="77" spans="1:10" x14ac:dyDescent="0.25">
      <c r="A77" t="s">
        <v>36</v>
      </c>
      <c r="B77">
        <v>8</v>
      </c>
      <c r="C77" t="s">
        <v>2073</v>
      </c>
      <c r="D77" t="s">
        <v>2098</v>
      </c>
      <c r="E77" t="s">
        <v>2099</v>
      </c>
      <c r="F77" t="s">
        <v>2100</v>
      </c>
      <c r="G77" t="s">
        <v>2101</v>
      </c>
      <c r="H77" t="s">
        <v>2102</v>
      </c>
      <c r="I77" t="s">
        <v>1436</v>
      </c>
      <c r="J77" t="s">
        <v>217</v>
      </c>
    </row>
    <row r="78" spans="1:10" x14ac:dyDescent="0.25">
      <c r="A78" t="s">
        <v>60</v>
      </c>
      <c r="B78">
        <v>15</v>
      </c>
      <c r="C78" t="s">
        <v>2073</v>
      </c>
      <c r="D78" t="s">
        <v>2098</v>
      </c>
      <c r="E78" t="s">
        <v>2099</v>
      </c>
      <c r="F78" t="s">
        <v>2100</v>
      </c>
      <c r="G78" t="s">
        <v>2101</v>
      </c>
      <c r="H78" t="s">
        <v>2102</v>
      </c>
      <c r="I78" t="s">
        <v>1436</v>
      </c>
      <c r="J78" t="s">
        <v>217</v>
      </c>
    </row>
    <row r="79" spans="1:10" x14ac:dyDescent="0.25">
      <c r="A79" t="s">
        <v>91</v>
      </c>
      <c r="B79">
        <v>18</v>
      </c>
      <c r="C79" t="s">
        <v>2073</v>
      </c>
      <c r="D79" t="s">
        <v>2098</v>
      </c>
      <c r="E79" t="s">
        <v>2099</v>
      </c>
      <c r="F79" t="s">
        <v>2100</v>
      </c>
      <c r="G79" t="s">
        <v>2101</v>
      </c>
      <c r="H79" t="s">
        <v>2102</v>
      </c>
      <c r="I79" t="s">
        <v>1436</v>
      </c>
      <c r="J79" t="s">
        <v>217</v>
      </c>
    </row>
    <row r="80" spans="1:10" x14ac:dyDescent="0.25">
      <c r="A80" t="s">
        <v>85</v>
      </c>
      <c r="B80">
        <v>23</v>
      </c>
      <c r="C80" t="s">
        <v>2073</v>
      </c>
      <c r="D80" t="s">
        <v>2098</v>
      </c>
      <c r="E80" t="s">
        <v>2099</v>
      </c>
      <c r="F80" t="s">
        <v>2100</v>
      </c>
      <c r="G80" t="s">
        <v>2101</v>
      </c>
      <c r="H80" t="s">
        <v>2102</v>
      </c>
      <c r="I80" t="s">
        <v>1436</v>
      </c>
      <c r="J80" t="s">
        <v>217</v>
      </c>
    </row>
    <row r="81" spans="1:10" x14ac:dyDescent="0.25">
      <c r="A81" t="s">
        <v>52</v>
      </c>
      <c r="B81">
        <v>11</v>
      </c>
      <c r="C81" t="s">
        <v>2073</v>
      </c>
      <c r="D81" t="s">
        <v>2098</v>
      </c>
      <c r="E81" t="s">
        <v>2099</v>
      </c>
      <c r="F81" t="s">
        <v>2100</v>
      </c>
      <c r="G81" t="s">
        <v>2101</v>
      </c>
      <c r="H81" t="s">
        <v>2102</v>
      </c>
      <c r="I81" t="s">
        <v>1436</v>
      </c>
      <c r="J81" t="s">
        <v>217</v>
      </c>
    </row>
    <row r="82" spans="1:10" x14ac:dyDescent="0.25">
      <c r="A82" t="s">
        <v>53</v>
      </c>
      <c r="B82">
        <v>55</v>
      </c>
      <c r="C82" t="s">
        <v>2073</v>
      </c>
      <c r="D82" t="s">
        <v>2098</v>
      </c>
      <c r="E82" t="s">
        <v>2099</v>
      </c>
      <c r="F82" t="s">
        <v>2100</v>
      </c>
      <c r="G82" t="s">
        <v>2101</v>
      </c>
      <c r="H82" t="s">
        <v>2102</v>
      </c>
      <c r="I82" t="s">
        <v>1436</v>
      </c>
      <c r="J82" t="s">
        <v>217</v>
      </c>
    </row>
    <row r="83" spans="1:10" x14ac:dyDescent="0.25">
      <c r="A83" t="s">
        <v>76</v>
      </c>
      <c r="B83">
        <v>104</v>
      </c>
      <c r="C83" t="s">
        <v>2073</v>
      </c>
      <c r="D83" t="s">
        <v>2098</v>
      </c>
      <c r="E83" t="s">
        <v>2099</v>
      </c>
      <c r="F83" t="s">
        <v>2100</v>
      </c>
      <c r="G83" t="s">
        <v>2101</v>
      </c>
      <c r="H83" t="s">
        <v>2102</v>
      </c>
      <c r="I83" t="s">
        <v>1436</v>
      </c>
      <c r="J83" t="s">
        <v>217</v>
      </c>
    </row>
    <row r="84" spans="1:10" x14ac:dyDescent="0.25">
      <c r="A84" t="s">
        <v>90</v>
      </c>
      <c r="B84">
        <v>40</v>
      </c>
      <c r="C84" t="s">
        <v>2073</v>
      </c>
      <c r="D84" t="s">
        <v>2098</v>
      </c>
      <c r="E84" t="s">
        <v>2099</v>
      </c>
      <c r="F84" t="s">
        <v>2100</v>
      </c>
      <c r="G84" t="s">
        <v>2101</v>
      </c>
      <c r="H84" t="s">
        <v>2102</v>
      </c>
      <c r="I84" t="s">
        <v>1436</v>
      </c>
      <c r="J84" t="s">
        <v>217</v>
      </c>
    </row>
    <row r="85" spans="1:10" x14ac:dyDescent="0.25">
      <c r="A85" t="s">
        <v>16</v>
      </c>
      <c r="B85">
        <v>83</v>
      </c>
      <c r="C85" t="s">
        <v>2073</v>
      </c>
      <c r="D85" t="s">
        <v>2098</v>
      </c>
      <c r="E85" t="s">
        <v>2099</v>
      </c>
      <c r="F85" t="s">
        <v>2100</v>
      </c>
      <c r="G85" t="s">
        <v>2101</v>
      </c>
      <c r="H85" t="s">
        <v>2102</v>
      </c>
      <c r="I85" t="s">
        <v>1436</v>
      </c>
      <c r="J85" t="s">
        <v>217</v>
      </c>
    </row>
    <row r="86" spans="1:10" x14ac:dyDescent="0.25">
      <c r="A86" t="s">
        <v>82</v>
      </c>
      <c r="B86">
        <v>94</v>
      </c>
      <c r="C86" t="s">
        <v>2073</v>
      </c>
      <c r="D86" t="s">
        <v>2098</v>
      </c>
      <c r="E86" t="s">
        <v>2099</v>
      </c>
      <c r="F86" t="s">
        <v>2100</v>
      </c>
      <c r="G86" t="s">
        <v>2101</v>
      </c>
      <c r="H86" t="s">
        <v>2102</v>
      </c>
      <c r="I86" t="s">
        <v>1436</v>
      </c>
      <c r="J86" t="s">
        <v>217</v>
      </c>
    </row>
    <row r="87" spans="1:10" x14ac:dyDescent="0.25">
      <c r="A87" t="s">
        <v>38</v>
      </c>
      <c r="B87">
        <v>39</v>
      </c>
      <c r="C87" t="s">
        <v>2073</v>
      </c>
      <c r="D87" t="s">
        <v>2098</v>
      </c>
      <c r="E87" t="s">
        <v>2099</v>
      </c>
      <c r="F87" t="s">
        <v>2100</v>
      </c>
      <c r="G87" t="s">
        <v>2101</v>
      </c>
      <c r="H87" t="s">
        <v>2102</v>
      </c>
      <c r="I87" t="s">
        <v>1436</v>
      </c>
      <c r="J87" t="s">
        <v>217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839"/>
  <sheetViews>
    <sheetView zoomScaleNormal="100" workbookViewId="0">
      <pane ySplit="1" topLeftCell="A99" activePane="bottomLeft" state="frozen"/>
      <selection pane="bottomLeft" activeCell="D2" sqref="D2"/>
    </sheetView>
  </sheetViews>
  <sheetFormatPr baseColWidth="10" defaultColWidth="11.453125" defaultRowHeight="12.5" x14ac:dyDescent="0.25"/>
  <cols>
    <col min="1" max="1" width="8.81640625" customWidth="1"/>
    <col min="2" max="2" width="31.81640625" customWidth="1"/>
    <col min="3" max="3" width="6.453125" customWidth="1"/>
    <col min="4" max="4" width="168.36328125" customWidth="1"/>
  </cols>
  <sheetData>
    <row r="1" spans="1:4" s="3" customFormat="1" ht="13" x14ac:dyDescent="0.3">
      <c r="A1" s="3" t="s">
        <v>0</v>
      </c>
      <c r="B1" s="3" t="s">
        <v>181</v>
      </c>
      <c r="C1" s="3" t="s">
        <v>182</v>
      </c>
      <c r="D1" s="3" t="s">
        <v>183</v>
      </c>
    </row>
    <row r="2" spans="1:4" x14ac:dyDescent="0.25">
      <c r="A2" t="s">
        <v>6</v>
      </c>
      <c r="B2" t="s">
        <v>248</v>
      </c>
      <c r="C2">
        <v>619</v>
      </c>
      <c r="D2" t="s">
        <v>249</v>
      </c>
    </row>
    <row r="3" spans="1:4" x14ac:dyDescent="0.25">
      <c r="A3" t="s">
        <v>6</v>
      </c>
      <c r="B3" t="s">
        <v>250</v>
      </c>
      <c r="C3">
        <v>459</v>
      </c>
      <c r="D3" t="s">
        <v>249</v>
      </c>
    </row>
    <row r="4" spans="1:4" x14ac:dyDescent="0.25">
      <c r="A4" t="s">
        <v>6</v>
      </c>
      <c r="B4" t="s">
        <v>251</v>
      </c>
      <c r="C4">
        <v>87</v>
      </c>
      <c r="D4" t="s">
        <v>249</v>
      </c>
    </row>
    <row r="5" spans="1:4" x14ac:dyDescent="0.25">
      <c r="A5" t="s">
        <v>6</v>
      </c>
      <c r="B5" t="s">
        <v>252</v>
      </c>
      <c r="C5">
        <v>77</v>
      </c>
      <c r="D5" t="s">
        <v>249</v>
      </c>
    </row>
    <row r="6" spans="1:4" x14ac:dyDescent="0.25">
      <c r="A6" t="s">
        <v>6</v>
      </c>
      <c r="B6" t="s">
        <v>253</v>
      </c>
      <c r="C6">
        <v>67</v>
      </c>
      <c r="D6" t="s">
        <v>249</v>
      </c>
    </row>
    <row r="7" spans="1:4" x14ac:dyDescent="0.25">
      <c r="A7" t="s">
        <v>6</v>
      </c>
      <c r="B7" t="s">
        <v>254</v>
      </c>
      <c r="C7">
        <v>57</v>
      </c>
      <c r="D7" t="s">
        <v>249</v>
      </c>
    </row>
    <row r="8" spans="1:4" x14ac:dyDescent="0.25">
      <c r="A8" t="s">
        <v>7</v>
      </c>
      <c r="B8" t="s">
        <v>248</v>
      </c>
      <c r="C8">
        <v>107</v>
      </c>
      <c r="D8" t="s">
        <v>249</v>
      </c>
    </row>
    <row r="9" spans="1:4" x14ac:dyDescent="0.25">
      <c r="A9" t="s">
        <v>7</v>
      </c>
      <c r="B9" t="s">
        <v>250</v>
      </c>
      <c r="C9">
        <v>46</v>
      </c>
      <c r="D9" t="s">
        <v>249</v>
      </c>
    </row>
    <row r="10" spans="1:4" x14ac:dyDescent="0.25">
      <c r="A10" t="s">
        <v>7</v>
      </c>
      <c r="B10" t="s">
        <v>255</v>
      </c>
      <c r="C10">
        <v>17</v>
      </c>
      <c r="D10" t="s">
        <v>249</v>
      </c>
    </row>
    <row r="11" spans="1:4" x14ac:dyDescent="0.25">
      <c r="A11" t="s">
        <v>7</v>
      </c>
      <c r="B11" t="s">
        <v>252</v>
      </c>
      <c r="C11">
        <v>9</v>
      </c>
      <c r="D11" t="s">
        <v>249</v>
      </c>
    </row>
    <row r="12" spans="1:4" x14ac:dyDescent="0.25">
      <c r="A12" t="s">
        <v>8</v>
      </c>
      <c r="B12" t="s">
        <v>248</v>
      </c>
      <c r="C12">
        <v>155</v>
      </c>
      <c r="D12" t="s">
        <v>249</v>
      </c>
    </row>
    <row r="13" spans="1:4" x14ac:dyDescent="0.25">
      <c r="A13" t="s">
        <v>8</v>
      </c>
      <c r="B13" t="s">
        <v>251</v>
      </c>
      <c r="C13">
        <v>130</v>
      </c>
      <c r="D13" t="s">
        <v>249</v>
      </c>
    </row>
    <row r="14" spans="1:4" x14ac:dyDescent="0.25">
      <c r="A14" t="s">
        <v>8</v>
      </c>
      <c r="B14" t="s">
        <v>256</v>
      </c>
      <c r="C14">
        <v>82</v>
      </c>
      <c r="D14" t="s">
        <v>249</v>
      </c>
    </row>
    <row r="15" spans="1:4" x14ac:dyDescent="0.25">
      <c r="A15" t="s">
        <v>8</v>
      </c>
      <c r="B15" t="s">
        <v>253</v>
      </c>
      <c r="C15">
        <v>79</v>
      </c>
      <c r="D15" t="s">
        <v>249</v>
      </c>
    </row>
    <row r="16" spans="1:4" x14ac:dyDescent="0.25">
      <c r="A16" t="s">
        <v>8</v>
      </c>
      <c r="B16" t="s">
        <v>257</v>
      </c>
      <c r="C16">
        <v>55</v>
      </c>
      <c r="D16" t="s">
        <v>249</v>
      </c>
    </row>
    <row r="17" spans="1:4" x14ac:dyDescent="0.25">
      <c r="A17" t="s">
        <v>8</v>
      </c>
      <c r="B17" t="s">
        <v>258</v>
      </c>
      <c r="C17">
        <v>51</v>
      </c>
      <c r="D17" t="s">
        <v>249</v>
      </c>
    </row>
    <row r="18" spans="1:4" x14ac:dyDescent="0.25">
      <c r="A18" t="s">
        <v>9</v>
      </c>
      <c r="B18" t="s">
        <v>259</v>
      </c>
      <c r="C18">
        <v>36</v>
      </c>
      <c r="D18" t="s">
        <v>249</v>
      </c>
    </row>
    <row r="19" spans="1:4" x14ac:dyDescent="0.25">
      <c r="A19" t="s">
        <v>9</v>
      </c>
      <c r="B19" t="s">
        <v>251</v>
      </c>
      <c r="C19">
        <v>16</v>
      </c>
      <c r="D19" t="s">
        <v>249</v>
      </c>
    </row>
    <row r="20" spans="1:4" x14ac:dyDescent="0.25">
      <c r="A20" t="s">
        <v>9</v>
      </c>
      <c r="B20" t="s">
        <v>260</v>
      </c>
      <c r="C20">
        <v>13</v>
      </c>
      <c r="D20" t="s">
        <v>249</v>
      </c>
    </row>
    <row r="21" spans="1:4" x14ac:dyDescent="0.25">
      <c r="A21" t="s">
        <v>9</v>
      </c>
      <c r="B21" t="s">
        <v>258</v>
      </c>
      <c r="C21">
        <v>10</v>
      </c>
      <c r="D21" t="s">
        <v>249</v>
      </c>
    </row>
    <row r="22" spans="1:4" x14ac:dyDescent="0.25">
      <c r="A22" t="s">
        <v>9</v>
      </c>
      <c r="B22" t="s">
        <v>261</v>
      </c>
      <c r="C22">
        <v>9</v>
      </c>
      <c r="D22" t="s">
        <v>249</v>
      </c>
    </row>
    <row r="23" spans="1:4" x14ac:dyDescent="0.25">
      <c r="A23" t="s">
        <v>9</v>
      </c>
      <c r="B23" t="s">
        <v>262</v>
      </c>
      <c r="C23">
        <v>2</v>
      </c>
      <c r="D23" t="s">
        <v>249</v>
      </c>
    </row>
    <row r="24" spans="1:4" x14ac:dyDescent="0.25">
      <c r="A24" t="s">
        <v>10</v>
      </c>
      <c r="B24" t="s">
        <v>263</v>
      </c>
      <c r="C24">
        <v>96</v>
      </c>
      <c r="D24" t="s">
        <v>249</v>
      </c>
    </row>
    <row r="25" spans="1:4" x14ac:dyDescent="0.25">
      <c r="A25" t="s">
        <v>10</v>
      </c>
      <c r="B25" t="s">
        <v>248</v>
      </c>
      <c r="C25">
        <v>93</v>
      </c>
      <c r="D25" t="s">
        <v>249</v>
      </c>
    </row>
    <row r="26" spans="1:4" x14ac:dyDescent="0.25">
      <c r="A26" t="s">
        <v>10</v>
      </c>
      <c r="B26" t="s">
        <v>257</v>
      </c>
      <c r="C26">
        <v>68</v>
      </c>
      <c r="D26" t="s">
        <v>249</v>
      </c>
    </row>
    <row r="27" spans="1:4" x14ac:dyDescent="0.25">
      <c r="A27" t="s">
        <v>10</v>
      </c>
      <c r="B27" t="s">
        <v>250</v>
      </c>
      <c r="C27">
        <v>54</v>
      </c>
      <c r="D27" t="s">
        <v>249</v>
      </c>
    </row>
    <row r="28" spans="1:4" x14ac:dyDescent="0.25">
      <c r="A28" t="s">
        <v>11</v>
      </c>
      <c r="B28" t="s">
        <v>253</v>
      </c>
      <c r="C28">
        <v>29</v>
      </c>
      <c r="D28" t="s">
        <v>249</v>
      </c>
    </row>
    <row r="29" spans="1:4" x14ac:dyDescent="0.25">
      <c r="A29" t="s">
        <v>11</v>
      </c>
      <c r="B29" t="s">
        <v>264</v>
      </c>
      <c r="C29">
        <v>15</v>
      </c>
      <c r="D29" t="s">
        <v>249</v>
      </c>
    </row>
    <row r="30" spans="1:4" x14ac:dyDescent="0.25">
      <c r="A30" t="s">
        <v>11</v>
      </c>
      <c r="B30" t="s">
        <v>257</v>
      </c>
      <c r="C30">
        <v>13</v>
      </c>
      <c r="D30" t="s">
        <v>249</v>
      </c>
    </row>
    <row r="31" spans="1:4" x14ac:dyDescent="0.25">
      <c r="A31" t="s">
        <v>11</v>
      </c>
      <c r="B31" t="s">
        <v>252</v>
      </c>
      <c r="C31">
        <v>11</v>
      </c>
      <c r="D31" t="s">
        <v>249</v>
      </c>
    </row>
    <row r="32" spans="1:4" x14ac:dyDescent="0.25">
      <c r="A32" t="s">
        <v>12</v>
      </c>
      <c r="B32" t="s">
        <v>248</v>
      </c>
      <c r="C32">
        <v>944</v>
      </c>
      <c r="D32" t="s">
        <v>249</v>
      </c>
    </row>
    <row r="33" spans="1:4" x14ac:dyDescent="0.25">
      <c r="A33" t="s">
        <v>12</v>
      </c>
      <c r="B33" t="s">
        <v>250</v>
      </c>
      <c r="C33">
        <v>628</v>
      </c>
      <c r="D33" t="s">
        <v>249</v>
      </c>
    </row>
    <row r="34" spans="1:4" x14ac:dyDescent="0.25">
      <c r="A34" t="s">
        <v>12</v>
      </c>
      <c r="B34" t="s">
        <v>265</v>
      </c>
      <c r="C34">
        <v>281</v>
      </c>
      <c r="D34" t="s">
        <v>249</v>
      </c>
    </row>
    <row r="35" spans="1:4" x14ac:dyDescent="0.25">
      <c r="A35" t="s">
        <v>13</v>
      </c>
      <c r="B35" t="s">
        <v>248</v>
      </c>
      <c r="C35">
        <v>79</v>
      </c>
      <c r="D35" t="s">
        <v>249</v>
      </c>
    </row>
    <row r="36" spans="1:4" x14ac:dyDescent="0.25">
      <c r="A36" t="s">
        <v>13</v>
      </c>
      <c r="B36" t="s">
        <v>250</v>
      </c>
      <c r="C36">
        <v>77</v>
      </c>
      <c r="D36" t="s">
        <v>249</v>
      </c>
    </row>
    <row r="37" spans="1:4" x14ac:dyDescent="0.25">
      <c r="A37" t="s">
        <v>13</v>
      </c>
      <c r="B37" t="s">
        <v>257</v>
      </c>
      <c r="C37">
        <v>24</v>
      </c>
      <c r="D37" t="s">
        <v>249</v>
      </c>
    </row>
    <row r="38" spans="1:4" x14ac:dyDescent="0.25">
      <c r="A38" t="s">
        <v>13</v>
      </c>
      <c r="B38" t="s">
        <v>251</v>
      </c>
      <c r="C38">
        <v>12</v>
      </c>
      <c r="D38" t="s">
        <v>249</v>
      </c>
    </row>
    <row r="39" spans="1:4" x14ac:dyDescent="0.25">
      <c r="A39" t="s">
        <v>14</v>
      </c>
      <c r="B39" t="s">
        <v>266</v>
      </c>
      <c r="C39">
        <v>27</v>
      </c>
      <c r="D39" t="s">
        <v>249</v>
      </c>
    </row>
    <row r="40" spans="1:4" x14ac:dyDescent="0.25">
      <c r="A40" t="s">
        <v>14</v>
      </c>
      <c r="B40" t="s">
        <v>251</v>
      </c>
      <c r="C40">
        <v>25</v>
      </c>
      <c r="D40" t="s">
        <v>249</v>
      </c>
    </row>
    <row r="41" spans="1:4" x14ac:dyDescent="0.25">
      <c r="A41" t="s">
        <v>14</v>
      </c>
      <c r="B41" t="s">
        <v>267</v>
      </c>
      <c r="C41">
        <v>6</v>
      </c>
      <c r="D41" t="s">
        <v>249</v>
      </c>
    </row>
    <row r="42" spans="1:4" x14ac:dyDescent="0.25">
      <c r="A42" t="s">
        <v>14</v>
      </c>
      <c r="B42" t="s">
        <v>260</v>
      </c>
      <c r="C42">
        <v>5</v>
      </c>
      <c r="D42" t="s">
        <v>249</v>
      </c>
    </row>
    <row r="43" spans="1:4" x14ac:dyDescent="0.25">
      <c r="A43" t="s">
        <v>14</v>
      </c>
      <c r="B43" t="s">
        <v>261</v>
      </c>
      <c r="C43">
        <v>4</v>
      </c>
      <c r="D43" t="s">
        <v>249</v>
      </c>
    </row>
    <row r="44" spans="1:4" x14ac:dyDescent="0.25">
      <c r="A44" t="s">
        <v>15</v>
      </c>
      <c r="B44" t="s">
        <v>266</v>
      </c>
      <c r="C44">
        <v>62</v>
      </c>
      <c r="D44" t="s">
        <v>249</v>
      </c>
    </row>
    <row r="45" spans="1:4" x14ac:dyDescent="0.25">
      <c r="A45" t="s">
        <v>15</v>
      </c>
      <c r="B45" t="s">
        <v>250</v>
      </c>
      <c r="C45">
        <v>48</v>
      </c>
      <c r="D45" t="s">
        <v>249</v>
      </c>
    </row>
    <row r="46" spans="1:4" x14ac:dyDescent="0.25">
      <c r="A46" t="s">
        <v>15</v>
      </c>
      <c r="B46" t="s">
        <v>268</v>
      </c>
      <c r="C46">
        <v>42</v>
      </c>
      <c r="D46" t="s">
        <v>249</v>
      </c>
    </row>
    <row r="47" spans="1:4" x14ac:dyDescent="0.25">
      <c r="A47" t="s">
        <v>15</v>
      </c>
      <c r="B47" t="s">
        <v>255</v>
      </c>
      <c r="C47">
        <v>23</v>
      </c>
      <c r="D47" t="s">
        <v>249</v>
      </c>
    </row>
    <row r="48" spans="1:4" x14ac:dyDescent="0.25">
      <c r="A48" t="s">
        <v>15</v>
      </c>
      <c r="B48" t="s">
        <v>269</v>
      </c>
      <c r="C48">
        <v>19</v>
      </c>
      <c r="D48" t="s">
        <v>249</v>
      </c>
    </row>
    <row r="49" spans="1:4" x14ac:dyDescent="0.25">
      <c r="A49" t="s">
        <v>15</v>
      </c>
      <c r="B49" t="s">
        <v>270</v>
      </c>
      <c r="C49">
        <v>9</v>
      </c>
      <c r="D49" t="s">
        <v>249</v>
      </c>
    </row>
    <row r="50" spans="1:4" x14ac:dyDescent="0.25">
      <c r="A50" t="s">
        <v>15</v>
      </c>
      <c r="B50" t="s">
        <v>263</v>
      </c>
      <c r="C50">
        <v>8</v>
      </c>
      <c r="D50" t="s">
        <v>249</v>
      </c>
    </row>
    <row r="51" spans="1:4" x14ac:dyDescent="0.25">
      <c r="A51" t="s">
        <v>16</v>
      </c>
      <c r="B51" t="s">
        <v>266</v>
      </c>
      <c r="C51">
        <v>57</v>
      </c>
      <c r="D51" t="s">
        <v>249</v>
      </c>
    </row>
    <row r="52" spans="1:4" x14ac:dyDescent="0.25">
      <c r="A52" t="s">
        <v>16</v>
      </c>
      <c r="B52" t="s">
        <v>250</v>
      </c>
      <c r="C52">
        <v>24</v>
      </c>
      <c r="D52" t="s">
        <v>249</v>
      </c>
    </row>
    <row r="53" spans="1:4" x14ac:dyDescent="0.25">
      <c r="A53" t="s">
        <v>16</v>
      </c>
      <c r="B53" t="s">
        <v>251</v>
      </c>
      <c r="C53">
        <v>16</v>
      </c>
      <c r="D53" t="s">
        <v>249</v>
      </c>
    </row>
    <row r="54" spans="1:4" x14ac:dyDescent="0.25">
      <c r="A54" t="s">
        <v>16</v>
      </c>
      <c r="B54" t="s">
        <v>260</v>
      </c>
      <c r="C54">
        <v>14</v>
      </c>
      <c r="D54" t="s">
        <v>249</v>
      </c>
    </row>
    <row r="55" spans="1:4" x14ac:dyDescent="0.25">
      <c r="A55" t="s">
        <v>16</v>
      </c>
      <c r="B55" t="s">
        <v>258</v>
      </c>
      <c r="C55">
        <v>13</v>
      </c>
      <c r="D55" t="s">
        <v>249</v>
      </c>
    </row>
    <row r="56" spans="1:4" x14ac:dyDescent="0.25">
      <c r="A56" t="s">
        <v>16</v>
      </c>
      <c r="B56" t="s">
        <v>271</v>
      </c>
      <c r="C56">
        <v>3</v>
      </c>
      <c r="D56" t="s">
        <v>249</v>
      </c>
    </row>
    <row r="57" spans="1:4" x14ac:dyDescent="0.25">
      <c r="A57" t="s">
        <v>16</v>
      </c>
      <c r="B57" t="s">
        <v>272</v>
      </c>
      <c r="C57">
        <v>2</v>
      </c>
      <c r="D57" t="s">
        <v>249</v>
      </c>
    </row>
    <row r="58" spans="1:4" x14ac:dyDescent="0.25">
      <c r="A58" t="s">
        <v>17</v>
      </c>
      <c r="B58" t="s">
        <v>259</v>
      </c>
      <c r="C58">
        <v>12</v>
      </c>
      <c r="D58" t="s">
        <v>249</v>
      </c>
    </row>
    <row r="59" spans="1:4" x14ac:dyDescent="0.25">
      <c r="A59" t="s">
        <v>17</v>
      </c>
      <c r="B59" t="s">
        <v>251</v>
      </c>
      <c r="C59">
        <v>9</v>
      </c>
      <c r="D59" t="s">
        <v>249</v>
      </c>
    </row>
    <row r="60" spans="1:4" x14ac:dyDescent="0.25">
      <c r="A60" t="s">
        <v>17</v>
      </c>
      <c r="B60" t="s">
        <v>258</v>
      </c>
      <c r="C60">
        <v>4</v>
      </c>
      <c r="D60" t="s">
        <v>249</v>
      </c>
    </row>
    <row r="61" spans="1:4" x14ac:dyDescent="0.25">
      <c r="A61" t="s">
        <v>18</v>
      </c>
      <c r="B61" t="s">
        <v>259</v>
      </c>
      <c r="C61">
        <v>33</v>
      </c>
      <c r="D61" t="s">
        <v>249</v>
      </c>
    </row>
    <row r="62" spans="1:4" x14ac:dyDescent="0.25">
      <c r="A62" t="s">
        <v>18</v>
      </c>
      <c r="B62" t="s">
        <v>251</v>
      </c>
      <c r="C62">
        <v>29</v>
      </c>
      <c r="D62" t="s">
        <v>249</v>
      </c>
    </row>
    <row r="63" spans="1:4" x14ac:dyDescent="0.25">
      <c r="A63" t="s">
        <v>18</v>
      </c>
      <c r="B63" t="s">
        <v>255</v>
      </c>
      <c r="C63">
        <v>25</v>
      </c>
      <c r="D63" t="s">
        <v>249</v>
      </c>
    </row>
    <row r="64" spans="1:4" x14ac:dyDescent="0.25">
      <c r="A64" t="s">
        <v>18</v>
      </c>
      <c r="B64" t="s">
        <v>273</v>
      </c>
      <c r="C64">
        <v>17</v>
      </c>
      <c r="D64" t="s">
        <v>249</v>
      </c>
    </row>
    <row r="65" spans="1:4" x14ac:dyDescent="0.25">
      <c r="A65" t="s">
        <v>18</v>
      </c>
      <c r="B65" t="s">
        <v>260</v>
      </c>
      <c r="C65">
        <v>10</v>
      </c>
      <c r="D65" t="s">
        <v>249</v>
      </c>
    </row>
    <row r="66" spans="1:4" x14ac:dyDescent="0.25">
      <c r="A66" t="s">
        <v>18</v>
      </c>
      <c r="B66" t="s">
        <v>271</v>
      </c>
      <c r="C66">
        <v>4</v>
      </c>
      <c r="D66" t="s">
        <v>249</v>
      </c>
    </row>
    <row r="67" spans="1:4" x14ac:dyDescent="0.25">
      <c r="A67" t="s">
        <v>19</v>
      </c>
      <c r="B67" t="s">
        <v>266</v>
      </c>
      <c r="C67">
        <v>35</v>
      </c>
      <c r="D67" t="s">
        <v>249</v>
      </c>
    </row>
    <row r="68" spans="1:4" x14ac:dyDescent="0.25">
      <c r="A68" t="s">
        <v>19</v>
      </c>
      <c r="B68" t="s">
        <v>250</v>
      </c>
      <c r="C68">
        <v>32</v>
      </c>
      <c r="D68" t="s">
        <v>249</v>
      </c>
    </row>
    <row r="69" spans="1:4" x14ac:dyDescent="0.25">
      <c r="A69" t="s">
        <v>19</v>
      </c>
      <c r="B69" t="s">
        <v>274</v>
      </c>
      <c r="C69">
        <v>5</v>
      </c>
      <c r="D69" t="s">
        <v>249</v>
      </c>
    </row>
    <row r="70" spans="1:4" x14ac:dyDescent="0.25">
      <c r="A70" t="s">
        <v>19</v>
      </c>
      <c r="B70" t="s">
        <v>270</v>
      </c>
      <c r="C70">
        <v>5</v>
      </c>
      <c r="D70" t="s">
        <v>249</v>
      </c>
    </row>
    <row r="71" spans="1:4" x14ac:dyDescent="0.25">
      <c r="A71" t="s">
        <v>19</v>
      </c>
      <c r="B71" t="s">
        <v>258</v>
      </c>
      <c r="C71">
        <v>3</v>
      </c>
      <c r="D71" t="s">
        <v>249</v>
      </c>
    </row>
    <row r="72" spans="1:4" x14ac:dyDescent="0.25">
      <c r="A72" t="s">
        <v>20</v>
      </c>
      <c r="B72" t="s">
        <v>258</v>
      </c>
      <c r="C72">
        <v>53</v>
      </c>
      <c r="D72" t="s">
        <v>249</v>
      </c>
    </row>
    <row r="73" spans="1:4" x14ac:dyDescent="0.25">
      <c r="A73" t="s">
        <v>21</v>
      </c>
      <c r="B73" t="s">
        <v>273</v>
      </c>
      <c r="C73">
        <v>8</v>
      </c>
      <c r="D73" t="s">
        <v>249</v>
      </c>
    </row>
    <row r="74" spans="1:4" x14ac:dyDescent="0.25">
      <c r="A74" t="s">
        <v>22</v>
      </c>
      <c r="B74" t="s">
        <v>250</v>
      </c>
      <c r="C74">
        <v>27</v>
      </c>
      <c r="D74" t="s">
        <v>249</v>
      </c>
    </row>
    <row r="75" spans="1:4" x14ac:dyDescent="0.25">
      <c r="A75" t="s">
        <v>22</v>
      </c>
      <c r="B75" t="s">
        <v>261</v>
      </c>
      <c r="C75">
        <v>7</v>
      </c>
      <c r="D75" t="s">
        <v>249</v>
      </c>
    </row>
    <row r="76" spans="1:4" x14ac:dyDescent="0.25">
      <c r="A76" t="s">
        <v>22</v>
      </c>
      <c r="B76" t="s">
        <v>275</v>
      </c>
      <c r="C76">
        <v>6</v>
      </c>
      <c r="D76" t="s">
        <v>249</v>
      </c>
    </row>
    <row r="77" spans="1:4" x14ac:dyDescent="0.25">
      <c r="A77" t="s">
        <v>23</v>
      </c>
      <c r="B77" t="s">
        <v>258</v>
      </c>
      <c r="C77">
        <v>319</v>
      </c>
      <c r="D77" t="s">
        <v>249</v>
      </c>
    </row>
    <row r="78" spans="1:4" x14ac:dyDescent="0.25">
      <c r="A78" t="s">
        <v>23</v>
      </c>
      <c r="B78" t="s">
        <v>276</v>
      </c>
      <c r="C78">
        <v>2</v>
      </c>
      <c r="D78" t="s">
        <v>249</v>
      </c>
    </row>
    <row r="79" spans="1:4" x14ac:dyDescent="0.25">
      <c r="A79" t="s">
        <v>24</v>
      </c>
      <c r="B79" t="s">
        <v>251</v>
      </c>
      <c r="C79">
        <v>45</v>
      </c>
      <c r="D79" t="s">
        <v>249</v>
      </c>
    </row>
    <row r="80" spans="1:4" x14ac:dyDescent="0.25">
      <c r="A80" t="s">
        <v>24</v>
      </c>
      <c r="B80" t="s">
        <v>266</v>
      </c>
      <c r="C80">
        <v>44</v>
      </c>
      <c r="D80" t="s">
        <v>249</v>
      </c>
    </row>
    <row r="81" spans="1:4" x14ac:dyDescent="0.25">
      <c r="A81" t="s">
        <v>24</v>
      </c>
      <c r="B81" t="s">
        <v>271</v>
      </c>
      <c r="C81">
        <v>13</v>
      </c>
      <c r="D81" t="s">
        <v>249</v>
      </c>
    </row>
    <row r="82" spans="1:4" x14ac:dyDescent="0.25">
      <c r="A82" t="s">
        <v>24</v>
      </c>
      <c r="B82" t="s">
        <v>261</v>
      </c>
      <c r="C82">
        <v>10</v>
      </c>
      <c r="D82" t="s">
        <v>249</v>
      </c>
    </row>
    <row r="83" spans="1:4" x14ac:dyDescent="0.25">
      <c r="A83" t="s">
        <v>24</v>
      </c>
      <c r="B83" t="s">
        <v>270</v>
      </c>
      <c r="C83">
        <v>6</v>
      </c>
      <c r="D83" t="s">
        <v>249</v>
      </c>
    </row>
    <row r="84" spans="1:4" x14ac:dyDescent="0.25">
      <c r="A84" t="s">
        <v>24</v>
      </c>
      <c r="B84" t="s">
        <v>274</v>
      </c>
      <c r="C84">
        <v>5</v>
      </c>
      <c r="D84" t="s">
        <v>249</v>
      </c>
    </row>
    <row r="85" spans="1:4" x14ac:dyDescent="0.25">
      <c r="A85" t="s">
        <v>25</v>
      </c>
      <c r="B85" t="s">
        <v>255</v>
      </c>
      <c r="C85">
        <v>206</v>
      </c>
      <c r="D85" t="s">
        <v>249</v>
      </c>
    </row>
    <row r="86" spans="1:4" x14ac:dyDescent="0.25">
      <c r="A86" t="s">
        <v>25</v>
      </c>
      <c r="B86" t="s">
        <v>251</v>
      </c>
      <c r="C86">
        <v>202</v>
      </c>
      <c r="D86" t="s">
        <v>249</v>
      </c>
    </row>
    <row r="87" spans="1:4" x14ac:dyDescent="0.25">
      <c r="A87" t="s">
        <v>25</v>
      </c>
      <c r="B87" t="s">
        <v>274</v>
      </c>
      <c r="C87">
        <v>151</v>
      </c>
      <c r="D87" t="s">
        <v>249</v>
      </c>
    </row>
    <row r="88" spans="1:4" x14ac:dyDescent="0.25">
      <c r="A88" t="s">
        <v>25</v>
      </c>
      <c r="B88" t="s">
        <v>269</v>
      </c>
      <c r="C88">
        <v>28</v>
      </c>
      <c r="D88" t="s">
        <v>249</v>
      </c>
    </row>
    <row r="89" spans="1:4" x14ac:dyDescent="0.25">
      <c r="A89" t="s">
        <v>25</v>
      </c>
      <c r="B89" t="s">
        <v>250</v>
      </c>
      <c r="C89">
        <v>19</v>
      </c>
      <c r="D89" t="s">
        <v>249</v>
      </c>
    </row>
    <row r="90" spans="1:4" x14ac:dyDescent="0.25">
      <c r="A90" t="s">
        <v>25</v>
      </c>
      <c r="B90" t="s">
        <v>260</v>
      </c>
      <c r="C90">
        <v>10</v>
      </c>
      <c r="D90" t="s">
        <v>249</v>
      </c>
    </row>
    <row r="91" spans="1:4" x14ac:dyDescent="0.25">
      <c r="A91" t="s">
        <v>25</v>
      </c>
      <c r="B91" t="s">
        <v>258</v>
      </c>
      <c r="C91">
        <v>3</v>
      </c>
      <c r="D91" t="s">
        <v>249</v>
      </c>
    </row>
    <row r="92" spans="1:4" x14ac:dyDescent="0.25">
      <c r="A92" t="s">
        <v>25</v>
      </c>
      <c r="B92" t="s">
        <v>261</v>
      </c>
      <c r="C92">
        <v>2</v>
      </c>
      <c r="D92" t="s">
        <v>249</v>
      </c>
    </row>
    <row r="93" spans="1:4" x14ac:dyDescent="0.25">
      <c r="A93" t="s">
        <v>26</v>
      </c>
      <c r="B93" t="s">
        <v>266</v>
      </c>
      <c r="C93">
        <v>65</v>
      </c>
      <c r="D93" t="s">
        <v>249</v>
      </c>
    </row>
    <row r="94" spans="1:4" x14ac:dyDescent="0.25">
      <c r="A94" t="s">
        <v>26</v>
      </c>
      <c r="B94" t="s">
        <v>251</v>
      </c>
      <c r="C94">
        <v>25</v>
      </c>
      <c r="D94" t="s">
        <v>249</v>
      </c>
    </row>
    <row r="95" spans="1:4" x14ac:dyDescent="0.25">
      <c r="A95" t="s">
        <v>26</v>
      </c>
      <c r="B95" t="s">
        <v>260</v>
      </c>
      <c r="C95">
        <v>25</v>
      </c>
      <c r="D95" t="s">
        <v>249</v>
      </c>
    </row>
    <row r="96" spans="1:4" x14ac:dyDescent="0.25">
      <c r="A96" t="s">
        <v>26</v>
      </c>
      <c r="B96" t="s">
        <v>248</v>
      </c>
      <c r="C96">
        <v>8</v>
      </c>
      <c r="D96" t="s">
        <v>249</v>
      </c>
    </row>
    <row r="97" spans="1:4" x14ac:dyDescent="0.25">
      <c r="A97" t="s">
        <v>26</v>
      </c>
      <c r="B97" t="s">
        <v>272</v>
      </c>
      <c r="C97">
        <v>5</v>
      </c>
      <c r="D97" t="s">
        <v>249</v>
      </c>
    </row>
    <row r="98" spans="1:4" x14ac:dyDescent="0.25">
      <c r="A98" t="s">
        <v>26</v>
      </c>
      <c r="B98" t="s">
        <v>258</v>
      </c>
      <c r="C98">
        <v>3</v>
      </c>
      <c r="D98" t="s">
        <v>249</v>
      </c>
    </row>
    <row r="99" spans="1:4" x14ac:dyDescent="0.25">
      <c r="A99" t="s">
        <v>26</v>
      </c>
      <c r="B99" t="s">
        <v>261</v>
      </c>
      <c r="C99">
        <v>2</v>
      </c>
      <c r="D99" t="s">
        <v>249</v>
      </c>
    </row>
    <row r="100" spans="1:4" x14ac:dyDescent="0.25">
      <c r="A100" t="s">
        <v>26</v>
      </c>
      <c r="B100" t="s">
        <v>257</v>
      </c>
      <c r="C100">
        <v>2</v>
      </c>
      <c r="D100" t="s">
        <v>249</v>
      </c>
    </row>
    <row r="101" spans="1:4" x14ac:dyDescent="0.25">
      <c r="A101" t="s">
        <v>27</v>
      </c>
      <c r="B101" t="s">
        <v>248</v>
      </c>
      <c r="C101">
        <v>403</v>
      </c>
      <c r="D101" t="s">
        <v>249</v>
      </c>
    </row>
    <row r="102" spans="1:4" x14ac:dyDescent="0.25">
      <c r="A102" t="s">
        <v>27</v>
      </c>
      <c r="B102" t="s">
        <v>250</v>
      </c>
      <c r="C102">
        <v>274</v>
      </c>
      <c r="D102" t="s">
        <v>249</v>
      </c>
    </row>
    <row r="103" spans="1:4" x14ac:dyDescent="0.25">
      <c r="A103" t="s">
        <v>27</v>
      </c>
      <c r="B103" t="s">
        <v>265</v>
      </c>
      <c r="C103">
        <v>170</v>
      </c>
      <c r="D103" t="s">
        <v>249</v>
      </c>
    </row>
    <row r="104" spans="1:4" x14ac:dyDescent="0.25">
      <c r="A104" t="s">
        <v>27</v>
      </c>
      <c r="B104" t="s">
        <v>277</v>
      </c>
      <c r="C104">
        <v>100</v>
      </c>
      <c r="D104" t="s">
        <v>249</v>
      </c>
    </row>
    <row r="105" spans="1:4" x14ac:dyDescent="0.25">
      <c r="A105" t="s">
        <v>27</v>
      </c>
      <c r="B105" t="s">
        <v>257</v>
      </c>
      <c r="C105">
        <v>95</v>
      </c>
      <c r="D105" t="s">
        <v>249</v>
      </c>
    </row>
    <row r="106" spans="1:4" x14ac:dyDescent="0.25">
      <c r="A106" t="s">
        <v>27</v>
      </c>
      <c r="B106" t="s">
        <v>253</v>
      </c>
      <c r="C106">
        <v>70</v>
      </c>
      <c r="D106" t="s">
        <v>249</v>
      </c>
    </row>
    <row r="107" spans="1:4" x14ac:dyDescent="0.25">
      <c r="A107" t="s">
        <v>28</v>
      </c>
      <c r="B107" t="s">
        <v>251</v>
      </c>
      <c r="C107">
        <v>43</v>
      </c>
      <c r="D107" t="s">
        <v>249</v>
      </c>
    </row>
    <row r="108" spans="1:4" x14ac:dyDescent="0.25">
      <c r="A108" t="s">
        <v>28</v>
      </c>
      <c r="B108" t="s">
        <v>278</v>
      </c>
      <c r="C108">
        <v>22</v>
      </c>
      <c r="D108" t="s">
        <v>249</v>
      </c>
    </row>
    <row r="109" spans="1:4" x14ac:dyDescent="0.25">
      <c r="A109" t="s">
        <v>28</v>
      </c>
      <c r="B109" t="s">
        <v>258</v>
      </c>
      <c r="C109">
        <v>7</v>
      </c>
      <c r="D109" t="s">
        <v>249</v>
      </c>
    </row>
    <row r="110" spans="1:4" x14ac:dyDescent="0.25">
      <c r="A110" t="s">
        <v>29</v>
      </c>
      <c r="B110" t="s">
        <v>251</v>
      </c>
      <c r="C110">
        <v>75</v>
      </c>
      <c r="D110" t="s">
        <v>249</v>
      </c>
    </row>
    <row r="111" spans="1:4" x14ac:dyDescent="0.25">
      <c r="A111" t="s">
        <v>29</v>
      </c>
      <c r="B111" t="s">
        <v>259</v>
      </c>
      <c r="C111">
        <v>55</v>
      </c>
      <c r="D111" t="s">
        <v>249</v>
      </c>
    </row>
    <row r="112" spans="1:4" x14ac:dyDescent="0.25">
      <c r="A112" t="s">
        <v>29</v>
      </c>
      <c r="B112" t="s">
        <v>250</v>
      </c>
      <c r="C112">
        <v>46</v>
      </c>
      <c r="D112" t="s">
        <v>249</v>
      </c>
    </row>
    <row r="113" spans="1:4" x14ac:dyDescent="0.25">
      <c r="A113" t="s">
        <v>29</v>
      </c>
      <c r="B113" t="s">
        <v>248</v>
      </c>
      <c r="C113">
        <v>28</v>
      </c>
      <c r="D113" t="s">
        <v>249</v>
      </c>
    </row>
    <row r="114" spans="1:4" x14ac:dyDescent="0.25">
      <c r="A114" t="s">
        <v>29</v>
      </c>
      <c r="B114" t="s">
        <v>257</v>
      </c>
      <c r="C114">
        <v>15</v>
      </c>
      <c r="D114" t="s">
        <v>249</v>
      </c>
    </row>
    <row r="115" spans="1:4" x14ac:dyDescent="0.25">
      <c r="A115" t="s">
        <v>29</v>
      </c>
      <c r="B115" t="s">
        <v>276</v>
      </c>
      <c r="C115">
        <v>13</v>
      </c>
      <c r="D115" t="s">
        <v>249</v>
      </c>
    </row>
    <row r="116" spans="1:4" x14ac:dyDescent="0.25">
      <c r="A116" t="s">
        <v>29</v>
      </c>
      <c r="B116" t="s">
        <v>279</v>
      </c>
      <c r="C116">
        <v>8</v>
      </c>
      <c r="D116" t="s">
        <v>249</v>
      </c>
    </row>
    <row r="117" spans="1:4" x14ac:dyDescent="0.25">
      <c r="A117" t="s">
        <v>29</v>
      </c>
      <c r="B117" t="s">
        <v>260</v>
      </c>
      <c r="C117">
        <v>6</v>
      </c>
      <c r="D117" t="s">
        <v>249</v>
      </c>
    </row>
    <row r="118" spans="1:4" x14ac:dyDescent="0.25">
      <c r="A118" t="s">
        <v>29</v>
      </c>
      <c r="B118" t="s">
        <v>271</v>
      </c>
      <c r="C118">
        <v>3</v>
      </c>
      <c r="D118" t="s">
        <v>249</v>
      </c>
    </row>
    <row r="119" spans="1:4" x14ac:dyDescent="0.25">
      <c r="A119" t="s">
        <v>30</v>
      </c>
      <c r="B119" t="s">
        <v>258</v>
      </c>
      <c r="C119">
        <v>13</v>
      </c>
      <c r="D119" t="s">
        <v>249</v>
      </c>
    </row>
    <row r="120" spans="1:4" x14ac:dyDescent="0.25">
      <c r="A120" t="s">
        <v>32</v>
      </c>
      <c r="B120" t="s">
        <v>259</v>
      </c>
      <c r="C120">
        <v>100</v>
      </c>
      <c r="D120" t="s">
        <v>249</v>
      </c>
    </row>
    <row r="121" spans="1:4" x14ac:dyDescent="0.25">
      <c r="A121" t="s">
        <v>32</v>
      </c>
      <c r="B121" t="s">
        <v>270</v>
      </c>
      <c r="C121">
        <v>9</v>
      </c>
      <c r="D121" t="s">
        <v>249</v>
      </c>
    </row>
    <row r="122" spans="1:4" x14ac:dyDescent="0.25">
      <c r="A122" t="s">
        <v>32</v>
      </c>
      <c r="B122" t="s">
        <v>261</v>
      </c>
      <c r="C122">
        <v>9</v>
      </c>
      <c r="D122" t="s">
        <v>249</v>
      </c>
    </row>
    <row r="123" spans="1:4" x14ac:dyDescent="0.25">
      <c r="A123" t="s">
        <v>32</v>
      </c>
      <c r="B123" t="s">
        <v>251</v>
      </c>
      <c r="C123">
        <v>8</v>
      </c>
      <c r="D123" t="s">
        <v>249</v>
      </c>
    </row>
    <row r="124" spans="1:4" x14ac:dyDescent="0.25">
      <c r="A124" t="s">
        <v>32</v>
      </c>
      <c r="B124" t="s">
        <v>278</v>
      </c>
      <c r="C124">
        <v>4</v>
      </c>
      <c r="D124" t="s">
        <v>249</v>
      </c>
    </row>
    <row r="125" spans="1:4" x14ac:dyDescent="0.25">
      <c r="A125" t="s">
        <v>33</v>
      </c>
      <c r="B125" t="s">
        <v>251</v>
      </c>
      <c r="C125">
        <v>17</v>
      </c>
      <c r="D125" t="s">
        <v>249</v>
      </c>
    </row>
    <row r="126" spans="1:4" x14ac:dyDescent="0.25">
      <c r="A126" t="s">
        <v>33</v>
      </c>
      <c r="B126" t="s">
        <v>250</v>
      </c>
      <c r="C126">
        <v>16</v>
      </c>
      <c r="D126" t="s">
        <v>249</v>
      </c>
    </row>
    <row r="127" spans="1:4" x14ac:dyDescent="0.25">
      <c r="A127" t="s">
        <v>33</v>
      </c>
      <c r="B127" t="s">
        <v>248</v>
      </c>
      <c r="C127">
        <v>16</v>
      </c>
      <c r="D127" t="s">
        <v>249</v>
      </c>
    </row>
    <row r="128" spans="1:4" x14ac:dyDescent="0.25">
      <c r="A128" t="s">
        <v>33</v>
      </c>
      <c r="B128" t="s">
        <v>270</v>
      </c>
      <c r="C128">
        <v>2</v>
      </c>
      <c r="D128" t="s">
        <v>249</v>
      </c>
    </row>
    <row r="129" spans="1:4" x14ac:dyDescent="0.25">
      <c r="A129" t="s">
        <v>34</v>
      </c>
      <c r="B129" t="s">
        <v>251</v>
      </c>
      <c r="C129">
        <v>39</v>
      </c>
      <c r="D129" t="s">
        <v>249</v>
      </c>
    </row>
    <row r="130" spans="1:4" x14ac:dyDescent="0.25">
      <c r="A130" t="s">
        <v>34</v>
      </c>
      <c r="B130" t="s">
        <v>260</v>
      </c>
      <c r="C130">
        <v>32</v>
      </c>
      <c r="D130" t="s">
        <v>249</v>
      </c>
    </row>
    <row r="131" spans="1:4" x14ac:dyDescent="0.25">
      <c r="A131" t="s">
        <v>34</v>
      </c>
      <c r="B131" t="s">
        <v>270</v>
      </c>
      <c r="C131">
        <v>18</v>
      </c>
      <c r="D131" t="s">
        <v>249</v>
      </c>
    </row>
    <row r="132" spans="1:4" x14ac:dyDescent="0.25">
      <c r="A132" t="s">
        <v>34</v>
      </c>
      <c r="B132" t="s">
        <v>272</v>
      </c>
      <c r="C132">
        <v>10</v>
      </c>
      <c r="D132" t="s">
        <v>249</v>
      </c>
    </row>
    <row r="133" spans="1:4" x14ac:dyDescent="0.25">
      <c r="A133" t="s">
        <v>34</v>
      </c>
      <c r="B133" t="s">
        <v>261</v>
      </c>
      <c r="C133">
        <v>8</v>
      </c>
      <c r="D133" t="s">
        <v>249</v>
      </c>
    </row>
    <row r="134" spans="1:4" x14ac:dyDescent="0.25">
      <c r="A134" t="s">
        <v>34</v>
      </c>
      <c r="B134" t="s">
        <v>262</v>
      </c>
      <c r="C134">
        <v>7</v>
      </c>
      <c r="D134" t="s">
        <v>249</v>
      </c>
    </row>
    <row r="135" spans="1:4" x14ac:dyDescent="0.25">
      <c r="A135" t="s">
        <v>34</v>
      </c>
      <c r="B135" t="s">
        <v>280</v>
      </c>
      <c r="C135">
        <v>7</v>
      </c>
      <c r="D135" t="s">
        <v>249</v>
      </c>
    </row>
    <row r="136" spans="1:4" x14ac:dyDescent="0.25">
      <c r="A136" t="s">
        <v>35</v>
      </c>
      <c r="B136" t="s">
        <v>248</v>
      </c>
      <c r="C136">
        <v>463</v>
      </c>
      <c r="D136" t="s">
        <v>249</v>
      </c>
    </row>
    <row r="137" spans="1:4" x14ac:dyDescent="0.25">
      <c r="A137" t="s">
        <v>35</v>
      </c>
      <c r="B137" t="s">
        <v>253</v>
      </c>
      <c r="C137">
        <v>116</v>
      </c>
      <c r="D137" t="s">
        <v>249</v>
      </c>
    </row>
    <row r="138" spans="1:4" x14ac:dyDescent="0.25">
      <c r="A138" t="s">
        <v>35</v>
      </c>
      <c r="B138" t="s">
        <v>250</v>
      </c>
      <c r="C138">
        <v>74</v>
      </c>
      <c r="D138" t="s">
        <v>249</v>
      </c>
    </row>
    <row r="139" spans="1:4" x14ac:dyDescent="0.25">
      <c r="A139" t="s">
        <v>35</v>
      </c>
      <c r="B139" t="s">
        <v>251</v>
      </c>
      <c r="C139">
        <v>73</v>
      </c>
      <c r="D139" t="s">
        <v>249</v>
      </c>
    </row>
    <row r="140" spans="1:4" x14ac:dyDescent="0.25">
      <c r="A140" t="s">
        <v>35</v>
      </c>
      <c r="B140" t="s">
        <v>263</v>
      </c>
      <c r="C140">
        <v>66</v>
      </c>
      <c r="D140" t="s">
        <v>249</v>
      </c>
    </row>
    <row r="141" spans="1:4" x14ac:dyDescent="0.25">
      <c r="A141" t="s">
        <v>35</v>
      </c>
      <c r="B141" t="s">
        <v>281</v>
      </c>
      <c r="C141">
        <v>57</v>
      </c>
      <c r="D141" t="s">
        <v>249</v>
      </c>
    </row>
    <row r="142" spans="1:4" x14ac:dyDescent="0.25">
      <c r="A142" t="s">
        <v>36</v>
      </c>
      <c r="B142" t="s">
        <v>251</v>
      </c>
      <c r="C142">
        <v>6</v>
      </c>
      <c r="D142" t="s">
        <v>249</v>
      </c>
    </row>
    <row r="143" spans="1:4" x14ac:dyDescent="0.25">
      <c r="A143" t="s">
        <v>36</v>
      </c>
      <c r="B143" t="s">
        <v>260</v>
      </c>
      <c r="C143">
        <v>6</v>
      </c>
      <c r="D143" t="s">
        <v>249</v>
      </c>
    </row>
    <row r="144" spans="1:4" x14ac:dyDescent="0.25">
      <c r="A144" t="s">
        <v>37</v>
      </c>
      <c r="B144" t="s">
        <v>266</v>
      </c>
      <c r="C144">
        <v>51</v>
      </c>
      <c r="D144" t="s">
        <v>249</v>
      </c>
    </row>
    <row r="145" spans="1:4" x14ac:dyDescent="0.25">
      <c r="A145" t="s">
        <v>37</v>
      </c>
      <c r="B145" t="s">
        <v>251</v>
      </c>
      <c r="C145">
        <v>30</v>
      </c>
      <c r="D145" t="s">
        <v>249</v>
      </c>
    </row>
    <row r="146" spans="1:4" x14ac:dyDescent="0.25">
      <c r="A146" t="s">
        <v>37</v>
      </c>
      <c r="B146" t="s">
        <v>255</v>
      </c>
      <c r="C146">
        <v>23</v>
      </c>
      <c r="D146" t="s">
        <v>249</v>
      </c>
    </row>
    <row r="147" spans="1:4" x14ac:dyDescent="0.25">
      <c r="A147" t="s">
        <v>37</v>
      </c>
      <c r="B147" t="s">
        <v>275</v>
      </c>
      <c r="C147">
        <v>18</v>
      </c>
      <c r="D147" t="s">
        <v>249</v>
      </c>
    </row>
    <row r="148" spans="1:4" x14ac:dyDescent="0.25">
      <c r="A148" t="s">
        <v>37</v>
      </c>
      <c r="B148" t="s">
        <v>270</v>
      </c>
      <c r="C148">
        <v>14</v>
      </c>
      <c r="D148" t="s">
        <v>249</v>
      </c>
    </row>
    <row r="149" spans="1:4" x14ac:dyDescent="0.25">
      <c r="A149" t="s">
        <v>37</v>
      </c>
      <c r="B149" t="s">
        <v>274</v>
      </c>
      <c r="C149">
        <v>6</v>
      </c>
      <c r="D149" t="s">
        <v>249</v>
      </c>
    </row>
    <row r="150" spans="1:4" x14ac:dyDescent="0.25">
      <c r="A150" t="s">
        <v>37</v>
      </c>
      <c r="B150" t="s">
        <v>261</v>
      </c>
      <c r="C150">
        <v>6</v>
      </c>
      <c r="D150" t="s">
        <v>249</v>
      </c>
    </row>
    <row r="151" spans="1:4" x14ac:dyDescent="0.25">
      <c r="A151" t="s">
        <v>38</v>
      </c>
      <c r="B151" t="s">
        <v>266</v>
      </c>
      <c r="C151">
        <v>55</v>
      </c>
      <c r="D151" t="s">
        <v>249</v>
      </c>
    </row>
    <row r="152" spans="1:4" x14ac:dyDescent="0.25">
      <c r="A152" t="s">
        <v>38</v>
      </c>
      <c r="B152" t="s">
        <v>265</v>
      </c>
      <c r="C152">
        <v>40</v>
      </c>
      <c r="D152" t="s">
        <v>249</v>
      </c>
    </row>
    <row r="153" spans="1:4" x14ac:dyDescent="0.25">
      <c r="A153" t="s">
        <v>38</v>
      </c>
      <c r="B153" t="s">
        <v>270</v>
      </c>
      <c r="C153">
        <v>7</v>
      </c>
      <c r="D153" t="s">
        <v>249</v>
      </c>
    </row>
    <row r="154" spans="1:4" x14ac:dyDescent="0.25">
      <c r="A154" t="s">
        <v>38</v>
      </c>
      <c r="B154" t="s">
        <v>279</v>
      </c>
      <c r="C154">
        <v>6</v>
      </c>
      <c r="D154" t="s">
        <v>249</v>
      </c>
    </row>
    <row r="155" spans="1:4" x14ac:dyDescent="0.25">
      <c r="A155" t="s">
        <v>38</v>
      </c>
      <c r="B155" t="s">
        <v>248</v>
      </c>
      <c r="C155">
        <v>5</v>
      </c>
      <c r="D155" t="s">
        <v>249</v>
      </c>
    </row>
    <row r="156" spans="1:4" x14ac:dyDescent="0.25">
      <c r="A156" t="s">
        <v>39</v>
      </c>
      <c r="B156" t="s">
        <v>255</v>
      </c>
      <c r="C156">
        <v>43</v>
      </c>
      <c r="D156" t="s">
        <v>249</v>
      </c>
    </row>
    <row r="157" spans="1:4" x14ac:dyDescent="0.25">
      <c r="A157" t="s">
        <v>39</v>
      </c>
      <c r="B157" t="s">
        <v>258</v>
      </c>
      <c r="C157">
        <v>24</v>
      </c>
      <c r="D157" t="s">
        <v>249</v>
      </c>
    </row>
    <row r="158" spans="1:4" x14ac:dyDescent="0.25">
      <c r="A158" t="s">
        <v>39</v>
      </c>
      <c r="B158" t="s">
        <v>251</v>
      </c>
      <c r="C158">
        <v>8</v>
      </c>
      <c r="D158" t="s">
        <v>249</v>
      </c>
    </row>
    <row r="159" spans="1:4" x14ac:dyDescent="0.25">
      <c r="A159" t="s">
        <v>39</v>
      </c>
      <c r="B159" t="s">
        <v>272</v>
      </c>
      <c r="C159">
        <v>8</v>
      </c>
      <c r="D159" t="s">
        <v>249</v>
      </c>
    </row>
    <row r="160" spans="1:4" x14ac:dyDescent="0.25">
      <c r="A160" t="s">
        <v>40</v>
      </c>
      <c r="B160" t="s">
        <v>255</v>
      </c>
      <c r="C160">
        <v>172</v>
      </c>
      <c r="D160" t="s">
        <v>249</v>
      </c>
    </row>
    <row r="161" spans="1:4" x14ac:dyDescent="0.25">
      <c r="A161" t="s">
        <v>40</v>
      </c>
      <c r="B161" t="s">
        <v>251</v>
      </c>
      <c r="C161">
        <v>167</v>
      </c>
      <c r="D161" t="s">
        <v>249</v>
      </c>
    </row>
    <row r="162" spans="1:4" x14ac:dyDescent="0.25">
      <c r="A162" t="s">
        <v>40</v>
      </c>
      <c r="B162" t="s">
        <v>260</v>
      </c>
      <c r="C162">
        <v>111</v>
      </c>
      <c r="D162" t="s">
        <v>249</v>
      </c>
    </row>
    <row r="163" spans="1:4" x14ac:dyDescent="0.25">
      <c r="A163" t="s">
        <v>40</v>
      </c>
      <c r="B163" t="s">
        <v>259</v>
      </c>
      <c r="C163">
        <v>82</v>
      </c>
      <c r="D163" t="s">
        <v>249</v>
      </c>
    </row>
    <row r="164" spans="1:4" x14ac:dyDescent="0.25">
      <c r="A164" t="s">
        <v>40</v>
      </c>
      <c r="B164" t="s">
        <v>270</v>
      </c>
      <c r="C164">
        <v>80</v>
      </c>
      <c r="D164" t="s">
        <v>249</v>
      </c>
    </row>
    <row r="165" spans="1:4" x14ac:dyDescent="0.25">
      <c r="A165" t="s">
        <v>40</v>
      </c>
      <c r="B165" t="s">
        <v>282</v>
      </c>
      <c r="C165">
        <v>50</v>
      </c>
      <c r="D165" t="s">
        <v>249</v>
      </c>
    </row>
    <row r="166" spans="1:4" x14ac:dyDescent="0.25">
      <c r="A166" t="s">
        <v>40</v>
      </c>
      <c r="B166" t="s">
        <v>261</v>
      </c>
      <c r="C166">
        <v>34</v>
      </c>
      <c r="D166" t="s">
        <v>249</v>
      </c>
    </row>
    <row r="167" spans="1:4" x14ac:dyDescent="0.25">
      <c r="A167" t="s">
        <v>40</v>
      </c>
      <c r="B167" t="s">
        <v>263</v>
      </c>
      <c r="C167">
        <v>22</v>
      </c>
      <c r="D167" t="s">
        <v>249</v>
      </c>
    </row>
    <row r="168" spans="1:4" x14ac:dyDescent="0.25">
      <c r="A168" t="s">
        <v>40</v>
      </c>
      <c r="B168" t="s">
        <v>250</v>
      </c>
      <c r="C168">
        <v>18</v>
      </c>
      <c r="D168" t="s">
        <v>249</v>
      </c>
    </row>
    <row r="169" spans="1:4" x14ac:dyDescent="0.25">
      <c r="A169" t="s">
        <v>40</v>
      </c>
      <c r="B169" t="s">
        <v>274</v>
      </c>
      <c r="C169">
        <v>13</v>
      </c>
      <c r="D169" t="s">
        <v>249</v>
      </c>
    </row>
    <row r="170" spans="1:4" x14ac:dyDescent="0.25">
      <c r="A170" t="s">
        <v>40</v>
      </c>
      <c r="B170" t="s">
        <v>273</v>
      </c>
      <c r="C170">
        <v>12</v>
      </c>
      <c r="D170" t="s">
        <v>249</v>
      </c>
    </row>
    <row r="171" spans="1:4" x14ac:dyDescent="0.25">
      <c r="A171" t="s">
        <v>40</v>
      </c>
      <c r="B171" t="s">
        <v>258</v>
      </c>
      <c r="C171">
        <v>12</v>
      </c>
      <c r="D171" t="s">
        <v>249</v>
      </c>
    </row>
    <row r="172" spans="1:4" x14ac:dyDescent="0.25">
      <c r="A172" t="s">
        <v>41</v>
      </c>
      <c r="B172" t="s">
        <v>258</v>
      </c>
      <c r="C172">
        <v>53</v>
      </c>
      <c r="D172" t="s">
        <v>249</v>
      </c>
    </row>
    <row r="173" spans="1:4" x14ac:dyDescent="0.25">
      <c r="A173" t="s">
        <v>41</v>
      </c>
      <c r="B173" t="s">
        <v>248</v>
      </c>
      <c r="C173">
        <v>24</v>
      </c>
      <c r="D173" t="s">
        <v>249</v>
      </c>
    </row>
    <row r="174" spans="1:4" x14ac:dyDescent="0.25">
      <c r="A174" t="s">
        <v>41</v>
      </c>
      <c r="B174" t="s">
        <v>250</v>
      </c>
      <c r="C174">
        <v>16</v>
      </c>
      <c r="D174" t="s">
        <v>249</v>
      </c>
    </row>
    <row r="175" spans="1:4" x14ac:dyDescent="0.25">
      <c r="A175" t="s">
        <v>41</v>
      </c>
      <c r="B175" t="s">
        <v>257</v>
      </c>
      <c r="C175">
        <v>8</v>
      </c>
      <c r="D175" t="s">
        <v>249</v>
      </c>
    </row>
    <row r="176" spans="1:4" x14ac:dyDescent="0.25">
      <c r="A176" t="s">
        <v>41</v>
      </c>
      <c r="B176" t="s">
        <v>264</v>
      </c>
      <c r="C176">
        <v>5</v>
      </c>
      <c r="D176" t="s">
        <v>249</v>
      </c>
    </row>
    <row r="177" spans="1:4" x14ac:dyDescent="0.25">
      <c r="A177" t="s">
        <v>42</v>
      </c>
      <c r="B177" t="s">
        <v>251</v>
      </c>
      <c r="C177">
        <v>85</v>
      </c>
      <c r="D177" t="s">
        <v>249</v>
      </c>
    </row>
    <row r="178" spans="1:4" x14ac:dyDescent="0.25">
      <c r="A178" t="s">
        <v>42</v>
      </c>
      <c r="B178" t="s">
        <v>255</v>
      </c>
      <c r="C178">
        <v>79</v>
      </c>
      <c r="D178" t="s">
        <v>249</v>
      </c>
    </row>
    <row r="179" spans="1:4" x14ac:dyDescent="0.25">
      <c r="A179" t="s">
        <v>42</v>
      </c>
      <c r="B179" t="s">
        <v>260</v>
      </c>
      <c r="C179">
        <v>65</v>
      </c>
      <c r="D179" t="s">
        <v>249</v>
      </c>
    </row>
    <row r="180" spans="1:4" x14ac:dyDescent="0.25">
      <c r="A180" t="s">
        <v>42</v>
      </c>
      <c r="B180" t="s">
        <v>259</v>
      </c>
      <c r="C180">
        <v>44</v>
      </c>
      <c r="D180" t="s">
        <v>249</v>
      </c>
    </row>
    <row r="181" spans="1:4" x14ac:dyDescent="0.25">
      <c r="A181" t="s">
        <v>42</v>
      </c>
      <c r="B181" t="s">
        <v>270</v>
      </c>
      <c r="C181">
        <v>33</v>
      </c>
      <c r="D181" t="s">
        <v>249</v>
      </c>
    </row>
    <row r="182" spans="1:4" x14ac:dyDescent="0.25">
      <c r="A182" t="s">
        <v>42</v>
      </c>
      <c r="B182" t="s">
        <v>278</v>
      </c>
      <c r="C182">
        <v>27</v>
      </c>
      <c r="D182" t="s">
        <v>249</v>
      </c>
    </row>
    <row r="183" spans="1:4" x14ac:dyDescent="0.25">
      <c r="A183" t="s">
        <v>42</v>
      </c>
      <c r="B183" t="s">
        <v>274</v>
      </c>
      <c r="C183">
        <v>12</v>
      </c>
      <c r="D183" t="s">
        <v>249</v>
      </c>
    </row>
    <row r="184" spans="1:4" x14ac:dyDescent="0.25">
      <c r="A184" t="s">
        <v>42</v>
      </c>
      <c r="B184" t="s">
        <v>261</v>
      </c>
      <c r="C184">
        <v>12</v>
      </c>
      <c r="D184" t="s">
        <v>249</v>
      </c>
    </row>
    <row r="185" spans="1:4" x14ac:dyDescent="0.25">
      <c r="A185" t="s">
        <v>42</v>
      </c>
      <c r="B185" t="s">
        <v>262</v>
      </c>
      <c r="C185">
        <v>12</v>
      </c>
      <c r="D185" t="s">
        <v>249</v>
      </c>
    </row>
    <row r="186" spans="1:4" x14ac:dyDescent="0.25">
      <c r="A186" t="s">
        <v>42</v>
      </c>
      <c r="B186" t="s">
        <v>283</v>
      </c>
      <c r="C186">
        <v>6</v>
      </c>
      <c r="D186" t="s">
        <v>249</v>
      </c>
    </row>
    <row r="187" spans="1:4" x14ac:dyDescent="0.25">
      <c r="A187" t="s">
        <v>43</v>
      </c>
      <c r="B187" t="s">
        <v>266</v>
      </c>
      <c r="C187">
        <v>47</v>
      </c>
      <c r="D187" t="s">
        <v>249</v>
      </c>
    </row>
    <row r="188" spans="1:4" x14ac:dyDescent="0.25">
      <c r="A188" t="s">
        <v>43</v>
      </c>
      <c r="B188" t="s">
        <v>250</v>
      </c>
      <c r="C188">
        <v>21</v>
      </c>
      <c r="D188" t="s">
        <v>249</v>
      </c>
    </row>
    <row r="189" spans="1:4" x14ac:dyDescent="0.25">
      <c r="A189" t="s">
        <v>43</v>
      </c>
      <c r="B189" t="s">
        <v>251</v>
      </c>
      <c r="C189">
        <v>8</v>
      </c>
      <c r="D189" t="s">
        <v>249</v>
      </c>
    </row>
    <row r="190" spans="1:4" x14ac:dyDescent="0.25">
      <c r="A190" t="s">
        <v>43</v>
      </c>
      <c r="B190" t="s">
        <v>270</v>
      </c>
      <c r="C190">
        <v>7</v>
      </c>
      <c r="D190" t="s">
        <v>249</v>
      </c>
    </row>
    <row r="191" spans="1:4" x14ac:dyDescent="0.25">
      <c r="A191" t="s">
        <v>43</v>
      </c>
      <c r="B191" t="s">
        <v>284</v>
      </c>
      <c r="C191">
        <v>3</v>
      </c>
      <c r="D191" t="s">
        <v>249</v>
      </c>
    </row>
    <row r="192" spans="1:4" x14ac:dyDescent="0.25">
      <c r="A192" t="s">
        <v>44</v>
      </c>
      <c r="B192" t="s">
        <v>248</v>
      </c>
      <c r="C192">
        <v>447</v>
      </c>
      <c r="D192" t="s">
        <v>249</v>
      </c>
    </row>
    <row r="193" spans="1:4" x14ac:dyDescent="0.25">
      <c r="A193" t="s">
        <v>44</v>
      </c>
      <c r="B193" t="s">
        <v>250</v>
      </c>
      <c r="C193">
        <v>295</v>
      </c>
      <c r="D193" t="s">
        <v>249</v>
      </c>
    </row>
    <row r="194" spans="1:4" x14ac:dyDescent="0.25">
      <c r="A194" t="s">
        <v>45</v>
      </c>
      <c r="B194" t="s">
        <v>250</v>
      </c>
      <c r="C194">
        <v>88</v>
      </c>
      <c r="D194" t="s">
        <v>249</v>
      </c>
    </row>
    <row r="195" spans="1:4" x14ac:dyDescent="0.25">
      <c r="A195" t="s">
        <v>45</v>
      </c>
      <c r="B195" t="s">
        <v>266</v>
      </c>
      <c r="C195">
        <v>28</v>
      </c>
      <c r="D195" t="s">
        <v>249</v>
      </c>
    </row>
    <row r="196" spans="1:4" x14ac:dyDescent="0.25">
      <c r="A196" t="s">
        <v>45</v>
      </c>
      <c r="B196" t="s">
        <v>251</v>
      </c>
      <c r="C196">
        <v>23</v>
      </c>
      <c r="D196" t="s">
        <v>249</v>
      </c>
    </row>
    <row r="197" spans="1:4" x14ac:dyDescent="0.25">
      <c r="A197" t="s">
        <v>45</v>
      </c>
      <c r="B197" t="s">
        <v>261</v>
      </c>
      <c r="C197">
        <v>11</v>
      </c>
      <c r="D197" t="s">
        <v>249</v>
      </c>
    </row>
    <row r="198" spans="1:4" x14ac:dyDescent="0.25">
      <c r="A198" t="s">
        <v>45</v>
      </c>
      <c r="B198" t="s">
        <v>270</v>
      </c>
      <c r="C198">
        <v>6</v>
      </c>
      <c r="D198" t="s">
        <v>249</v>
      </c>
    </row>
    <row r="199" spans="1:4" x14ac:dyDescent="0.25">
      <c r="A199" t="s">
        <v>45</v>
      </c>
      <c r="B199" t="s">
        <v>274</v>
      </c>
      <c r="C199">
        <v>4</v>
      </c>
      <c r="D199" t="s">
        <v>249</v>
      </c>
    </row>
    <row r="200" spans="1:4" x14ac:dyDescent="0.25">
      <c r="A200" t="s">
        <v>45</v>
      </c>
      <c r="B200" t="s">
        <v>284</v>
      </c>
      <c r="C200">
        <v>2</v>
      </c>
      <c r="D200" t="s">
        <v>249</v>
      </c>
    </row>
    <row r="201" spans="1:4" x14ac:dyDescent="0.25">
      <c r="A201" t="s">
        <v>46</v>
      </c>
      <c r="B201" t="s">
        <v>258</v>
      </c>
      <c r="C201">
        <v>511</v>
      </c>
      <c r="D201" t="s">
        <v>249</v>
      </c>
    </row>
    <row r="202" spans="1:4" x14ac:dyDescent="0.25">
      <c r="A202" t="s">
        <v>47</v>
      </c>
      <c r="B202" t="s">
        <v>253</v>
      </c>
      <c r="C202">
        <v>11</v>
      </c>
      <c r="D202" t="s">
        <v>249</v>
      </c>
    </row>
    <row r="203" spans="1:4" x14ac:dyDescent="0.25">
      <c r="A203" t="s">
        <v>48</v>
      </c>
      <c r="B203" t="s">
        <v>250</v>
      </c>
      <c r="C203">
        <v>84</v>
      </c>
      <c r="D203" t="s">
        <v>249</v>
      </c>
    </row>
    <row r="204" spans="1:4" x14ac:dyDescent="0.25">
      <c r="A204" t="s">
        <v>48</v>
      </c>
      <c r="B204" t="s">
        <v>251</v>
      </c>
      <c r="C204">
        <v>20</v>
      </c>
      <c r="D204" t="s">
        <v>249</v>
      </c>
    </row>
    <row r="205" spans="1:4" x14ac:dyDescent="0.25">
      <c r="A205" t="s">
        <v>48</v>
      </c>
      <c r="B205" t="s">
        <v>270</v>
      </c>
      <c r="C205">
        <v>10</v>
      </c>
      <c r="D205" t="s">
        <v>249</v>
      </c>
    </row>
    <row r="206" spans="1:4" x14ac:dyDescent="0.25">
      <c r="A206" t="s">
        <v>48</v>
      </c>
      <c r="B206" t="s">
        <v>258</v>
      </c>
      <c r="C206">
        <v>5</v>
      </c>
      <c r="D206" t="s">
        <v>249</v>
      </c>
    </row>
    <row r="207" spans="1:4" x14ac:dyDescent="0.25">
      <c r="A207" t="s">
        <v>49</v>
      </c>
      <c r="B207" t="s">
        <v>248</v>
      </c>
      <c r="C207">
        <v>434</v>
      </c>
      <c r="D207" t="s">
        <v>249</v>
      </c>
    </row>
    <row r="208" spans="1:4" x14ac:dyDescent="0.25">
      <c r="A208" t="s">
        <v>49</v>
      </c>
      <c r="B208" t="s">
        <v>252</v>
      </c>
      <c r="C208">
        <v>144</v>
      </c>
      <c r="D208" t="s">
        <v>249</v>
      </c>
    </row>
    <row r="209" spans="1:4" x14ac:dyDescent="0.25">
      <c r="A209" t="s">
        <v>49</v>
      </c>
      <c r="B209" t="s">
        <v>250</v>
      </c>
      <c r="C209">
        <v>118</v>
      </c>
      <c r="D209" t="s">
        <v>249</v>
      </c>
    </row>
    <row r="210" spans="1:4" x14ac:dyDescent="0.25">
      <c r="A210" t="s">
        <v>49</v>
      </c>
      <c r="B210" t="s">
        <v>259</v>
      </c>
      <c r="C210">
        <v>19</v>
      </c>
      <c r="D210" t="s">
        <v>249</v>
      </c>
    </row>
    <row r="211" spans="1:4" x14ac:dyDescent="0.25">
      <c r="A211" t="s">
        <v>50</v>
      </c>
      <c r="B211" t="s">
        <v>258</v>
      </c>
      <c r="C211">
        <v>69</v>
      </c>
      <c r="D211" t="s">
        <v>249</v>
      </c>
    </row>
    <row r="212" spans="1:4" x14ac:dyDescent="0.25">
      <c r="A212" t="s">
        <v>51</v>
      </c>
      <c r="B212" t="s">
        <v>258</v>
      </c>
      <c r="C212">
        <v>42</v>
      </c>
      <c r="D212" t="s">
        <v>249</v>
      </c>
    </row>
    <row r="213" spans="1:4" x14ac:dyDescent="0.25">
      <c r="A213" t="s">
        <v>51</v>
      </c>
      <c r="B213" t="s">
        <v>282</v>
      </c>
      <c r="C213">
        <v>16</v>
      </c>
      <c r="D213" t="s">
        <v>249</v>
      </c>
    </row>
    <row r="214" spans="1:4" x14ac:dyDescent="0.25">
      <c r="A214" t="s">
        <v>52</v>
      </c>
      <c r="B214" t="s">
        <v>250</v>
      </c>
      <c r="C214">
        <v>4</v>
      </c>
      <c r="D214" t="s">
        <v>249</v>
      </c>
    </row>
    <row r="215" spans="1:4" x14ac:dyDescent="0.25">
      <c r="A215" t="s">
        <v>52</v>
      </c>
      <c r="B215" t="s">
        <v>258</v>
      </c>
      <c r="C215">
        <v>4</v>
      </c>
      <c r="D215" t="s">
        <v>249</v>
      </c>
    </row>
    <row r="216" spans="1:4" x14ac:dyDescent="0.25">
      <c r="A216" t="s">
        <v>52</v>
      </c>
      <c r="B216" t="s">
        <v>270</v>
      </c>
      <c r="C216">
        <v>3</v>
      </c>
      <c r="D216" t="s">
        <v>249</v>
      </c>
    </row>
    <row r="217" spans="1:4" x14ac:dyDescent="0.25">
      <c r="A217" t="s">
        <v>52</v>
      </c>
      <c r="B217" t="s">
        <v>261</v>
      </c>
      <c r="C217">
        <v>3</v>
      </c>
      <c r="D217" t="s">
        <v>249</v>
      </c>
    </row>
    <row r="218" spans="1:4" x14ac:dyDescent="0.25">
      <c r="A218" t="s">
        <v>53</v>
      </c>
      <c r="B218" t="s">
        <v>255</v>
      </c>
      <c r="C218">
        <v>107</v>
      </c>
      <c r="D218" t="s">
        <v>249</v>
      </c>
    </row>
    <row r="219" spans="1:4" x14ac:dyDescent="0.25">
      <c r="A219" t="s">
        <v>53</v>
      </c>
      <c r="B219" t="s">
        <v>282</v>
      </c>
      <c r="C219">
        <v>95</v>
      </c>
      <c r="D219" t="s">
        <v>249</v>
      </c>
    </row>
    <row r="220" spans="1:4" x14ac:dyDescent="0.25">
      <c r="A220" t="s">
        <v>53</v>
      </c>
      <c r="B220" t="s">
        <v>260</v>
      </c>
      <c r="C220">
        <v>78</v>
      </c>
      <c r="D220" t="s">
        <v>249</v>
      </c>
    </row>
    <row r="221" spans="1:4" x14ac:dyDescent="0.25">
      <c r="A221" t="s">
        <v>53</v>
      </c>
      <c r="B221" t="s">
        <v>266</v>
      </c>
      <c r="C221">
        <v>67</v>
      </c>
      <c r="D221" t="s">
        <v>249</v>
      </c>
    </row>
    <row r="222" spans="1:4" x14ac:dyDescent="0.25">
      <c r="A222" t="s">
        <v>53</v>
      </c>
      <c r="B222" t="s">
        <v>270</v>
      </c>
      <c r="C222">
        <v>49</v>
      </c>
      <c r="D222" t="s">
        <v>249</v>
      </c>
    </row>
    <row r="223" spans="1:4" x14ac:dyDescent="0.25">
      <c r="A223" t="s">
        <v>53</v>
      </c>
      <c r="B223" t="s">
        <v>251</v>
      </c>
      <c r="C223">
        <v>48</v>
      </c>
      <c r="D223" t="s">
        <v>249</v>
      </c>
    </row>
    <row r="224" spans="1:4" x14ac:dyDescent="0.25">
      <c r="A224" t="s">
        <v>53</v>
      </c>
      <c r="B224" t="s">
        <v>268</v>
      </c>
      <c r="C224">
        <v>45</v>
      </c>
      <c r="D224" t="s">
        <v>249</v>
      </c>
    </row>
    <row r="225" spans="1:4" x14ac:dyDescent="0.25">
      <c r="A225" t="s">
        <v>53</v>
      </c>
      <c r="B225" t="s">
        <v>248</v>
      </c>
      <c r="C225">
        <v>19</v>
      </c>
      <c r="D225" t="s">
        <v>249</v>
      </c>
    </row>
    <row r="226" spans="1:4" x14ac:dyDescent="0.25">
      <c r="A226" t="s">
        <v>53</v>
      </c>
      <c r="B226" t="s">
        <v>280</v>
      </c>
      <c r="C226">
        <v>18</v>
      </c>
      <c r="D226" t="s">
        <v>249</v>
      </c>
    </row>
    <row r="227" spans="1:4" x14ac:dyDescent="0.25">
      <c r="A227" t="s">
        <v>53</v>
      </c>
      <c r="B227" t="s">
        <v>261</v>
      </c>
      <c r="C227">
        <v>18</v>
      </c>
      <c r="D227" t="s">
        <v>249</v>
      </c>
    </row>
    <row r="228" spans="1:4" x14ac:dyDescent="0.25">
      <c r="A228" t="s">
        <v>53</v>
      </c>
      <c r="B228" t="s">
        <v>250</v>
      </c>
      <c r="C228">
        <v>13</v>
      </c>
      <c r="D228" t="s">
        <v>249</v>
      </c>
    </row>
    <row r="229" spans="1:4" x14ac:dyDescent="0.25">
      <c r="A229" t="s">
        <v>53</v>
      </c>
      <c r="B229" t="s">
        <v>274</v>
      </c>
      <c r="C229">
        <v>9</v>
      </c>
      <c r="D229" t="s">
        <v>249</v>
      </c>
    </row>
    <row r="230" spans="1:4" x14ac:dyDescent="0.25">
      <c r="A230" t="s">
        <v>53</v>
      </c>
      <c r="B230" t="s">
        <v>284</v>
      </c>
      <c r="C230">
        <v>5</v>
      </c>
      <c r="D230" t="s">
        <v>249</v>
      </c>
    </row>
    <row r="231" spans="1:4" x14ac:dyDescent="0.25">
      <c r="A231" t="s">
        <v>54</v>
      </c>
      <c r="B231" t="s">
        <v>250</v>
      </c>
      <c r="C231">
        <v>850</v>
      </c>
      <c r="D231" t="s">
        <v>249</v>
      </c>
    </row>
    <row r="232" spans="1:4" x14ac:dyDescent="0.25">
      <c r="A232" t="s">
        <v>54</v>
      </c>
      <c r="B232" t="s">
        <v>248</v>
      </c>
      <c r="C232">
        <v>668</v>
      </c>
      <c r="D232" t="s">
        <v>249</v>
      </c>
    </row>
    <row r="233" spans="1:4" x14ac:dyDescent="0.25">
      <c r="A233" t="s">
        <v>54</v>
      </c>
      <c r="B233" t="s">
        <v>281</v>
      </c>
      <c r="C233">
        <v>191</v>
      </c>
      <c r="D233" t="s">
        <v>249</v>
      </c>
    </row>
    <row r="234" spans="1:4" x14ac:dyDescent="0.25">
      <c r="A234" t="s">
        <v>54</v>
      </c>
      <c r="B234" t="s">
        <v>257</v>
      </c>
      <c r="C234">
        <v>86</v>
      </c>
      <c r="D234" t="s">
        <v>249</v>
      </c>
    </row>
    <row r="235" spans="1:4" x14ac:dyDescent="0.25">
      <c r="A235" t="s">
        <v>55</v>
      </c>
      <c r="B235" t="s">
        <v>251</v>
      </c>
      <c r="C235">
        <v>38</v>
      </c>
      <c r="D235" t="s">
        <v>249</v>
      </c>
    </row>
    <row r="236" spans="1:4" x14ac:dyDescent="0.25">
      <c r="A236" t="s">
        <v>57</v>
      </c>
      <c r="B236" t="s">
        <v>250</v>
      </c>
      <c r="C236">
        <v>1320</v>
      </c>
      <c r="D236" t="s">
        <v>249</v>
      </c>
    </row>
    <row r="237" spans="1:4" x14ac:dyDescent="0.25">
      <c r="A237" t="s">
        <v>57</v>
      </c>
      <c r="B237" t="s">
        <v>248</v>
      </c>
      <c r="C237">
        <v>863</v>
      </c>
      <c r="D237" t="s">
        <v>249</v>
      </c>
    </row>
    <row r="238" spans="1:4" x14ac:dyDescent="0.25">
      <c r="A238" t="s">
        <v>57</v>
      </c>
      <c r="B238" t="s">
        <v>257</v>
      </c>
      <c r="C238">
        <v>347</v>
      </c>
      <c r="D238" t="s">
        <v>249</v>
      </c>
    </row>
    <row r="239" spans="1:4" x14ac:dyDescent="0.25">
      <c r="A239" t="s">
        <v>57</v>
      </c>
      <c r="B239" t="s">
        <v>285</v>
      </c>
      <c r="C239">
        <v>267</v>
      </c>
      <c r="D239" t="s">
        <v>249</v>
      </c>
    </row>
    <row r="240" spans="1:4" x14ac:dyDescent="0.25">
      <c r="A240" t="s">
        <v>57</v>
      </c>
      <c r="B240" t="s">
        <v>254</v>
      </c>
      <c r="C240">
        <v>156</v>
      </c>
      <c r="D240" t="s">
        <v>249</v>
      </c>
    </row>
    <row r="241" spans="1:4" x14ac:dyDescent="0.25">
      <c r="A241" t="s">
        <v>57</v>
      </c>
      <c r="B241" t="s">
        <v>253</v>
      </c>
      <c r="C241">
        <v>153</v>
      </c>
      <c r="D241" t="s">
        <v>249</v>
      </c>
    </row>
    <row r="242" spans="1:4" x14ac:dyDescent="0.25">
      <c r="A242" t="s">
        <v>57</v>
      </c>
      <c r="B242" t="s">
        <v>276</v>
      </c>
      <c r="C242">
        <v>128</v>
      </c>
      <c r="D242" t="s">
        <v>249</v>
      </c>
    </row>
    <row r="243" spans="1:4" x14ac:dyDescent="0.25">
      <c r="A243" t="s">
        <v>57</v>
      </c>
      <c r="B243" t="s">
        <v>286</v>
      </c>
      <c r="C243">
        <v>122</v>
      </c>
      <c r="D243" t="s">
        <v>249</v>
      </c>
    </row>
    <row r="244" spans="1:4" x14ac:dyDescent="0.25">
      <c r="A244" t="s">
        <v>57</v>
      </c>
      <c r="B244" t="s">
        <v>263</v>
      </c>
      <c r="C244">
        <v>90</v>
      </c>
      <c r="D244" t="s">
        <v>249</v>
      </c>
    </row>
    <row r="245" spans="1:4" x14ac:dyDescent="0.25">
      <c r="A245" t="s">
        <v>57</v>
      </c>
      <c r="B245" t="s">
        <v>287</v>
      </c>
      <c r="C245">
        <v>84</v>
      </c>
      <c r="D245" t="s">
        <v>249</v>
      </c>
    </row>
    <row r="246" spans="1:4" x14ac:dyDescent="0.25">
      <c r="A246" t="s">
        <v>58</v>
      </c>
      <c r="B246" t="s">
        <v>282</v>
      </c>
      <c r="C246">
        <v>145</v>
      </c>
      <c r="D246" t="s">
        <v>249</v>
      </c>
    </row>
    <row r="247" spans="1:4" x14ac:dyDescent="0.25">
      <c r="A247" t="s">
        <v>58</v>
      </c>
      <c r="B247" t="s">
        <v>270</v>
      </c>
      <c r="C247">
        <v>40</v>
      </c>
      <c r="D247" t="s">
        <v>249</v>
      </c>
    </row>
    <row r="248" spans="1:4" x14ac:dyDescent="0.25">
      <c r="A248" t="s">
        <v>58</v>
      </c>
      <c r="B248" t="s">
        <v>271</v>
      </c>
      <c r="C248">
        <v>35</v>
      </c>
      <c r="D248" t="s">
        <v>249</v>
      </c>
    </row>
    <row r="249" spans="1:4" x14ac:dyDescent="0.25">
      <c r="A249" t="s">
        <v>58</v>
      </c>
      <c r="B249" t="s">
        <v>258</v>
      </c>
      <c r="C249">
        <v>34</v>
      </c>
      <c r="D249" t="s">
        <v>249</v>
      </c>
    </row>
    <row r="250" spans="1:4" x14ac:dyDescent="0.25">
      <c r="A250" t="s">
        <v>58</v>
      </c>
      <c r="B250" t="s">
        <v>274</v>
      </c>
      <c r="C250">
        <v>15</v>
      </c>
      <c r="D250" t="s">
        <v>249</v>
      </c>
    </row>
    <row r="251" spans="1:4" x14ac:dyDescent="0.25">
      <c r="A251" t="s">
        <v>58</v>
      </c>
      <c r="B251" t="s">
        <v>279</v>
      </c>
      <c r="C251">
        <v>11</v>
      </c>
      <c r="D251" t="s">
        <v>249</v>
      </c>
    </row>
    <row r="252" spans="1:4" x14ac:dyDescent="0.25">
      <c r="A252" t="s">
        <v>59</v>
      </c>
      <c r="B252" t="s">
        <v>259</v>
      </c>
      <c r="C252">
        <v>23</v>
      </c>
      <c r="D252" t="s">
        <v>249</v>
      </c>
    </row>
    <row r="253" spans="1:4" x14ac:dyDescent="0.25">
      <c r="A253" t="s">
        <v>59</v>
      </c>
      <c r="B253" t="s">
        <v>260</v>
      </c>
      <c r="C253">
        <v>12</v>
      </c>
      <c r="D253" t="s">
        <v>249</v>
      </c>
    </row>
    <row r="254" spans="1:4" x14ac:dyDescent="0.25">
      <c r="A254" t="s">
        <v>59</v>
      </c>
      <c r="B254" t="s">
        <v>251</v>
      </c>
      <c r="C254">
        <v>8</v>
      </c>
      <c r="D254" t="s">
        <v>249</v>
      </c>
    </row>
    <row r="255" spans="1:4" x14ac:dyDescent="0.25">
      <c r="A255" t="s">
        <v>59</v>
      </c>
      <c r="B255" t="s">
        <v>257</v>
      </c>
      <c r="C255">
        <v>3</v>
      </c>
      <c r="D255" t="s">
        <v>249</v>
      </c>
    </row>
    <row r="256" spans="1:4" x14ac:dyDescent="0.25">
      <c r="A256" t="s">
        <v>60</v>
      </c>
      <c r="B256" t="s">
        <v>266</v>
      </c>
      <c r="C256">
        <v>24</v>
      </c>
      <c r="D256" t="s">
        <v>249</v>
      </c>
    </row>
    <row r="257" spans="1:4" x14ac:dyDescent="0.25">
      <c r="A257" t="s">
        <v>60</v>
      </c>
      <c r="B257" t="s">
        <v>251</v>
      </c>
      <c r="C257">
        <v>14</v>
      </c>
      <c r="D257" t="s">
        <v>249</v>
      </c>
    </row>
    <row r="258" spans="1:4" x14ac:dyDescent="0.25">
      <c r="A258" t="s">
        <v>60</v>
      </c>
      <c r="B258" t="s">
        <v>270</v>
      </c>
      <c r="C258">
        <v>8</v>
      </c>
      <c r="D258" t="s">
        <v>249</v>
      </c>
    </row>
    <row r="259" spans="1:4" x14ac:dyDescent="0.25">
      <c r="A259" t="s">
        <v>61</v>
      </c>
      <c r="B259" t="s">
        <v>248</v>
      </c>
      <c r="C259">
        <v>358</v>
      </c>
      <c r="D259" t="s">
        <v>249</v>
      </c>
    </row>
    <row r="260" spans="1:4" x14ac:dyDescent="0.25">
      <c r="A260" t="s">
        <v>61</v>
      </c>
      <c r="B260" t="s">
        <v>250</v>
      </c>
      <c r="C260">
        <v>348</v>
      </c>
      <c r="D260" t="s">
        <v>249</v>
      </c>
    </row>
    <row r="261" spans="1:4" x14ac:dyDescent="0.25">
      <c r="A261" t="s">
        <v>61</v>
      </c>
      <c r="B261" t="s">
        <v>257</v>
      </c>
      <c r="C261">
        <v>249</v>
      </c>
      <c r="D261" t="s">
        <v>249</v>
      </c>
    </row>
    <row r="262" spans="1:4" x14ac:dyDescent="0.25">
      <c r="A262" t="s">
        <v>61</v>
      </c>
      <c r="B262" t="s">
        <v>265</v>
      </c>
      <c r="C262">
        <v>149</v>
      </c>
      <c r="D262" t="s">
        <v>249</v>
      </c>
    </row>
    <row r="263" spans="1:4" x14ac:dyDescent="0.25">
      <c r="A263" t="s">
        <v>61</v>
      </c>
      <c r="B263" t="s">
        <v>254</v>
      </c>
      <c r="C263">
        <v>115</v>
      </c>
      <c r="D263" t="s">
        <v>249</v>
      </c>
    </row>
    <row r="264" spans="1:4" x14ac:dyDescent="0.25">
      <c r="A264" t="s">
        <v>61</v>
      </c>
      <c r="B264" t="s">
        <v>276</v>
      </c>
      <c r="C264">
        <v>106</v>
      </c>
      <c r="D264" t="s">
        <v>249</v>
      </c>
    </row>
    <row r="265" spans="1:4" x14ac:dyDescent="0.25">
      <c r="A265" t="s">
        <v>62</v>
      </c>
      <c r="B265" t="s">
        <v>248</v>
      </c>
      <c r="C265">
        <v>368</v>
      </c>
      <c r="D265" t="s">
        <v>249</v>
      </c>
    </row>
    <row r="266" spans="1:4" x14ac:dyDescent="0.25">
      <c r="A266" t="s">
        <v>62</v>
      </c>
      <c r="B266" t="s">
        <v>265</v>
      </c>
      <c r="C266">
        <v>184</v>
      </c>
      <c r="D266" t="s">
        <v>249</v>
      </c>
    </row>
    <row r="267" spans="1:4" x14ac:dyDescent="0.25">
      <c r="A267" t="s">
        <v>62</v>
      </c>
      <c r="B267" t="s">
        <v>255</v>
      </c>
      <c r="C267">
        <v>104</v>
      </c>
      <c r="D267" t="s">
        <v>249</v>
      </c>
    </row>
    <row r="268" spans="1:4" x14ac:dyDescent="0.25">
      <c r="A268" t="s">
        <v>62</v>
      </c>
      <c r="B268" t="s">
        <v>276</v>
      </c>
      <c r="C268">
        <v>91</v>
      </c>
      <c r="D268" t="s">
        <v>249</v>
      </c>
    </row>
    <row r="269" spans="1:4" x14ac:dyDescent="0.25">
      <c r="A269" t="s">
        <v>62</v>
      </c>
      <c r="B269" t="s">
        <v>253</v>
      </c>
      <c r="C269">
        <v>73</v>
      </c>
      <c r="D269" t="s">
        <v>249</v>
      </c>
    </row>
    <row r="270" spans="1:4" x14ac:dyDescent="0.25">
      <c r="A270" t="s">
        <v>62</v>
      </c>
      <c r="B270" t="s">
        <v>257</v>
      </c>
      <c r="C270">
        <v>71</v>
      </c>
      <c r="D270" t="s">
        <v>249</v>
      </c>
    </row>
    <row r="271" spans="1:4" x14ac:dyDescent="0.25">
      <c r="A271" t="s">
        <v>62</v>
      </c>
      <c r="B271" t="s">
        <v>264</v>
      </c>
      <c r="C271">
        <v>47</v>
      </c>
      <c r="D271" t="s">
        <v>249</v>
      </c>
    </row>
    <row r="272" spans="1:4" x14ac:dyDescent="0.25">
      <c r="A272" t="s">
        <v>62</v>
      </c>
      <c r="B272" t="s">
        <v>254</v>
      </c>
      <c r="C272">
        <v>28</v>
      </c>
      <c r="D272" t="s">
        <v>249</v>
      </c>
    </row>
    <row r="273" spans="1:4" x14ac:dyDescent="0.25">
      <c r="A273" t="s">
        <v>63</v>
      </c>
      <c r="B273" t="s">
        <v>258</v>
      </c>
      <c r="C273">
        <v>37</v>
      </c>
      <c r="D273" t="s">
        <v>249</v>
      </c>
    </row>
    <row r="274" spans="1:4" x14ac:dyDescent="0.25">
      <c r="A274" t="s">
        <v>64</v>
      </c>
      <c r="B274" t="s">
        <v>250</v>
      </c>
      <c r="C274">
        <v>46</v>
      </c>
      <c r="D274" t="s">
        <v>249</v>
      </c>
    </row>
    <row r="275" spans="1:4" x14ac:dyDescent="0.25">
      <c r="A275" t="s">
        <v>64</v>
      </c>
      <c r="B275" t="s">
        <v>248</v>
      </c>
      <c r="C275">
        <v>31</v>
      </c>
      <c r="D275" t="s">
        <v>249</v>
      </c>
    </row>
    <row r="276" spans="1:4" x14ac:dyDescent="0.25">
      <c r="A276" t="s">
        <v>64</v>
      </c>
      <c r="B276" t="s">
        <v>276</v>
      </c>
      <c r="C276">
        <v>13</v>
      </c>
      <c r="D276" t="s">
        <v>249</v>
      </c>
    </row>
    <row r="277" spans="1:4" x14ac:dyDescent="0.25">
      <c r="A277" t="s">
        <v>64</v>
      </c>
      <c r="B277" t="s">
        <v>281</v>
      </c>
      <c r="C277">
        <v>11</v>
      </c>
      <c r="D277" t="s">
        <v>249</v>
      </c>
    </row>
    <row r="278" spans="1:4" x14ac:dyDescent="0.25">
      <c r="A278" t="s">
        <v>64</v>
      </c>
      <c r="B278" t="s">
        <v>270</v>
      </c>
      <c r="C278">
        <v>9</v>
      </c>
      <c r="D278" t="s">
        <v>249</v>
      </c>
    </row>
    <row r="279" spans="1:4" x14ac:dyDescent="0.25">
      <c r="A279" t="s">
        <v>65</v>
      </c>
      <c r="B279" t="s">
        <v>259</v>
      </c>
      <c r="C279">
        <v>180</v>
      </c>
      <c r="D279" t="s">
        <v>249</v>
      </c>
    </row>
    <row r="280" spans="1:4" x14ac:dyDescent="0.25">
      <c r="A280" t="s">
        <v>65</v>
      </c>
      <c r="B280" t="s">
        <v>255</v>
      </c>
      <c r="C280">
        <v>40</v>
      </c>
      <c r="D280" t="s">
        <v>249</v>
      </c>
    </row>
    <row r="281" spans="1:4" x14ac:dyDescent="0.25">
      <c r="A281" t="s">
        <v>65</v>
      </c>
      <c r="B281" t="s">
        <v>268</v>
      </c>
      <c r="C281">
        <v>27</v>
      </c>
      <c r="D281" t="s">
        <v>249</v>
      </c>
    </row>
    <row r="282" spans="1:4" x14ac:dyDescent="0.25">
      <c r="A282" t="s">
        <v>65</v>
      </c>
      <c r="B282" t="s">
        <v>251</v>
      </c>
      <c r="C282">
        <v>21</v>
      </c>
      <c r="D282" t="s">
        <v>249</v>
      </c>
    </row>
    <row r="283" spans="1:4" x14ac:dyDescent="0.25">
      <c r="A283" t="s">
        <v>65</v>
      </c>
      <c r="B283" t="s">
        <v>270</v>
      </c>
      <c r="C283">
        <v>19</v>
      </c>
      <c r="D283" t="s">
        <v>249</v>
      </c>
    </row>
    <row r="284" spans="1:4" x14ac:dyDescent="0.25">
      <c r="A284" t="s">
        <v>65</v>
      </c>
      <c r="B284" t="s">
        <v>260</v>
      </c>
      <c r="C284">
        <v>16</v>
      </c>
      <c r="D284" t="s">
        <v>249</v>
      </c>
    </row>
    <row r="285" spans="1:4" x14ac:dyDescent="0.25">
      <c r="A285" t="s">
        <v>65</v>
      </c>
      <c r="B285" t="s">
        <v>261</v>
      </c>
      <c r="C285">
        <v>12</v>
      </c>
      <c r="D285" t="s">
        <v>249</v>
      </c>
    </row>
    <row r="286" spans="1:4" x14ac:dyDescent="0.25">
      <c r="A286" t="s">
        <v>65</v>
      </c>
      <c r="B286" t="s">
        <v>263</v>
      </c>
      <c r="C286">
        <v>7</v>
      </c>
      <c r="D286" t="s">
        <v>249</v>
      </c>
    </row>
    <row r="287" spans="1:4" x14ac:dyDescent="0.25">
      <c r="A287" t="s">
        <v>65</v>
      </c>
      <c r="B287" t="s">
        <v>273</v>
      </c>
      <c r="C287">
        <v>6</v>
      </c>
      <c r="D287" t="s">
        <v>249</v>
      </c>
    </row>
    <row r="288" spans="1:4" x14ac:dyDescent="0.25">
      <c r="A288" t="s">
        <v>65</v>
      </c>
      <c r="B288" t="s">
        <v>248</v>
      </c>
      <c r="C288">
        <v>6</v>
      </c>
      <c r="D288" t="s">
        <v>249</v>
      </c>
    </row>
    <row r="289" spans="1:4" x14ac:dyDescent="0.25">
      <c r="A289" t="s">
        <v>65</v>
      </c>
      <c r="B289" t="s">
        <v>274</v>
      </c>
      <c r="C289">
        <v>5</v>
      </c>
      <c r="D289" t="s">
        <v>249</v>
      </c>
    </row>
    <row r="290" spans="1:4" x14ac:dyDescent="0.25">
      <c r="A290" t="s">
        <v>66</v>
      </c>
      <c r="B290" t="s">
        <v>251</v>
      </c>
      <c r="C290">
        <v>63</v>
      </c>
      <c r="D290" t="s">
        <v>249</v>
      </c>
    </row>
    <row r="291" spans="1:4" x14ac:dyDescent="0.25">
      <c r="A291" t="s">
        <v>66</v>
      </c>
      <c r="B291" t="s">
        <v>266</v>
      </c>
      <c r="C291">
        <v>32</v>
      </c>
      <c r="D291" t="s">
        <v>249</v>
      </c>
    </row>
    <row r="292" spans="1:4" x14ac:dyDescent="0.25">
      <c r="A292" t="s">
        <v>66</v>
      </c>
      <c r="B292" t="s">
        <v>261</v>
      </c>
      <c r="C292">
        <v>30</v>
      </c>
      <c r="D292" t="s">
        <v>249</v>
      </c>
    </row>
    <row r="293" spans="1:4" x14ac:dyDescent="0.25">
      <c r="A293" t="s">
        <v>66</v>
      </c>
      <c r="B293" t="s">
        <v>258</v>
      </c>
      <c r="C293">
        <v>5</v>
      </c>
      <c r="D293" t="s">
        <v>249</v>
      </c>
    </row>
    <row r="294" spans="1:4" x14ac:dyDescent="0.25">
      <c r="A294" t="s">
        <v>66</v>
      </c>
      <c r="B294" t="s">
        <v>271</v>
      </c>
      <c r="C294">
        <v>2</v>
      </c>
      <c r="D294" t="s">
        <v>249</v>
      </c>
    </row>
    <row r="295" spans="1:4" x14ac:dyDescent="0.25">
      <c r="A295" t="s">
        <v>67</v>
      </c>
      <c r="B295" t="s">
        <v>251</v>
      </c>
      <c r="C295">
        <v>53</v>
      </c>
      <c r="D295" t="s">
        <v>249</v>
      </c>
    </row>
    <row r="296" spans="1:4" x14ac:dyDescent="0.25">
      <c r="A296" t="s">
        <v>67</v>
      </c>
      <c r="B296" t="s">
        <v>259</v>
      </c>
      <c r="C296">
        <v>43</v>
      </c>
      <c r="D296" t="s">
        <v>249</v>
      </c>
    </row>
    <row r="297" spans="1:4" x14ac:dyDescent="0.25">
      <c r="A297" t="s">
        <v>67</v>
      </c>
      <c r="B297" t="s">
        <v>255</v>
      </c>
      <c r="C297">
        <v>40</v>
      </c>
      <c r="D297" t="s">
        <v>249</v>
      </c>
    </row>
    <row r="298" spans="1:4" x14ac:dyDescent="0.25">
      <c r="A298" t="s">
        <v>67</v>
      </c>
      <c r="B298" t="s">
        <v>260</v>
      </c>
      <c r="C298">
        <v>9</v>
      </c>
      <c r="D298" t="s">
        <v>249</v>
      </c>
    </row>
    <row r="299" spans="1:4" x14ac:dyDescent="0.25">
      <c r="A299" t="s">
        <v>67</v>
      </c>
      <c r="B299" t="s">
        <v>258</v>
      </c>
      <c r="C299">
        <v>7</v>
      </c>
      <c r="D299" t="s">
        <v>249</v>
      </c>
    </row>
    <row r="300" spans="1:4" x14ac:dyDescent="0.25">
      <c r="A300" t="s">
        <v>67</v>
      </c>
      <c r="B300" t="s">
        <v>261</v>
      </c>
      <c r="C300">
        <v>6</v>
      </c>
      <c r="D300" t="s">
        <v>249</v>
      </c>
    </row>
    <row r="301" spans="1:4" x14ac:dyDescent="0.25">
      <c r="A301" t="s">
        <v>67</v>
      </c>
      <c r="B301" t="s">
        <v>250</v>
      </c>
      <c r="C301">
        <v>5</v>
      </c>
      <c r="D301" t="s">
        <v>249</v>
      </c>
    </row>
    <row r="302" spans="1:4" x14ac:dyDescent="0.25">
      <c r="A302" t="s">
        <v>67</v>
      </c>
      <c r="B302" t="s">
        <v>271</v>
      </c>
      <c r="C302">
        <v>4</v>
      </c>
      <c r="D302" t="s">
        <v>249</v>
      </c>
    </row>
    <row r="303" spans="1:4" x14ac:dyDescent="0.25">
      <c r="A303" t="s">
        <v>68</v>
      </c>
      <c r="B303" t="s">
        <v>250</v>
      </c>
      <c r="C303">
        <v>525</v>
      </c>
      <c r="D303" t="s">
        <v>249</v>
      </c>
    </row>
    <row r="304" spans="1:4" x14ac:dyDescent="0.25">
      <c r="A304" t="s">
        <v>68</v>
      </c>
      <c r="B304" t="s">
        <v>248</v>
      </c>
      <c r="C304">
        <v>370</v>
      </c>
      <c r="D304" t="s">
        <v>249</v>
      </c>
    </row>
    <row r="305" spans="1:4" x14ac:dyDescent="0.25">
      <c r="A305" t="s">
        <v>68</v>
      </c>
      <c r="B305" t="s">
        <v>266</v>
      </c>
      <c r="C305">
        <v>105</v>
      </c>
      <c r="D305" t="s">
        <v>249</v>
      </c>
    </row>
    <row r="306" spans="1:4" x14ac:dyDescent="0.25">
      <c r="A306" t="s">
        <v>68</v>
      </c>
      <c r="B306" t="s">
        <v>261</v>
      </c>
      <c r="C306">
        <v>60</v>
      </c>
      <c r="D306" t="s">
        <v>249</v>
      </c>
    </row>
    <row r="307" spans="1:4" x14ac:dyDescent="0.25">
      <c r="A307" t="s">
        <v>68</v>
      </c>
      <c r="B307" t="s">
        <v>264</v>
      </c>
      <c r="C307">
        <v>57</v>
      </c>
      <c r="D307" t="s">
        <v>249</v>
      </c>
    </row>
    <row r="308" spans="1:4" x14ac:dyDescent="0.25">
      <c r="A308" t="s">
        <v>68</v>
      </c>
      <c r="B308" t="s">
        <v>257</v>
      </c>
      <c r="C308">
        <v>44</v>
      </c>
      <c r="D308" t="s">
        <v>249</v>
      </c>
    </row>
    <row r="309" spans="1:4" x14ac:dyDescent="0.25">
      <c r="A309" t="s">
        <v>68</v>
      </c>
      <c r="B309" t="s">
        <v>254</v>
      </c>
      <c r="C309">
        <v>28</v>
      </c>
      <c r="D309" t="s">
        <v>249</v>
      </c>
    </row>
    <row r="310" spans="1:4" x14ac:dyDescent="0.25">
      <c r="A310" t="s">
        <v>69</v>
      </c>
      <c r="B310" t="s">
        <v>248</v>
      </c>
      <c r="C310">
        <v>116</v>
      </c>
      <c r="D310" t="s">
        <v>249</v>
      </c>
    </row>
    <row r="311" spans="1:4" x14ac:dyDescent="0.25">
      <c r="A311" t="s">
        <v>69</v>
      </c>
      <c r="B311" t="s">
        <v>250</v>
      </c>
      <c r="C311">
        <v>86</v>
      </c>
      <c r="D311" t="s">
        <v>249</v>
      </c>
    </row>
    <row r="312" spans="1:4" x14ac:dyDescent="0.25">
      <c r="A312" t="s">
        <v>69</v>
      </c>
      <c r="B312" t="s">
        <v>276</v>
      </c>
      <c r="C312">
        <v>28</v>
      </c>
      <c r="D312" t="s">
        <v>249</v>
      </c>
    </row>
    <row r="313" spans="1:4" x14ac:dyDescent="0.25">
      <c r="A313" t="s">
        <v>69</v>
      </c>
      <c r="B313" t="s">
        <v>282</v>
      </c>
      <c r="C313">
        <v>28</v>
      </c>
      <c r="D313" t="s">
        <v>249</v>
      </c>
    </row>
    <row r="314" spans="1:4" x14ac:dyDescent="0.25">
      <c r="A314" t="s">
        <v>69</v>
      </c>
      <c r="B314" t="s">
        <v>251</v>
      </c>
      <c r="C314">
        <v>23</v>
      </c>
      <c r="D314" t="s">
        <v>249</v>
      </c>
    </row>
    <row r="315" spans="1:4" x14ac:dyDescent="0.25">
      <c r="A315" t="s">
        <v>69</v>
      </c>
      <c r="B315" t="s">
        <v>280</v>
      </c>
      <c r="C315">
        <v>17</v>
      </c>
      <c r="D315" t="s">
        <v>249</v>
      </c>
    </row>
    <row r="316" spans="1:4" x14ac:dyDescent="0.25">
      <c r="A316" t="s">
        <v>69</v>
      </c>
      <c r="B316" t="s">
        <v>285</v>
      </c>
      <c r="C316">
        <v>6</v>
      </c>
      <c r="D316" t="s">
        <v>249</v>
      </c>
    </row>
    <row r="317" spans="1:4" x14ac:dyDescent="0.25">
      <c r="A317" t="s">
        <v>69</v>
      </c>
      <c r="B317" t="s">
        <v>254</v>
      </c>
      <c r="C317">
        <v>5</v>
      </c>
      <c r="D317" t="s">
        <v>249</v>
      </c>
    </row>
    <row r="318" spans="1:4" x14ac:dyDescent="0.25">
      <c r="A318" t="s">
        <v>70</v>
      </c>
      <c r="B318" t="s">
        <v>250</v>
      </c>
      <c r="C318">
        <v>64</v>
      </c>
      <c r="D318" t="s">
        <v>249</v>
      </c>
    </row>
    <row r="319" spans="1:4" x14ac:dyDescent="0.25">
      <c r="A319" t="s">
        <v>70</v>
      </c>
      <c r="B319" t="s">
        <v>259</v>
      </c>
      <c r="C319">
        <v>48</v>
      </c>
      <c r="D319" t="s">
        <v>249</v>
      </c>
    </row>
    <row r="320" spans="1:4" x14ac:dyDescent="0.25">
      <c r="A320" t="s">
        <v>70</v>
      </c>
      <c r="B320" t="s">
        <v>251</v>
      </c>
      <c r="C320">
        <v>22</v>
      </c>
      <c r="D320" t="s">
        <v>249</v>
      </c>
    </row>
    <row r="321" spans="1:4" x14ac:dyDescent="0.25">
      <c r="A321" t="s">
        <v>70</v>
      </c>
      <c r="B321" t="s">
        <v>270</v>
      </c>
      <c r="C321">
        <v>8</v>
      </c>
      <c r="D321" t="s">
        <v>249</v>
      </c>
    </row>
    <row r="322" spans="1:4" x14ac:dyDescent="0.25">
      <c r="A322" t="s">
        <v>70</v>
      </c>
      <c r="B322" t="s">
        <v>261</v>
      </c>
      <c r="C322">
        <v>6</v>
      </c>
      <c r="D322" t="s">
        <v>249</v>
      </c>
    </row>
    <row r="323" spans="1:4" x14ac:dyDescent="0.25">
      <c r="A323" t="s">
        <v>70</v>
      </c>
      <c r="B323" t="s">
        <v>258</v>
      </c>
      <c r="C323">
        <v>4</v>
      </c>
      <c r="D323" t="s">
        <v>249</v>
      </c>
    </row>
    <row r="324" spans="1:4" x14ac:dyDescent="0.25">
      <c r="A324" t="s">
        <v>72</v>
      </c>
      <c r="B324" t="s">
        <v>266</v>
      </c>
      <c r="C324">
        <v>170</v>
      </c>
      <c r="D324" t="s">
        <v>249</v>
      </c>
    </row>
    <row r="325" spans="1:4" x14ac:dyDescent="0.25">
      <c r="A325" t="s">
        <v>73</v>
      </c>
      <c r="B325" t="s">
        <v>258</v>
      </c>
      <c r="C325">
        <v>97</v>
      </c>
      <c r="D325" t="s">
        <v>249</v>
      </c>
    </row>
    <row r="326" spans="1:4" x14ac:dyDescent="0.25">
      <c r="A326" t="s">
        <v>74</v>
      </c>
      <c r="B326" t="s">
        <v>250</v>
      </c>
      <c r="C326">
        <v>83</v>
      </c>
      <c r="D326" t="s">
        <v>249</v>
      </c>
    </row>
    <row r="327" spans="1:4" x14ac:dyDescent="0.25">
      <c r="A327" t="s">
        <v>74</v>
      </c>
      <c r="B327" t="s">
        <v>251</v>
      </c>
      <c r="C327">
        <v>9</v>
      </c>
      <c r="D327" t="s">
        <v>249</v>
      </c>
    </row>
    <row r="328" spans="1:4" x14ac:dyDescent="0.25">
      <c r="A328" t="s">
        <v>75</v>
      </c>
      <c r="B328" t="s">
        <v>284</v>
      </c>
      <c r="C328">
        <v>84</v>
      </c>
      <c r="D328" t="s">
        <v>249</v>
      </c>
    </row>
    <row r="329" spans="1:4" x14ac:dyDescent="0.25">
      <c r="A329" t="s">
        <v>75</v>
      </c>
      <c r="B329" t="s">
        <v>258</v>
      </c>
      <c r="C329">
        <v>53</v>
      </c>
      <c r="D329" t="s">
        <v>249</v>
      </c>
    </row>
    <row r="330" spans="1:4" x14ac:dyDescent="0.25">
      <c r="A330" t="s">
        <v>75</v>
      </c>
      <c r="B330" t="s">
        <v>259</v>
      </c>
      <c r="C330">
        <v>32</v>
      </c>
      <c r="D330" t="s">
        <v>249</v>
      </c>
    </row>
    <row r="331" spans="1:4" x14ac:dyDescent="0.25">
      <c r="A331" t="s">
        <v>75</v>
      </c>
      <c r="B331" t="s">
        <v>272</v>
      </c>
      <c r="C331">
        <v>15</v>
      </c>
      <c r="D331" t="s">
        <v>249</v>
      </c>
    </row>
    <row r="332" spans="1:4" x14ac:dyDescent="0.25">
      <c r="A332" t="s">
        <v>75</v>
      </c>
      <c r="B332" t="s">
        <v>273</v>
      </c>
      <c r="C332">
        <v>14</v>
      </c>
      <c r="D332" t="s">
        <v>249</v>
      </c>
    </row>
    <row r="333" spans="1:4" x14ac:dyDescent="0.25">
      <c r="A333" t="s">
        <v>75</v>
      </c>
      <c r="B333" t="s">
        <v>270</v>
      </c>
      <c r="C333">
        <v>13</v>
      </c>
      <c r="D333" t="s">
        <v>249</v>
      </c>
    </row>
    <row r="334" spans="1:4" x14ac:dyDescent="0.25">
      <c r="A334" t="s">
        <v>75</v>
      </c>
      <c r="B334" t="s">
        <v>251</v>
      </c>
      <c r="C334">
        <v>8</v>
      </c>
      <c r="D334" t="s">
        <v>249</v>
      </c>
    </row>
    <row r="335" spans="1:4" x14ac:dyDescent="0.25">
      <c r="A335" t="s">
        <v>76</v>
      </c>
      <c r="B335" t="s">
        <v>282</v>
      </c>
      <c r="C335">
        <v>246</v>
      </c>
      <c r="D335" t="s">
        <v>249</v>
      </c>
    </row>
    <row r="336" spans="1:4" x14ac:dyDescent="0.25">
      <c r="A336" t="s">
        <v>76</v>
      </c>
      <c r="B336" t="s">
        <v>259</v>
      </c>
      <c r="C336">
        <v>131</v>
      </c>
      <c r="D336" t="s">
        <v>249</v>
      </c>
    </row>
    <row r="337" spans="1:4" x14ac:dyDescent="0.25">
      <c r="A337" t="s">
        <v>76</v>
      </c>
      <c r="B337" t="s">
        <v>251</v>
      </c>
      <c r="C337">
        <v>95</v>
      </c>
      <c r="D337" t="s">
        <v>249</v>
      </c>
    </row>
    <row r="338" spans="1:4" x14ac:dyDescent="0.25">
      <c r="A338" t="s">
        <v>76</v>
      </c>
      <c r="B338" t="s">
        <v>255</v>
      </c>
      <c r="C338">
        <v>81</v>
      </c>
      <c r="D338" t="s">
        <v>249</v>
      </c>
    </row>
    <row r="339" spans="1:4" x14ac:dyDescent="0.25">
      <c r="A339" t="s">
        <v>76</v>
      </c>
      <c r="B339" t="s">
        <v>260</v>
      </c>
      <c r="C339">
        <v>75</v>
      </c>
      <c r="D339" t="s">
        <v>249</v>
      </c>
    </row>
    <row r="340" spans="1:4" x14ac:dyDescent="0.25">
      <c r="A340" t="s">
        <v>76</v>
      </c>
      <c r="B340" t="s">
        <v>270</v>
      </c>
      <c r="C340">
        <v>47</v>
      </c>
      <c r="D340" t="s">
        <v>249</v>
      </c>
    </row>
    <row r="341" spans="1:4" x14ac:dyDescent="0.25">
      <c r="A341" t="s">
        <v>76</v>
      </c>
      <c r="B341" t="s">
        <v>261</v>
      </c>
      <c r="C341">
        <v>26</v>
      </c>
      <c r="D341" t="s">
        <v>249</v>
      </c>
    </row>
    <row r="342" spans="1:4" x14ac:dyDescent="0.25">
      <c r="A342" t="s">
        <v>76</v>
      </c>
      <c r="B342" t="s">
        <v>280</v>
      </c>
      <c r="C342">
        <v>26</v>
      </c>
      <c r="D342" t="s">
        <v>249</v>
      </c>
    </row>
    <row r="343" spans="1:4" x14ac:dyDescent="0.25">
      <c r="A343" t="s">
        <v>76</v>
      </c>
      <c r="B343" t="s">
        <v>248</v>
      </c>
      <c r="C343">
        <v>24</v>
      </c>
      <c r="D343" t="s">
        <v>249</v>
      </c>
    </row>
    <row r="344" spans="1:4" x14ac:dyDescent="0.25">
      <c r="A344" t="s">
        <v>76</v>
      </c>
      <c r="B344" t="s">
        <v>283</v>
      </c>
      <c r="C344">
        <v>17</v>
      </c>
      <c r="D344" t="s">
        <v>249</v>
      </c>
    </row>
    <row r="345" spans="1:4" x14ac:dyDescent="0.25">
      <c r="A345" t="s">
        <v>76</v>
      </c>
      <c r="B345" t="s">
        <v>274</v>
      </c>
      <c r="C345">
        <v>14</v>
      </c>
      <c r="D345" t="s">
        <v>249</v>
      </c>
    </row>
    <row r="346" spans="1:4" x14ac:dyDescent="0.25">
      <c r="A346" t="s">
        <v>76</v>
      </c>
      <c r="B346" t="s">
        <v>272</v>
      </c>
      <c r="C346">
        <v>10</v>
      </c>
      <c r="D346" t="s">
        <v>249</v>
      </c>
    </row>
    <row r="347" spans="1:4" x14ac:dyDescent="0.25">
      <c r="A347" t="s">
        <v>76</v>
      </c>
      <c r="B347" t="s">
        <v>275</v>
      </c>
      <c r="C347">
        <v>9</v>
      </c>
      <c r="D347" t="s">
        <v>249</v>
      </c>
    </row>
    <row r="348" spans="1:4" x14ac:dyDescent="0.25">
      <c r="A348" t="s">
        <v>76</v>
      </c>
      <c r="B348" t="s">
        <v>273</v>
      </c>
      <c r="C348">
        <v>8</v>
      </c>
      <c r="D348" t="s">
        <v>249</v>
      </c>
    </row>
    <row r="349" spans="1:4" x14ac:dyDescent="0.25">
      <c r="A349" t="s">
        <v>76</v>
      </c>
      <c r="B349" t="s">
        <v>276</v>
      </c>
      <c r="C349">
        <v>5</v>
      </c>
      <c r="D349" t="s">
        <v>249</v>
      </c>
    </row>
    <row r="350" spans="1:4" x14ac:dyDescent="0.25">
      <c r="A350" t="s">
        <v>76</v>
      </c>
      <c r="B350" t="s">
        <v>279</v>
      </c>
      <c r="C350">
        <v>5</v>
      </c>
      <c r="D350" t="s">
        <v>249</v>
      </c>
    </row>
    <row r="351" spans="1:4" x14ac:dyDescent="0.25">
      <c r="A351" t="s">
        <v>76</v>
      </c>
      <c r="B351" t="s">
        <v>256</v>
      </c>
      <c r="C351">
        <v>2</v>
      </c>
      <c r="D351" t="s">
        <v>249</v>
      </c>
    </row>
    <row r="352" spans="1:4" x14ac:dyDescent="0.25">
      <c r="A352" t="s">
        <v>77</v>
      </c>
      <c r="B352" t="s">
        <v>248</v>
      </c>
      <c r="C352">
        <v>27</v>
      </c>
      <c r="D352" t="s">
        <v>249</v>
      </c>
    </row>
    <row r="353" spans="1:4" x14ac:dyDescent="0.25">
      <c r="A353" t="s">
        <v>77</v>
      </c>
      <c r="B353" t="s">
        <v>258</v>
      </c>
      <c r="C353">
        <v>15</v>
      </c>
      <c r="D353" t="s">
        <v>249</v>
      </c>
    </row>
    <row r="354" spans="1:4" x14ac:dyDescent="0.25">
      <c r="A354" t="s">
        <v>77</v>
      </c>
      <c r="B354" t="s">
        <v>257</v>
      </c>
      <c r="C354">
        <v>7</v>
      </c>
      <c r="D354" t="s">
        <v>249</v>
      </c>
    </row>
    <row r="355" spans="1:4" x14ac:dyDescent="0.25">
      <c r="A355" t="s">
        <v>78</v>
      </c>
      <c r="B355" t="s">
        <v>248</v>
      </c>
      <c r="C355">
        <v>1161</v>
      </c>
      <c r="D355" t="s">
        <v>249</v>
      </c>
    </row>
    <row r="356" spans="1:4" x14ac:dyDescent="0.25">
      <c r="A356" t="s">
        <v>78</v>
      </c>
      <c r="B356" t="s">
        <v>280</v>
      </c>
      <c r="C356">
        <v>926</v>
      </c>
      <c r="D356" t="s">
        <v>249</v>
      </c>
    </row>
    <row r="357" spans="1:4" x14ac:dyDescent="0.25">
      <c r="A357" t="s">
        <v>78</v>
      </c>
      <c r="B357" t="s">
        <v>282</v>
      </c>
      <c r="C357">
        <v>710</v>
      </c>
      <c r="D357" t="s">
        <v>249</v>
      </c>
    </row>
    <row r="358" spans="1:4" x14ac:dyDescent="0.25">
      <c r="A358" t="s">
        <v>78</v>
      </c>
      <c r="B358" t="s">
        <v>250</v>
      </c>
      <c r="C358">
        <v>596</v>
      </c>
      <c r="D358" t="s">
        <v>249</v>
      </c>
    </row>
    <row r="359" spans="1:4" x14ac:dyDescent="0.25">
      <c r="A359" t="s">
        <v>78</v>
      </c>
      <c r="B359" t="s">
        <v>281</v>
      </c>
      <c r="C359">
        <v>164</v>
      </c>
      <c r="D359" t="s">
        <v>249</v>
      </c>
    </row>
    <row r="360" spans="1:4" x14ac:dyDescent="0.25">
      <c r="A360" t="s">
        <v>78</v>
      </c>
      <c r="B360" t="s">
        <v>267</v>
      </c>
      <c r="C360">
        <v>130</v>
      </c>
      <c r="D360" t="s">
        <v>249</v>
      </c>
    </row>
    <row r="361" spans="1:4" x14ac:dyDescent="0.25">
      <c r="A361" t="s">
        <v>78</v>
      </c>
      <c r="B361" t="s">
        <v>252</v>
      </c>
      <c r="C361">
        <v>103</v>
      </c>
      <c r="D361" t="s">
        <v>249</v>
      </c>
    </row>
    <row r="362" spans="1:4" x14ac:dyDescent="0.25">
      <c r="A362" t="s">
        <v>78</v>
      </c>
      <c r="B362" t="s">
        <v>287</v>
      </c>
      <c r="C362">
        <v>62</v>
      </c>
      <c r="D362" t="s">
        <v>249</v>
      </c>
    </row>
    <row r="363" spans="1:4" x14ac:dyDescent="0.25">
      <c r="A363" t="s">
        <v>79</v>
      </c>
      <c r="B363" t="s">
        <v>255</v>
      </c>
      <c r="C363">
        <v>34</v>
      </c>
      <c r="D363" t="s">
        <v>249</v>
      </c>
    </row>
    <row r="364" spans="1:4" x14ac:dyDescent="0.25">
      <c r="A364" t="s">
        <v>79</v>
      </c>
      <c r="B364" t="s">
        <v>253</v>
      </c>
      <c r="C364">
        <v>8</v>
      </c>
      <c r="D364" t="s">
        <v>249</v>
      </c>
    </row>
    <row r="365" spans="1:4" x14ac:dyDescent="0.25">
      <c r="A365" t="s">
        <v>79</v>
      </c>
      <c r="B365" t="s">
        <v>282</v>
      </c>
      <c r="C365">
        <v>3</v>
      </c>
      <c r="D365" t="s">
        <v>249</v>
      </c>
    </row>
    <row r="366" spans="1:4" x14ac:dyDescent="0.25">
      <c r="A366" t="s">
        <v>79</v>
      </c>
      <c r="B366" t="s">
        <v>274</v>
      </c>
      <c r="C366">
        <v>2</v>
      </c>
      <c r="D366" t="s">
        <v>249</v>
      </c>
    </row>
    <row r="367" spans="1:4" x14ac:dyDescent="0.25">
      <c r="A367" t="s">
        <v>81</v>
      </c>
      <c r="B367" t="s">
        <v>253</v>
      </c>
      <c r="C367">
        <v>23</v>
      </c>
      <c r="D367" t="s">
        <v>249</v>
      </c>
    </row>
    <row r="368" spans="1:4" x14ac:dyDescent="0.25">
      <c r="A368" t="s">
        <v>81</v>
      </c>
      <c r="B368" t="s">
        <v>283</v>
      </c>
      <c r="C368">
        <v>9</v>
      </c>
      <c r="D368" t="s">
        <v>249</v>
      </c>
    </row>
    <row r="369" spans="1:4" x14ac:dyDescent="0.25">
      <c r="A369" t="s">
        <v>81</v>
      </c>
      <c r="B369" t="s">
        <v>265</v>
      </c>
      <c r="C369">
        <v>4</v>
      </c>
      <c r="D369" t="s">
        <v>249</v>
      </c>
    </row>
    <row r="370" spans="1:4" x14ac:dyDescent="0.25">
      <c r="A370" t="s">
        <v>82</v>
      </c>
      <c r="B370" t="s">
        <v>266</v>
      </c>
      <c r="C370">
        <v>76</v>
      </c>
      <c r="D370" t="s">
        <v>249</v>
      </c>
    </row>
    <row r="371" spans="1:4" x14ac:dyDescent="0.25">
      <c r="A371" t="s">
        <v>82</v>
      </c>
      <c r="B371" t="s">
        <v>255</v>
      </c>
      <c r="C371">
        <v>50</v>
      </c>
      <c r="D371" t="s">
        <v>249</v>
      </c>
    </row>
    <row r="372" spans="1:4" x14ac:dyDescent="0.25">
      <c r="A372" t="s">
        <v>82</v>
      </c>
      <c r="B372" t="s">
        <v>258</v>
      </c>
      <c r="C372">
        <v>34</v>
      </c>
      <c r="D372" t="s">
        <v>249</v>
      </c>
    </row>
    <row r="373" spans="1:4" x14ac:dyDescent="0.25">
      <c r="A373" t="s">
        <v>82</v>
      </c>
      <c r="B373" t="s">
        <v>250</v>
      </c>
      <c r="C373">
        <v>15</v>
      </c>
      <c r="D373" t="s">
        <v>249</v>
      </c>
    </row>
    <row r="374" spans="1:4" x14ac:dyDescent="0.25">
      <c r="A374" t="s">
        <v>82</v>
      </c>
      <c r="B374" t="s">
        <v>251</v>
      </c>
      <c r="C374">
        <v>15</v>
      </c>
      <c r="D374" t="s">
        <v>249</v>
      </c>
    </row>
    <row r="375" spans="1:4" x14ac:dyDescent="0.25">
      <c r="A375" t="s">
        <v>82</v>
      </c>
      <c r="B375" t="s">
        <v>288</v>
      </c>
      <c r="C375">
        <v>14</v>
      </c>
      <c r="D375" t="s">
        <v>249</v>
      </c>
    </row>
    <row r="376" spans="1:4" x14ac:dyDescent="0.25">
      <c r="A376" t="s">
        <v>82</v>
      </c>
      <c r="B376" t="s">
        <v>248</v>
      </c>
      <c r="C376">
        <v>10</v>
      </c>
      <c r="D376" t="s">
        <v>249</v>
      </c>
    </row>
    <row r="377" spans="1:4" x14ac:dyDescent="0.25">
      <c r="A377" t="s">
        <v>82</v>
      </c>
      <c r="B377" t="s">
        <v>261</v>
      </c>
      <c r="C377">
        <v>10</v>
      </c>
      <c r="D377" t="s">
        <v>249</v>
      </c>
    </row>
    <row r="378" spans="1:4" x14ac:dyDescent="0.25">
      <c r="A378" t="s">
        <v>82</v>
      </c>
      <c r="B378" t="s">
        <v>273</v>
      </c>
      <c r="C378">
        <v>7</v>
      </c>
      <c r="D378" t="s">
        <v>249</v>
      </c>
    </row>
    <row r="379" spans="1:4" x14ac:dyDescent="0.25">
      <c r="A379" t="s">
        <v>83</v>
      </c>
      <c r="B379" t="s">
        <v>250</v>
      </c>
      <c r="C379">
        <v>1147</v>
      </c>
      <c r="D379" t="s">
        <v>249</v>
      </c>
    </row>
    <row r="380" spans="1:4" x14ac:dyDescent="0.25">
      <c r="A380" t="s">
        <v>83</v>
      </c>
      <c r="B380" t="s">
        <v>265</v>
      </c>
      <c r="C380">
        <v>398</v>
      </c>
      <c r="D380" t="s">
        <v>249</v>
      </c>
    </row>
    <row r="381" spans="1:4" x14ac:dyDescent="0.25">
      <c r="A381" t="s">
        <v>83</v>
      </c>
      <c r="B381" t="s">
        <v>266</v>
      </c>
      <c r="C381">
        <v>59</v>
      </c>
      <c r="D381" t="s">
        <v>249</v>
      </c>
    </row>
    <row r="382" spans="1:4" x14ac:dyDescent="0.25">
      <c r="A382" t="s">
        <v>83</v>
      </c>
      <c r="B382" t="s">
        <v>270</v>
      </c>
      <c r="C382">
        <v>12</v>
      </c>
      <c r="D382" t="s">
        <v>249</v>
      </c>
    </row>
    <row r="383" spans="1:4" x14ac:dyDescent="0.25">
      <c r="A383" t="s">
        <v>83</v>
      </c>
      <c r="B383" t="s">
        <v>261</v>
      </c>
      <c r="C383">
        <v>12</v>
      </c>
      <c r="D383" t="s">
        <v>249</v>
      </c>
    </row>
    <row r="384" spans="1:4" x14ac:dyDescent="0.25">
      <c r="A384" t="s">
        <v>84</v>
      </c>
      <c r="B384" t="s">
        <v>266</v>
      </c>
      <c r="C384">
        <v>63</v>
      </c>
      <c r="D384" t="s">
        <v>249</v>
      </c>
    </row>
    <row r="385" spans="1:4" x14ac:dyDescent="0.25">
      <c r="A385" t="s">
        <v>84</v>
      </c>
      <c r="B385" t="s">
        <v>260</v>
      </c>
      <c r="C385">
        <v>57</v>
      </c>
      <c r="D385" t="s">
        <v>249</v>
      </c>
    </row>
    <row r="386" spans="1:4" x14ac:dyDescent="0.25">
      <c r="A386" t="s">
        <v>84</v>
      </c>
      <c r="B386" t="s">
        <v>251</v>
      </c>
      <c r="C386">
        <v>22</v>
      </c>
      <c r="D386" t="s">
        <v>249</v>
      </c>
    </row>
    <row r="387" spans="1:4" x14ac:dyDescent="0.25">
      <c r="A387" t="s">
        <v>84</v>
      </c>
      <c r="B387" t="s">
        <v>261</v>
      </c>
      <c r="C387">
        <v>7</v>
      </c>
      <c r="D387" t="s">
        <v>249</v>
      </c>
    </row>
    <row r="388" spans="1:4" x14ac:dyDescent="0.25">
      <c r="A388" t="s">
        <v>84</v>
      </c>
      <c r="B388" t="s">
        <v>258</v>
      </c>
      <c r="C388">
        <v>5</v>
      </c>
      <c r="D388" t="s">
        <v>249</v>
      </c>
    </row>
    <row r="389" spans="1:4" x14ac:dyDescent="0.25">
      <c r="A389" t="s">
        <v>84</v>
      </c>
      <c r="B389" t="s">
        <v>282</v>
      </c>
      <c r="C389">
        <v>4</v>
      </c>
      <c r="D389" t="s">
        <v>249</v>
      </c>
    </row>
    <row r="390" spans="1:4" x14ac:dyDescent="0.25">
      <c r="A390" t="s">
        <v>85</v>
      </c>
      <c r="B390" t="s">
        <v>266</v>
      </c>
      <c r="C390">
        <v>40</v>
      </c>
      <c r="D390" t="s">
        <v>249</v>
      </c>
    </row>
    <row r="391" spans="1:4" x14ac:dyDescent="0.25">
      <c r="A391" t="s">
        <v>85</v>
      </c>
      <c r="B391" t="s">
        <v>255</v>
      </c>
      <c r="C391">
        <v>28</v>
      </c>
      <c r="D391" t="s">
        <v>249</v>
      </c>
    </row>
    <row r="392" spans="1:4" x14ac:dyDescent="0.25">
      <c r="A392" t="s">
        <v>85</v>
      </c>
      <c r="B392" t="s">
        <v>270</v>
      </c>
      <c r="C392">
        <v>19</v>
      </c>
      <c r="D392" t="s">
        <v>249</v>
      </c>
    </row>
    <row r="393" spans="1:4" x14ac:dyDescent="0.25">
      <c r="A393" t="s">
        <v>85</v>
      </c>
      <c r="B393" t="s">
        <v>251</v>
      </c>
      <c r="C393">
        <v>11</v>
      </c>
      <c r="D393" t="s">
        <v>249</v>
      </c>
    </row>
    <row r="394" spans="1:4" x14ac:dyDescent="0.25">
      <c r="A394" t="s">
        <v>85</v>
      </c>
      <c r="B394" t="s">
        <v>250</v>
      </c>
      <c r="C394">
        <v>10</v>
      </c>
      <c r="D394" t="s">
        <v>249</v>
      </c>
    </row>
    <row r="395" spans="1:4" x14ac:dyDescent="0.25">
      <c r="A395" t="s">
        <v>85</v>
      </c>
      <c r="B395" t="s">
        <v>258</v>
      </c>
      <c r="C395">
        <v>9</v>
      </c>
      <c r="D395" t="s">
        <v>249</v>
      </c>
    </row>
    <row r="396" spans="1:4" x14ac:dyDescent="0.25">
      <c r="A396" t="s">
        <v>85</v>
      </c>
      <c r="B396" t="s">
        <v>261</v>
      </c>
      <c r="C396">
        <v>7</v>
      </c>
      <c r="D396" t="s">
        <v>249</v>
      </c>
    </row>
    <row r="397" spans="1:4" x14ac:dyDescent="0.25">
      <c r="A397" t="s">
        <v>86</v>
      </c>
      <c r="B397" t="s">
        <v>250</v>
      </c>
      <c r="C397">
        <v>373</v>
      </c>
      <c r="D397" t="s">
        <v>249</v>
      </c>
    </row>
    <row r="398" spans="1:4" x14ac:dyDescent="0.25">
      <c r="A398" t="s">
        <v>86</v>
      </c>
      <c r="B398" t="s">
        <v>248</v>
      </c>
      <c r="C398">
        <v>326</v>
      </c>
      <c r="D398" t="s">
        <v>249</v>
      </c>
    </row>
    <row r="399" spans="1:4" x14ac:dyDescent="0.25">
      <c r="A399" t="s">
        <v>86</v>
      </c>
      <c r="B399" t="s">
        <v>286</v>
      </c>
      <c r="C399">
        <v>59</v>
      </c>
      <c r="D399" t="s">
        <v>249</v>
      </c>
    </row>
    <row r="400" spans="1:4" x14ac:dyDescent="0.25">
      <c r="A400" t="s">
        <v>86</v>
      </c>
      <c r="B400" t="s">
        <v>265</v>
      </c>
      <c r="C400">
        <v>54</v>
      </c>
      <c r="D400" t="s">
        <v>249</v>
      </c>
    </row>
    <row r="401" spans="1:4" x14ac:dyDescent="0.25">
      <c r="A401" t="s">
        <v>87</v>
      </c>
      <c r="B401" t="s">
        <v>250</v>
      </c>
      <c r="C401">
        <v>134</v>
      </c>
      <c r="D401" t="s">
        <v>249</v>
      </c>
    </row>
    <row r="402" spans="1:4" x14ac:dyDescent="0.25">
      <c r="A402" t="s">
        <v>87</v>
      </c>
      <c r="B402" t="s">
        <v>248</v>
      </c>
      <c r="C402">
        <v>105</v>
      </c>
      <c r="D402" t="s">
        <v>249</v>
      </c>
    </row>
    <row r="403" spans="1:4" x14ac:dyDescent="0.25">
      <c r="A403" t="s">
        <v>87</v>
      </c>
      <c r="B403" t="s">
        <v>277</v>
      </c>
      <c r="C403">
        <v>14</v>
      </c>
      <c r="D403" t="s">
        <v>249</v>
      </c>
    </row>
    <row r="404" spans="1:4" x14ac:dyDescent="0.25">
      <c r="A404" t="s">
        <v>87</v>
      </c>
      <c r="B404" t="s">
        <v>263</v>
      </c>
      <c r="C404">
        <v>10</v>
      </c>
      <c r="D404" t="s">
        <v>249</v>
      </c>
    </row>
    <row r="405" spans="1:4" x14ac:dyDescent="0.25">
      <c r="A405" t="s">
        <v>87</v>
      </c>
      <c r="B405" t="s">
        <v>252</v>
      </c>
      <c r="C405">
        <v>9</v>
      </c>
      <c r="D405" t="s">
        <v>249</v>
      </c>
    </row>
    <row r="406" spans="1:4" x14ac:dyDescent="0.25">
      <c r="A406" t="s">
        <v>88</v>
      </c>
      <c r="B406" t="s">
        <v>248</v>
      </c>
      <c r="C406">
        <v>305</v>
      </c>
      <c r="D406" t="s">
        <v>249</v>
      </c>
    </row>
    <row r="407" spans="1:4" x14ac:dyDescent="0.25">
      <c r="A407" t="s">
        <v>88</v>
      </c>
      <c r="B407" t="s">
        <v>250</v>
      </c>
      <c r="C407">
        <v>238</v>
      </c>
      <c r="D407" t="s">
        <v>249</v>
      </c>
    </row>
    <row r="408" spans="1:4" x14ac:dyDescent="0.25">
      <c r="A408" t="s">
        <v>88</v>
      </c>
      <c r="B408" t="s">
        <v>262</v>
      </c>
      <c r="C408">
        <v>114</v>
      </c>
      <c r="D408" t="s">
        <v>249</v>
      </c>
    </row>
    <row r="409" spans="1:4" x14ac:dyDescent="0.25">
      <c r="A409" t="s">
        <v>88</v>
      </c>
      <c r="B409" t="s">
        <v>257</v>
      </c>
      <c r="C409">
        <v>87</v>
      </c>
      <c r="D409" t="s">
        <v>249</v>
      </c>
    </row>
    <row r="410" spans="1:4" x14ac:dyDescent="0.25">
      <c r="A410" t="s">
        <v>88</v>
      </c>
      <c r="B410" t="s">
        <v>253</v>
      </c>
      <c r="C410">
        <v>66</v>
      </c>
      <c r="D410" t="s">
        <v>249</v>
      </c>
    </row>
    <row r="411" spans="1:4" x14ac:dyDescent="0.25">
      <c r="A411" t="s">
        <v>88</v>
      </c>
      <c r="B411" t="s">
        <v>263</v>
      </c>
      <c r="C411">
        <v>61</v>
      </c>
      <c r="D411" t="s">
        <v>249</v>
      </c>
    </row>
    <row r="412" spans="1:4" x14ac:dyDescent="0.25">
      <c r="A412" t="s">
        <v>89</v>
      </c>
      <c r="B412" t="s">
        <v>251</v>
      </c>
      <c r="C412">
        <v>191</v>
      </c>
      <c r="D412" t="s">
        <v>249</v>
      </c>
    </row>
    <row r="413" spans="1:4" x14ac:dyDescent="0.25">
      <c r="A413" t="s">
        <v>89</v>
      </c>
      <c r="B413" t="s">
        <v>260</v>
      </c>
      <c r="C413">
        <v>5</v>
      </c>
      <c r="D413" t="s">
        <v>249</v>
      </c>
    </row>
    <row r="414" spans="1:4" x14ac:dyDescent="0.25">
      <c r="A414" t="s">
        <v>89</v>
      </c>
      <c r="B414" t="s">
        <v>261</v>
      </c>
      <c r="C414">
        <v>3</v>
      </c>
      <c r="D414" t="s">
        <v>249</v>
      </c>
    </row>
    <row r="415" spans="1:4" x14ac:dyDescent="0.25">
      <c r="A415" t="s">
        <v>90</v>
      </c>
      <c r="B415" t="s">
        <v>282</v>
      </c>
      <c r="C415">
        <v>328</v>
      </c>
      <c r="D415" t="s">
        <v>249</v>
      </c>
    </row>
    <row r="416" spans="1:4" x14ac:dyDescent="0.25">
      <c r="A416" t="s">
        <v>90</v>
      </c>
      <c r="B416" t="s">
        <v>255</v>
      </c>
      <c r="C416">
        <v>109</v>
      </c>
      <c r="D416" t="s">
        <v>249</v>
      </c>
    </row>
    <row r="417" spans="1:4" x14ac:dyDescent="0.25">
      <c r="A417" t="s">
        <v>90</v>
      </c>
      <c r="B417" t="s">
        <v>251</v>
      </c>
      <c r="C417">
        <v>99</v>
      </c>
      <c r="D417" t="s">
        <v>249</v>
      </c>
    </row>
    <row r="418" spans="1:4" x14ac:dyDescent="0.25">
      <c r="A418" t="s">
        <v>90</v>
      </c>
      <c r="B418" t="s">
        <v>266</v>
      </c>
      <c r="C418">
        <v>90</v>
      </c>
      <c r="D418" t="s">
        <v>249</v>
      </c>
    </row>
    <row r="419" spans="1:4" x14ac:dyDescent="0.25">
      <c r="A419" t="s">
        <v>90</v>
      </c>
      <c r="B419" t="s">
        <v>260</v>
      </c>
      <c r="C419">
        <v>72</v>
      </c>
      <c r="D419" t="s">
        <v>249</v>
      </c>
    </row>
    <row r="420" spans="1:4" x14ac:dyDescent="0.25">
      <c r="A420" t="s">
        <v>90</v>
      </c>
      <c r="B420" t="s">
        <v>270</v>
      </c>
      <c r="C420">
        <v>64</v>
      </c>
      <c r="D420" t="s">
        <v>249</v>
      </c>
    </row>
    <row r="421" spans="1:4" x14ac:dyDescent="0.25">
      <c r="A421" t="s">
        <v>90</v>
      </c>
      <c r="B421" t="s">
        <v>280</v>
      </c>
      <c r="C421">
        <v>33</v>
      </c>
      <c r="D421" t="s">
        <v>249</v>
      </c>
    </row>
    <row r="422" spans="1:4" x14ac:dyDescent="0.25">
      <c r="A422" t="s">
        <v>90</v>
      </c>
      <c r="B422" t="s">
        <v>274</v>
      </c>
      <c r="C422">
        <v>13</v>
      </c>
      <c r="D422" t="s">
        <v>249</v>
      </c>
    </row>
    <row r="423" spans="1:4" x14ac:dyDescent="0.25">
      <c r="A423" t="s">
        <v>90</v>
      </c>
      <c r="B423" t="s">
        <v>272</v>
      </c>
      <c r="C423">
        <v>10</v>
      </c>
      <c r="D423" t="s">
        <v>249</v>
      </c>
    </row>
    <row r="424" spans="1:4" x14ac:dyDescent="0.25">
      <c r="A424" t="s">
        <v>90</v>
      </c>
      <c r="B424" t="s">
        <v>261</v>
      </c>
      <c r="C424">
        <v>9</v>
      </c>
      <c r="D424" t="s">
        <v>249</v>
      </c>
    </row>
    <row r="425" spans="1:4" x14ac:dyDescent="0.25">
      <c r="A425" t="s">
        <v>90</v>
      </c>
      <c r="B425" t="s">
        <v>262</v>
      </c>
      <c r="C425">
        <v>8</v>
      </c>
      <c r="D425" t="s">
        <v>249</v>
      </c>
    </row>
    <row r="426" spans="1:4" x14ac:dyDescent="0.25">
      <c r="A426" t="s">
        <v>90</v>
      </c>
      <c r="B426" t="s">
        <v>271</v>
      </c>
      <c r="C426">
        <v>4</v>
      </c>
      <c r="D426" t="s">
        <v>249</v>
      </c>
    </row>
    <row r="427" spans="1:4" x14ac:dyDescent="0.25">
      <c r="A427" t="s">
        <v>91</v>
      </c>
      <c r="B427" t="s">
        <v>259</v>
      </c>
      <c r="C427">
        <v>23</v>
      </c>
      <c r="D427" t="s">
        <v>249</v>
      </c>
    </row>
    <row r="428" spans="1:4" x14ac:dyDescent="0.25">
      <c r="A428" t="s">
        <v>91</v>
      </c>
      <c r="B428" t="s">
        <v>288</v>
      </c>
      <c r="C428">
        <v>13</v>
      </c>
      <c r="D428" t="s">
        <v>249</v>
      </c>
    </row>
    <row r="429" spans="1:4" x14ac:dyDescent="0.25">
      <c r="A429" t="s">
        <v>91</v>
      </c>
      <c r="B429" t="s">
        <v>251</v>
      </c>
      <c r="C429">
        <v>9</v>
      </c>
      <c r="D429" t="s">
        <v>249</v>
      </c>
    </row>
    <row r="430" spans="1:4" x14ac:dyDescent="0.25">
      <c r="A430" t="s">
        <v>92</v>
      </c>
      <c r="B430" t="s">
        <v>282</v>
      </c>
      <c r="C430">
        <v>4551</v>
      </c>
      <c r="D430" t="s">
        <v>249</v>
      </c>
    </row>
    <row r="431" spans="1:4" x14ac:dyDescent="0.25">
      <c r="A431" t="s">
        <v>92</v>
      </c>
      <c r="B431" t="s">
        <v>280</v>
      </c>
      <c r="C431">
        <v>2664</v>
      </c>
      <c r="D431" t="s">
        <v>249</v>
      </c>
    </row>
    <row r="432" spans="1:4" x14ac:dyDescent="0.25">
      <c r="A432" t="s">
        <v>92</v>
      </c>
      <c r="B432" t="s">
        <v>248</v>
      </c>
      <c r="C432">
        <v>710</v>
      </c>
      <c r="D432" t="s">
        <v>249</v>
      </c>
    </row>
    <row r="433" spans="1:4" x14ac:dyDescent="0.25">
      <c r="A433" t="s">
        <v>92</v>
      </c>
      <c r="B433" t="s">
        <v>250</v>
      </c>
      <c r="C433">
        <v>250</v>
      </c>
      <c r="D433" t="s">
        <v>249</v>
      </c>
    </row>
    <row r="434" spans="1:4" x14ac:dyDescent="0.25">
      <c r="A434" t="s">
        <v>92</v>
      </c>
      <c r="B434" t="s">
        <v>276</v>
      </c>
      <c r="C434">
        <v>213</v>
      </c>
      <c r="D434" t="s">
        <v>249</v>
      </c>
    </row>
    <row r="435" spans="1:4" x14ac:dyDescent="0.25">
      <c r="A435" t="s">
        <v>92</v>
      </c>
      <c r="B435" t="s">
        <v>257</v>
      </c>
      <c r="C435">
        <v>71</v>
      </c>
      <c r="D435" t="s">
        <v>249</v>
      </c>
    </row>
    <row r="436" spans="1:4" x14ac:dyDescent="0.25">
      <c r="A436" t="s">
        <v>93</v>
      </c>
      <c r="B436" t="s">
        <v>248</v>
      </c>
      <c r="C436">
        <v>55</v>
      </c>
      <c r="D436" t="s">
        <v>249</v>
      </c>
    </row>
    <row r="437" spans="1:4" x14ac:dyDescent="0.25">
      <c r="A437" t="s">
        <v>93</v>
      </c>
      <c r="B437" t="s">
        <v>276</v>
      </c>
      <c r="C437">
        <v>17</v>
      </c>
      <c r="D437" t="s">
        <v>249</v>
      </c>
    </row>
    <row r="438" spans="1:4" x14ac:dyDescent="0.25">
      <c r="A438" t="s">
        <v>93</v>
      </c>
      <c r="B438" t="s">
        <v>252</v>
      </c>
      <c r="C438">
        <v>6</v>
      </c>
      <c r="D438" t="s">
        <v>249</v>
      </c>
    </row>
    <row r="439" spans="1:4" x14ac:dyDescent="0.25">
      <c r="A439" t="s">
        <v>93</v>
      </c>
      <c r="B439" t="s">
        <v>254</v>
      </c>
      <c r="C439">
        <v>6</v>
      </c>
      <c r="D439" t="s">
        <v>249</v>
      </c>
    </row>
    <row r="440" spans="1:4" x14ac:dyDescent="0.25">
      <c r="A440" t="s">
        <v>9</v>
      </c>
      <c r="B440" t="s">
        <v>289</v>
      </c>
      <c r="C440">
        <v>11</v>
      </c>
      <c r="D440" t="s">
        <v>290</v>
      </c>
    </row>
    <row r="441" spans="1:4" x14ac:dyDescent="0.25">
      <c r="A441" t="s">
        <v>10</v>
      </c>
      <c r="B441" t="s">
        <v>289</v>
      </c>
      <c r="C441">
        <v>162</v>
      </c>
      <c r="D441" t="s">
        <v>290</v>
      </c>
    </row>
    <row r="442" spans="1:4" x14ac:dyDescent="0.25">
      <c r="A442" t="s">
        <v>13</v>
      </c>
      <c r="B442" t="s">
        <v>289</v>
      </c>
      <c r="C442">
        <v>8</v>
      </c>
      <c r="D442" t="s">
        <v>290</v>
      </c>
    </row>
    <row r="443" spans="1:4" x14ac:dyDescent="0.25">
      <c r="A443" t="s">
        <v>14</v>
      </c>
      <c r="B443" t="s">
        <v>289</v>
      </c>
      <c r="C443">
        <v>16</v>
      </c>
      <c r="D443" t="s">
        <v>290</v>
      </c>
    </row>
    <row r="444" spans="1:4" x14ac:dyDescent="0.25">
      <c r="A444" t="s">
        <v>15</v>
      </c>
      <c r="B444" t="s">
        <v>289</v>
      </c>
      <c r="C444">
        <v>5</v>
      </c>
      <c r="D444" t="s">
        <v>290</v>
      </c>
    </row>
    <row r="445" spans="1:4" x14ac:dyDescent="0.25">
      <c r="A445" t="s">
        <v>16</v>
      </c>
      <c r="B445" t="s">
        <v>289</v>
      </c>
      <c r="C445">
        <v>51</v>
      </c>
      <c r="D445" t="s">
        <v>290</v>
      </c>
    </row>
    <row r="446" spans="1:4" x14ac:dyDescent="0.25">
      <c r="A446" t="s">
        <v>17</v>
      </c>
      <c r="B446" t="s">
        <v>289</v>
      </c>
      <c r="C446">
        <v>15</v>
      </c>
      <c r="D446" t="s">
        <v>290</v>
      </c>
    </row>
    <row r="447" spans="1:4" x14ac:dyDescent="0.25">
      <c r="A447" t="s">
        <v>18</v>
      </c>
      <c r="B447" t="s">
        <v>289</v>
      </c>
      <c r="C447">
        <v>35</v>
      </c>
      <c r="D447" t="s">
        <v>290</v>
      </c>
    </row>
    <row r="448" spans="1:4" x14ac:dyDescent="0.25">
      <c r="A448" t="s">
        <v>25</v>
      </c>
      <c r="B448" t="s">
        <v>289</v>
      </c>
      <c r="C448">
        <v>33</v>
      </c>
      <c r="D448" t="s">
        <v>290</v>
      </c>
    </row>
    <row r="449" spans="1:4" x14ac:dyDescent="0.25">
      <c r="A449" t="s">
        <v>26</v>
      </c>
      <c r="B449" t="s">
        <v>289</v>
      </c>
      <c r="C449">
        <v>99</v>
      </c>
      <c r="D449" t="s">
        <v>290</v>
      </c>
    </row>
    <row r="450" spans="1:4" x14ac:dyDescent="0.25">
      <c r="A450" t="s">
        <v>28</v>
      </c>
      <c r="B450" t="s">
        <v>289</v>
      </c>
      <c r="C450">
        <v>7</v>
      </c>
      <c r="D450" t="s">
        <v>290</v>
      </c>
    </row>
    <row r="451" spans="1:4" x14ac:dyDescent="0.25">
      <c r="A451" t="s">
        <v>34</v>
      </c>
      <c r="B451" t="s">
        <v>289</v>
      </c>
      <c r="C451">
        <v>19</v>
      </c>
      <c r="D451" t="s">
        <v>290</v>
      </c>
    </row>
    <row r="452" spans="1:4" x14ac:dyDescent="0.25">
      <c r="A452" t="s">
        <v>37</v>
      </c>
      <c r="B452" t="s">
        <v>289</v>
      </c>
      <c r="C452">
        <v>46</v>
      </c>
      <c r="D452" t="s">
        <v>290</v>
      </c>
    </row>
    <row r="453" spans="1:4" x14ac:dyDescent="0.25">
      <c r="A453" t="s">
        <v>38</v>
      </c>
      <c r="B453" t="s">
        <v>289</v>
      </c>
      <c r="C453">
        <v>4</v>
      </c>
      <c r="D453" t="s">
        <v>290</v>
      </c>
    </row>
    <row r="454" spans="1:4" x14ac:dyDescent="0.25">
      <c r="A454" t="s">
        <v>39</v>
      </c>
      <c r="B454" t="s">
        <v>289</v>
      </c>
      <c r="C454">
        <v>40</v>
      </c>
      <c r="D454" t="s">
        <v>290</v>
      </c>
    </row>
    <row r="455" spans="1:4" x14ac:dyDescent="0.25">
      <c r="A455" t="s">
        <v>40</v>
      </c>
      <c r="B455" t="s">
        <v>289</v>
      </c>
      <c r="C455">
        <v>103</v>
      </c>
      <c r="D455" t="s">
        <v>290</v>
      </c>
    </row>
    <row r="456" spans="1:4" x14ac:dyDescent="0.25">
      <c r="A456" t="s">
        <v>41</v>
      </c>
      <c r="B456" t="s">
        <v>289</v>
      </c>
      <c r="C456">
        <v>9</v>
      </c>
      <c r="D456" t="s">
        <v>290</v>
      </c>
    </row>
    <row r="457" spans="1:4" x14ac:dyDescent="0.25">
      <c r="A457" t="s">
        <v>42</v>
      </c>
      <c r="B457" t="s">
        <v>289</v>
      </c>
      <c r="C457">
        <v>63</v>
      </c>
      <c r="D457" t="s">
        <v>290</v>
      </c>
    </row>
    <row r="458" spans="1:4" x14ac:dyDescent="0.25">
      <c r="A458" t="s">
        <v>44</v>
      </c>
      <c r="B458" t="s">
        <v>291</v>
      </c>
      <c r="C458">
        <v>72</v>
      </c>
      <c r="D458" t="s">
        <v>290</v>
      </c>
    </row>
    <row r="459" spans="1:4" x14ac:dyDescent="0.25">
      <c r="A459" t="s">
        <v>47</v>
      </c>
      <c r="B459" t="s">
        <v>292</v>
      </c>
      <c r="C459">
        <v>289</v>
      </c>
      <c r="D459" t="s">
        <v>290</v>
      </c>
    </row>
    <row r="460" spans="1:4" x14ac:dyDescent="0.25">
      <c r="A460" t="s">
        <v>48</v>
      </c>
      <c r="B460" t="s">
        <v>289</v>
      </c>
      <c r="C460">
        <v>8</v>
      </c>
      <c r="D460" t="s">
        <v>290</v>
      </c>
    </row>
    <row r="461" spans="1:4" x14ac:dyDescent="0.25">
      <c r="A461" t="s">
        <v>52</v>
      </c>
      <c r="B461" t="s">
        <v>289</v>
      </c>
      <c r="C461">
        <v>6</v>
      </c>
      <c r="D461" t="s">
        <v>290</v>
      </c>
    </row>
    <row r="462" spans="1:4" x14ac:dyDescent="0.25">
      <c r="A462" t="s">
        <v>53</v>
      </c>
      <c r="B462" t="s">
        <v>289</v>
      </c>
      <c r="C462">
        <v>101</v>
      </c>
      <c r="D462" t="s">
        <v>290</v>
      </c>
    </row>
    <row r="463" spans="1:4" x14ac:dyDescent="0.25">
      <c r="A463" t="s">
        <v>58</v>
      </c>
      <c r="B463" t="s">
        <v>292</v>
      </c>
      <c r="C463">
        <v>52</v>
      </c>
      <c r="D463" t="s">
        <v>290</v>
      </c>
    </row>
    <row r="464" spans="1:4" x14ac:dyDescent="0.25">
      <c r="A464" t="s">
        <v>60</v>
      </c>
      <c r="B464" t="s">
        <v>289</v>
      </c>
      <c r="C464">
        <v>8</v>
      </c>
      <c r="D464" t="s">
        <v>290</v>
      </c>
    </row>
    <row r="465" spans="1:4" x14ac:dyDescent="0.25">
      <c r="A465" t="s">
        <v>62</v>
      </c>
      <c r="B465" t="s">
        <v>291</v>
      </c>
      <c r="C465">
        <v>181</v>
      </c>
      <c r="D465" t="s">
        <v>290</v>
      </c>
    </row>
    <row r="466" spans="1:4" x14ac:dyDescent="0.25">
      <c r="A466" t="s">
        <v>65</v>
      </c>
      <c r="B466" t="s">
        <v>289</v>
      </c>
      <c r="C466">
        <v>39</v>
      </c>
      <c r="D466" t="s">
        <v>290</v>
      </c>
    </row>
    <row r="467" spans="1:4" x14ac:dyDescent="0.25">
      <c r="A467" t="s">
        <v>66</v>
      </c>
      <c r="B467" t="s">
        <v>289</v>
      </c>
      <c r="C467">
        <v>29</v>
      </c>
      <c r="D467" t="s">
        <v>290</v>
      </c>
    </row>
    <row r="468" spans="1:4" x14ac:dyDescent="0.25">
      <c r="A468" t="s">
        <v>67</v>
      </c>
      <c r="B468" t="s">
        <v>289</v>
      </c>
      <c r="C468">
        <v>57</v>
      </c>
      <c r="D468" t="s">
        <v>290</v>
      </c>
    </row>
    <row r="469" spans="1:4" x14ac:dyDescent="0.25">
      <c r="A469" t="s">
        <v>70</v>
      </c>
      <c r="B469" t="s">
        <v>289</v>
      </c>
      <c r="C469">
        <v>18</v>
      </c>
      <c r="D469" t="s">
        <v>290</v>
      </c>
    </row>
    <row r="470" spans="1:4" x14ac:dyDescent="0.25">
      <c r="A470" t="s">
        <v>72</v>
      </c>
      <c r="B470" t="s">
        <v>289</v>
      </c>
      <c r="C470">
        <v>53</v>
      </c>
      <c r="D470" t="s">
        <v>290</v>
      </c>
    </row>
    <row r="471" spans="1:4" x14ac:dyDescent="0.25">
      <c r="A471" t="s">
        <v>75</v>
      </c>
      <c r="B471" t="s">
        <v>289</v>
      </c>
      <c r="C471">
        <v>63</v>
      </c>
      <c r="D471" t="s">
        <v>290</v>
      </c>
    </row>
    <row r="472" spans="1:4" x14ac:dyDescent="0.25">
      <c r="A472" t="s">
        <v>75</v>
      </c>
      <c r="B472" t="s">
        <v>292</v>
      </c>
      <c r="C472">
        <v>52</v>
      </c>
      <c r="D472" t="s">
        <v>290</v>
      </c>
    </row>
    <row r="473" spans="1:4" x14ac:dyDescent="0.25">
      <c r="A473" t="s">
        <v>76</v>
      </c>
      <c r="B473" t="s">
        <v>289</v>
      </c>
      <c r="C473">
        <v>105</v>
      </c>
      <c r="D473" t="s">
        <v>290</v>
      </c>
    </row>
    <row r="474" spans="1:4" x14ac:dyDescent="0.25">
      <c r="A474" t="s">
        <v>79</v>
      </c>
      <c r="B474" t="s">
        <v>289</v>
      </c>
      <c r="C474">
        <v>13</v>
      </c>
      <c r="D474" t="s">
        <v>290</v>
      </c>
    </row>
    <row r="475" spans="1:4" x14ac:dyDescent="0.25">
      <c r="A475" t="s">
        <v>82</v>
      </c>
      <c r="B475" t="s">
        <v>289</v>
      </c>
      <c r="C475">
        <v>33</v>
      </c>
      <c r="D475" t="s">
        <v>290</v>
      </c>
    </row>
    <row r="476" spans="1:4" x14ac:dyDescent="0.25">
      <c r="A476" t="s">
        <v>83</v>
      </c>
      <c r="B476" t="s">
        <v>289</v>
      </c>
      <c r="C476">
        <v>22</v>
      </c>
      <c r="D476" t="s">
        <v>290</v>
      </c>
    </row>
    <row r="477" spans="1:4" x14ac:dyDescent="0.25">
      <c r="A477" t="s">
        <v>84</v>
      </c>
      <c r="B477" t="s">
        <v>289</v>
      </c>
      <c r="C477">
        <v>22</v>
      </c>
      <c r="D477" t="s">
        <v>290</v>
      </c>
    </row>
    <row r="478" spans="1:4" x14ac:dyDescent="0.25">
      <c r="A478" t="s">
        <v>85</v>
      </c>
      <c r="B478" t="s">
        <v>289</v>
      </c>
      <c r="C478">
        <v>41</v>
      </c>
      <c r="D478" t="s">
        <v>290</v>
      </c>
    </row>
    <row r="479" spans="1:4" x14ac:dyDescent="0.25">
      <c r="A479" t="s">
        <v>89</v>
      </c>
      <c r="B479" t="s">
        <v>289</v>
      </c>
      <c r="C479">
        <v>12</v>
      </c>
      <c r="D479" t="s">
        <v>290</v>
      </c>
    </row>
    <row r="480" spans="1:4" x14ac:dyDescent="0.25">
      <c r="A480" t="s">
        <v>90</v>
      </c>
      <c r="B480" t="s">
        <v>289</v>
      </c>
      <c r="C480">
        <v>115</v>
      </c>
      <c r="D480" t="s">
        <v>290</v>
      </c>
    </row>
    <row r="481" spans="1:4" x14ac:dyDescent="0.25">
      <c r="A481" t="s">
        <v>91</v>
      </c>
      <c r="B481" t="s">
        <v>289</v>
      </c>
      <c r="C481">
        <v>18</v>
      </c>
      <c r="D481" t="s">
        <v>290</v>
      </c>
    </row>
    <row r="482" spans="1:4" x14ac:dyDescent="0.25">
      <c r="A482" t="s">
        <v>14</v>
      </c>
      <c r="B482" t="s">
        <v>293</v>
      </c>
      <c r="C482">
        <v>18</v>
      </c>
      <c r="D482" t="s">
        <v>294</v>
      </c>
    </row>
    <row r="483" spans="1:4" x14ac:dyDescent="0.25">
      <c r="A483" t="s">
        <v>15</v>
      </c>
      <c r="B483" t="s">
        <v>293</v>
      </c>
      <c r="C483">
        <v>4</v>
      </c>
      <c r="D483" t="s">
        <v>294</v>
      </c>
    </row>
    <row r="484" spans="1:4" x14ac:dyDescent="0.25">
      <c r="A484" t="s">
        <v>16</v>
      </c>
      <c r="B484" t="s">
        <v>293</v>
      </c>
      <c r="C484">
        <v>7</v>
      </c>
      <c r="D484" t="s">
        <v>294</v>
      </c>
    </row>
    <row r="485" spans="1:4" x14ac:dyDescent="0.25">
      <c r="A485" t="s">
        <v>19</v>
      </c>
      <c r="B485" t="s">
        <v>293</v>
      </c>
      <c r="C485">
        <v>7</v>
      </c>
      <c r="D485" t="s">
        <v>294</v>
      </c>
    </row>
    <row r="486" spans="1:4" x14ac:dyDescent="0.25">
      <c r="A486" t="s">
        <v>22</v>
      </c>
      <c r="B486" t="s">
        <v>293</v>
      </c>
      <c r="C486">
        <v>3</v>
      </c>
      <c r="D486" t="s">
        <v>294</v>
      </c>
    </row>
    <row r="487" spans="1:4" x14ac:dyDescent="0.25">
      <c r="A487" t="s">
        <v>24</v>
      </c>
      <c r="B487" t="s">
        <v>293</v>
      </c>
      <c r="C487">
        <v>21</v>
      </c>
      <c r="D487" t="s">
        <v>294</v>
      </c>
    </row>
    <row r="488" spans="1:4" x14ac:dyDescent="0.25">
      <c r="A488" t="s">
        <v>25</v>
      </c>
      <c r="B488" t="s">
        <v>293</v>
      </c>
      <c r="C488">
        <v>6</v>
      </c>
      <c r="D488" t="s">
        <v>294</v>
      </c>
    </row>
    <row r="489" spans="1:4" x14ac:dyDescent="0.25">
      <c r="A489" t="s">
        <v>26</v>
      </c>
      <c r="B489" t="s">
        <v>293</v>
      </c>
      <c r="C489">
        <v>3</v>
      </c>
      <c r="D489" t="s">
        <v>294</v>
      </c>
    </row>
    <row r="490" spans="1:4" x14ac:dyDescent="0.25">
      <c r="A490" t="s">
        <v>29</v>
      </c>
      <c r="B490" t="s">
        <v>293</v>
      </c>
      <c r="C490">
        <v>12</v>
      </c>
      <c r="D490" t="s">
        <v>294</v>
      </c>
    </row>
    <row r="491" spans="1:4" x14ac:dyDescent="0.25">
      <c r="A491" t="s">
        <v>37</v>
      </c>
      <c r="B491" t="s">
        <v>293</v>
      </c>
      <c r="C491">
        <v>8</v>
      </c>
      <c r="D491" t="s">
        <v>294</v>
      </c>
    </row>
    <row r="492" spans="1:4" x14ac:dyDescent="0.25">
      <c r="A492" t="s">
        <v>38</v>
      </c>
      <c r="B492" t="s">
        <v>293</v>
      </c>
      <c r="C492">
        <v>13</v>
      </c>
      <c r="D492" t="s">
        <v>294</v>
      </c>
    </row>
    <row r="493" spans="1:4" x14ac:dyDescent="0.25">
      <c r="A493" t="s">
        <v>39</v>
      </c>
      <c r="B493" t="s">
        <v>293</v>
      </c>
      <c r="C493">
        <v>17</v>
      </c>
      <c r="D493" t="s">
        <v>294</v>
      </c>
    </row>
    <row r="494" spans="1:4" x14ac:dyDescent="0.25">
      <c r="A494" t="s">
        <v>42</v>
      </c>
      <c r="B494" t="s">
        <v>293</v>
      </c>
      <c r="C494">
        <v>6</v>
      </c>
      <c r="D494" t="s">
        <v>294</v>
      </c>
    </row>
    <row r="495" spans="1:4" x14ac:dyDescent="0.25">
      <c r="A495" t="s">
        <v>45</v>
      </c>
      <c r="B495" t="s">
        <v>293</v>
      </c>
      <c r="C495">
        <v>17</v>
      </c>
      <c r="D495" t="s">
        <v>294</v>
      </c>
    </row>
    <row r="496" spans="1:4" x14ac:dyDescent="0.25">
      <c r="A496" t="s">
        <v>48</v>
      </c>
      <c r="B496" t="s">
        <v>293</v>
      </c>
      <c r="C496">
        <v>3</v>
      </c>
      <c r="D496" t="s">
        <v>294</v>
      </c>
    </row>
    <row r="497" spans="1:4" x14ac:dyDescent="0.25">
      <c r="A497" t="s">
        <v>51</v>
      </c>
      <c r="B497" t="s">
        <v>293</v>
      </c>
      <c r="C497">
        <v>13</v>
      </c>
      <c r="D497" t="s">
        <v>294</v>
      </c>
    </row>
    <row r="498" spans="1:4" x14ac:dyDescent="0.25">
      <c r="A498" t="s">
        <v>53</v>
      </c>
      <c r="B498" t="s">
        <v>293</v>
      </c>
      <c r="C498">
        <v>6</v>
      </c>
      <c r="D498" t="s">
        <v>294</v>
      </c>
    </row>
    <row r="499" spans="1:4" x14ac:dyDescent="0.25">
      <c r="A499" t="s">
        <v>58</v>
      </c>
      <c r="B499" t="s">
        <v>293</v>
      </c>
      <c r="C499">
        <v>34</v>
      </c>
      <c r="D499" t="s">
        <v>294</v>
      </c>
    </row>
    <row r="500" spans="1:4" x14ac:dyDescent="0.25">
      <c r="A500" t="s">
        <v>59</v>
      </c>
      <c r="B500" t="s">
        <v>293</v>
      </c>
      <c r="C500">
        <v>7</v>
      </c>
      <c r="D500" t="s">
        <v>294</v>
      </c>
    </row>
    <row r="501" spans="1:4" x14ac:dyDescent="0.25">
      <c r="A501" t="s">
        <v>67</v>
      </c>
      <c r="B501" t="s">
        <v>293</v>
      </c>
      <c r="C501">
        <v>43</v>
      </c>
      <c r="D501" t="s">
        <v>294</v>
      </c>
    </row>
    <row r="502" spans="1:4" x14ac:dyDescent="0.25">
      <c r="A502" t="s">
        <v>82</v>
      </c>
      <c r="B502" t="s">
        <v>293</v>
      </c>
      <c r="C502">
        <v>15</v>
      </c>
      <c r="D502" t="s">
        <v>294</v>
      </c>
    </row>
    <row r="503" spans="1:4" x14ac:dyDescent="0.25">
      <c r="A503" t="s">
        <v>89</v>
      </c>
      <c r="B503" t="s">
        <v>293</v>
      </c>
      <c r="C503">
        <v>3</v>
      </c>
      <c r="D503" t="s">
        <v>294</v>
      </c>
    </row>
    <row r="504" spans="1:4" x14ac:dyDescent="0.25">
      <c r="A504" t="s">
        <v>7</v>
      </c>
      <c r="B504" t="s">
        <v>295</v>
      </c>
      <c r="C504">
        <v>29</v>
      </c>
      <c r="D504" t="s">
        <v>296</v>
      </c>
    </row>
    <row r="505" spans="1:4" x14ac:dyDescent="0.25">
      <c r="A505" t="s">
        <v>12</v>
      </c>
      <c r="B505" t="s">
        <v>295</v>
      </c>
      <c r="C505">
        <v>60</v>
      </c>
      <c r="D505" t="s">
        <v>296</v>
      </c>
    </row>
    <row r="506" spans="1:4" x14ac:dyDescent="0.25">
      <c r="A506" t="s">
        <v>14</v>
      </c>
      <c r="B506" t="s">
        <v>295</v>
      </c>
      <c r="C506">
        <v>6</v>
      </c>
      <c r="D506" t="s">
        <v>296</v>
      </c>
    </row>
    <row r="507" spans="1:4" x14ac:dyDescent="0.25">
      <c r="A507" t="s">
        <v>15</v>
      </c>
      <c r="B507" t="s">
        <v>295</v>
      </c>
      <c r="C507">
        <v>3</v>
      </c>
      <c r="D507" t="s">
        <v>296</v>
      </c>
    </row>
    <row r="508" spans="1:4" x14ac:dyDescent="0.25">
      <c r="A508" t="s">
        <v>24</v>
      </c>
      <c r="B508" t="s">
        <v>295</v>
      </c>
      <c r="C508">
        <v>2</v>
      </c>
      <c r="D508" t="s">
        <v>296</v>
      </c>
    </row>
    <row r="509" spans="1:4" x14ac:dyDescent="0.25">
      <c r="A509" t="s">
        <v>29</v>
      </c>
      <c r="B509" t="s">
        <v>295</v>
      </c>
      <c r="C509">
        <v>11</v>
      </c>
      <c r="D509" t="s">
        <v>296</v>
      </c>
    </row>
    <row r="510" spans="1:4" x14ac:dyDescent="0.25">
      <c r="A510" t="s">
        <v>41</v>
      </c>
      <c r="B510" t="s">
        <v>295</v>
      </c>
      <c r="C510">
        <v>12</v>
      </c>
      <c r="D510" t="s">
        <v>296</v>
      </c>
    </row>
    <row r="511" spans="1:4" x14ac:dyDescent="0.25">
      <c r="A511" t="s">
        <v>49</v>
      </c>
      <c r="B511" t="s">
        <v>295</v>
      </c>
      <c r="C511">
        <v>33</v>
      </c>
      <c r="D511" t="s">
        <v>296</v>
      </c>
    </row>
    <row r="512" spans="1:4" x14ac:dyDescent="0.25">
      <c r="A512" t="s">
        <v>53</v>
      </c>
      <c r="B512" t="s">
        <v>295</v>
      </c>
      <c r="C512">
        <v>3</v>
      </c>
      <c r="D512" t="s">
        <v>296</v>
      </c>
    </row>
    <row r="513" spans="1:4" x14ac:dyDescent="0.25">
      <c r="A513" t="s">
        <v>54</v>
      </c>
      <c r="B513" t="s">
        <v>295</v>
      </c>
      <c r="C513">
        <v>66</v>
      </c>
      <c r="D513" t="s">
        <v>296</v>
      </c>
    </row>
    <row r="514" spans="1:4" x14ac:dyDescent="0.25">
      <c r="A514" t="s">
        <v>57</v>
      </c>
      <c r="B514" t="s">
        <v>295</v>
      </c>
      <c r="C514">
        <v>72</v>
      </c>
      <c r="D514" t="s">
        <v>296</v>
      </c>
    </row>
    <row r="515" spans="1:4" x14ac:dyDescent="0.25">
      <c r="A515" t="s">
        <v>61</v>
      </c>
      <c r="B515" t="s">
        <v>295</v>
      </c>
      <c r="C515">
        <v>86</v>
      </c>
      <c r="D515" t="s">
        <v>296</v>
      </c>
    </row>
    <row r="516" spans="1:4" x14ac:dyDescent="0.25">
      <c r="A516" t="s">
        <v>62</v>
      </c>
      <c r="B516" t="s">
        <v>295</v>
      </c>
      <c r="C516">
        <v>26</v>
      </c>
      <c r="D516" t="s">
        <v>296</v>
      </c>
    </row>
    <row r="517" spans="1:4" x14ac:dyDescent="0.25">
      <c r="A517" t="s">
        <v>64</v>
      </c>
      <c r="B517" t="s">
        <v>295</v>
      </c>
      <c r="C517">
        <v>72</v>
      </c>
      <c r="D517" t="s">
        <v>296</v>
      </c>
    </row>
    <row r="518" spans="1:4" x14ac:dyDescent="0.25">
      <c r="A518" t="s">
        <v>68</v>
      </c>
      <c r="B518" t="s">
        <v>295</v>
      </c>
      <c r="C518">
        <v>57</v>
      </c>
      <c r="D518" t="s">
        <v>296</v>
      </c>
    </row>
    <row r="519" spans="1:4" x14ac:dyDescent="0.25">
      <c r="A519" t="s">
        <v>78</v>
      </c>
      <c r="B519" t="s">
        <v>295</v>
      </c>
      <c r="C519">
        <v>130</v>
      </c>
      <c r="D519" t="s">
        <v>296</v>
      </c>
    </row>
    <row r="520" spans="1:4" x14ac:dyDescent="0.25">
      <c r="A520" t="s">
        <v>86</v>
      </c>
      <c r="B520" t="s">
        <v>295</v>
      </c>
      <c r="C520">
        <v>96</v>
      </c>
      <c r="D520" t="s">
        <v>296</v>
      </c>
    </row>
    <row r="521" spans="1:4" x14ac:dyDescent="0.25">
      <c r="A521" t="s">
        <v>87</v>
      </c>
      <c r="B521" t="s">
        <v>295</v>
      </c>
      <c r="C521">
        <v>45</v>
      </c>
      <c r="D521" t="s">
        <v>296</v>
      </c>
    </row>
    <row r="522" spans="1:4" x14ac:dyDescent="0.25">
      <c r="A522" t="s">
        <v>88</v>
      </c>
      <c r="B522" t="s">
        <v>295</v>
      </c>
      <c r="C522">
        <v>157</v>
      </c>
      <c r="D522" t="s">
        <v>296</v>
      </c>
    </row>
    <row r="523" spans="1:4" x14ac:dyDescent="0.25">
      <c r="A523" t="s">
        <v>90</v>
      </c>
      <c r="B523" t="s">
        <v>295</v>
      </c>
      <c r="C523">
        <v>4</v>
      </c>
      <c r="D523" t="s">
        <v>296</v>
      </c>
    </row>
    <row r="524" spans="1:4" x14ac:dyDescent="0.25">
      <c r="A524" t="s">
        <v>10</v>
      </c>
      <c r="B524" t="s">
        <v>297</v>
      </c>
      <c r="C524">
        <v>74</v>
      </c>
      <c r="D524" t="s">
        <v>298</v>
      </c>
    </row>
    <row r="525" spans="1:4" x14ac:dyDescent="0.25">
      <c r="A525" t="s">
        <v>16</v>
      </c>
      <c r="B525" t="s">
        <v>299</v>
      </c>
      <c r="C525">
        <v>5</v>
      </c>
      <c r="D525" t="s">
        <v>298</v>
      </c>
    </row>
    <row r="526" spans="1:4" x14ac:dyDescent="0.25">
      <c r="A526" t="s">
        <v>18</v>
      </c>
      <c r="B526" t="s">
        <v>299</v>
      </c>
      <c r="C526">
        <v>5</v>
      </c>
      <c r="D526" t="s">
        <v>298</v>
      </c>
    </row>
    <row r="527" spans="1:4" x14ac:dyDescent="0.25">
      <c r="A527" t="s">
        <v>24</v>
      </c>
      <c r="B527" t="s">
        <v>297</v>
      </c>
      <c r="C527">
        <v>8</v>
      </c>
      <c r="D527" t="s">
        <v>298</v>
      </c>
    </row>
    <row r="528" spans="1:4" x14ac:dyDescent="0.25">
      <c r="A528" t="s">
        <v>25</v>
      </c>
      <c r="B528" t="s">
        <v>299</v>
      </c>
      <c r="C528">
        <v>3</v>
      </c>
      <c r="D528" t="s">
        <v>298</v>
      </c>
    </row>
    <row r="529" spans="1:4" x14ac:dyDescent="0.25">
      <c r="A529" t="s">
        <v>28</v>
      </c>
      <c r="B529" t="s">
        <v>299</v>
      </c>
      <c r="C529">
        <v>19</v>
      </c>
      <c r="D529" t="s">
        <v>298</v>
      </c>
    </row>
    <row r="530" spans="1:4" x14ac:dyDescent="0.25">
      <c r="A530" t="s">
        <v>40</v>
      </c>
      <c r="B530" t="s">
        <v>299</v>
      </c>
      <c r="C530">
        <v>66</v>
      </c>
      <c r="D530" t="s">
        <v>298</v>
      </c>
    </row>
    <row r="531" spans="1:4" x14ac:dyDescent="0.25">
      <c r="A531" t="s">
        <v>42</v>
      </c>
      <c r="B531" t="s">
        <v>299</v>
      </c>
      <c r="C531">
        <v>34</v>
      </c>
      <c r="D531" t="s">
        <v>298</v>
      </c>
    </row>
    <row r="532" spans="1:4" x14ac:dyDescent="0.25">
      <c r="A532" t="s">
        <v>59</v>
      </c>
      <c r="B532" t="s">
        <v>299</v>
      </c>
      <c r="C532">
        <v>10</v>
      </c>
      <c r="D532" t="s">
        <v>298</v>
      </c>
    </row>
    <row r="533" spans="1:4" x14ac:dyDescent="0.25">
      <c r="A533" t="s">
        <v>61</v>
      </c>
      <c r="B533" t="s">
        <v>297</v>
      </c>
      <c r="C533">
        <v>54</v>
      </c>
      <c r="D533" t="s">
        <v>298</v>
      </c>
    </row>
    <row r="534" spans="1:4" x14ac:dyDescent="0.25">
      <c r="A534" t="s">
        <v>67</v>
      </c>
      <c r="B534" t="s">
        <v>299</v>
      </c>
      <c r="C534">
        <v>15</v>
      </c>
      <c r="D534" t="s">
        <v>298</v>
      </c>
    </row>
    <row r="535" spans="1:4" x14ac:dyDescent="0.25">
      <c r="A535" t="s">
        <v>76</v>
      </c>
      <c r="B535" t="s">
        <v>299</v>
      </c>
      <c r="C535">
        <v>38</v>
      </c>
      <c r="D535" t="s">
        <v>298</v>
      </c>
    </row>
    <row r="536" spans="1:4" x14ac:dyDescent="0.25">
      <c r="A536" t="s">
        <v>83</v>
      </c>
      <c r="B536" t="s">
        <v>299</v>
      </c>
      <c r="C536">
        <v>3</v>
      </c>
      <c r="D536" t="s">
        <v>298</v>
      </c>
    </row>
    <row r="537" spans="1:4" x14ac:dyDescent="0.25">
      <c r="A537" t="s">
        <v>90</v>
      </c>
      <c r="B537" t="s">
        <v>299</v>
      </c>
      <c r="C537">
        <v>14</v>
      </c>
      <c r="D537" t="s">
        <v>298</v>
      </c>
    </row>
    <row r="538" spans="1:4" x14ac:dyDescent="0.25">
      <c r="A538" t="s">
        <v>19</v>
      </c>
      <c r="B538" t="s">
        <v>300</v>
      </c>
      <c r="C538">
        <v>19</v>
      </c>
      <c r="D538" t="s">
        <v>301</v>
      </c>
    </row>
    <row r="539" spans="1:4" x14ac:dyDescent="0.25">
      <c r="A539" t="s">
        <v>37</v>
      </c>
      <c r="B539" t="s">
        <v>300</v>
      </c>
      <c r="C539">
        <v>17</v>
      </c>
      <c r="D539" t="s">
        <v>301</v>
      </c>
    </row>
    <row r="540" spans="1:4" x14ac:dyDescent="0.25">
      <c r="A540" t="s">
        <v>45</v>
      </c>
      <c r="B540" t="s">
        <v>300</v>
      </c>
      <c r="C540">
        <v>24</v>
      </c>
      <c r="D540" t="s">
        <v>301</v>
      </c>
    </row>
    <row r="541" spans="1:4" x14ac:dyDescent="0.25">
      <c r="A541" t="s">
        <v>89</v>
      </c>
      <c r="B541" t="s">
        <v>300</v>
      </c>
      <c r="C541">
        <v>116</v>
      </c>
      <c r="D541" t="s">
        <v>301</v>
      </c>
    </row>
    <row r="542" spans="1:4" x14ac:dyDescent="0.25">
      <c r="A542" t="s">
        <v>12</v>
      </c>
      <c r="B542" t="s">
        <v>302</v>
      </c>
      <c r="C542">
        <v>273</v>
      </c>
      <c r="D542" t="s">
        <v>303</v>
      </c>
    </row>
    <row r="543" spans="1:4" x14ac:dyDescent="0.25">
      <c r="A543" t="s">
        <v>35</v>
      </c>
      <c r="B543" t="s">
        <v>302</v>
      </c>
      <c r="C543">
        <v>59</v>
      </c>
      <c r="D543" t="s">
        <v>303</v>
      </c>
    </row>
    <row r="544" spans="1:4" x14ac:dyDescent="0.25">
      <c r="A544" t="s">
        <v>10</v>
      </c>
      <c r="B544" t="s">
        <v>304</v>
      </c>
      <c r="C544">
        <v>46</v>
      </c>
      <c r="D544" t="s">
        <v>305</v>
      </c>
    </row>
    <row r="545" spans="1:4" x14ac:dyDescent="0.25">
      <c r="A545" t="s">
        <v>14</v>
      </c>
      <c r="B545" t="s">
        <v>306</v>
      </c>
      <c r="C545">
        <v>163</v>
      </c>
      <c r="D545" t="s">
        <v>305</v>
      </c>
    </row>
    <row r="546" spans="1:4" x14ac:dyDescent="0.25">
      <c r="A546" t="s">
        <v>18</v>
      </c>
      <c r="B546" t="s">
        <v>304</v>
      </c>
      <c r="C546">
        <v>22</v>
      </c>
      <c r="D546" t="s">
        <v>305</v>
      </c>
    </row>
    <row r="547" spans="1:4" x14ac:dyDescent="0.25">
      <c r="A547" t="s">
        <v>19</v>
      </c>
      <c r="B547" t="s">
        <v>304</v>
      </c>
      <c r="C547">
        <v>11</v>
      </c>
      <c r="D547" t="s">
        <v>305</v>
      </c>
    </row>
    <row r="548" spans="1:4" x14ac:dyDescent="0.25">
      <c r="A548" t="s">
        <v>21</v>
      </c>
      <c r="B548" t="s">
        <v>304</v>
      </c>
      <c r="C548">
        <v>34</v>
      </c>
      <c r="D548" t="s">
        <v>305</v>
      </c>
    </row>
    <row r="549" spans="1:4" x14ac:dyDescent="0.25">
      <c r="A549" t="s">
        <v>22</v>
      </c>
      <c r="B549" t="s">
        <v>304</v>
      </c>
      <c r="C549">
        <v>2</v>
      </c>
      <c r="D549" t="s">
        <v>305</v>
      </c>
    </row>
    <row r="550" spans="1:4" x14ac:dyDescent="0.25">
      <c r="A550" t="s">
        <v>24</v>
      </c>
      <c r="B550" t="s">
        <v>304</v>
      </c>
      <c r="C550">
        <v>30</v>
      </c>
      <c r="D550" t="s">
        <v>305</v>
      </c>
    </row>
    <row r="551" spans="1:4" x14ac:dyDescent="0.25">
      <c r="A551" t="s">
        <v>25</v>
      </c>
      <c r="B551" t="s">
        <v>304</v>
      </c>
      <c r="C551">
        <v>54</v>
      </c>
      <c r="D551" t="s">
        <v>305</v>
      </c>
    </row>
    <row r="552" spans="1:4" x14ac:dyDescent="0.25">
      <c r="A552" t="s">
        <v>26</v>
      </c>
      <c r="B552" t="s">
        <v>304</v>
      </c>
      <c r="C552">
        <v>7</v>
      </c>
      <c r="D552" t="s">
        <v>305</v>
      </c>
    </row>
    <row r="553" spans="1:4" x14ac:dyDescent="0.25">
      <c r="A553" t="s">
        <v>28</v>
      </c>
      <c r="B553" t="s">
        <v>304</v>
      </c>
      <c r="C553">
        <v>5</v>
      </c>
      <c r="D553" t="s">
        <v>305</v>
      </c>
    </row>
    <row r="554" spans="1:4" x14ac:dyDescent="0.25">
      <c r="A554" t="s">
        <v>32</v>
      </c>
      <c r="B554" t="s">
        <v>304</v>
      </c>
      <c r="C554">
        <v>7</v>
      </c>
      <c r="D554" t="s">
        <v>305</v>
      </c>
    </row>
    <row r="555" spans="1:4" x14ac:dyDescent="0.25">
      <c r="A555" t="s">
        <v>37</v>
      </c>
      <c r="B555" t="s">
        <v>304</v>
      </c>
      <c r="C555">
        <v>25</v>
      </c>
      <c r="D555" t="s">
        <v>305</v>
      </c>
    </row>
    <row r="556" spans="1:4" x14ac:dyDescent="0.25">
      <c r="A556" t="s">
        <v>39</v>
      </c>
      <c r="B556" t="s">
        <v>304</v>
      </c>
      <c r="C556">
        <v>21</v>
      </c>
      <c r="D556" t="s">
        <v>305</v>
      </c>
    </row>
    <row r="557" spans="1:4" x14ac:dyDescent="0.25">
      <c r="A557" t="s">
        <v>43</v>
      </c>
      <c r="B557" t="s">
        <v>304</v>
      </c>
      <c r="C557">
        <v>19</v>
      </c>
      <c r="D557" t="s">
        <v>305</v>
      </c>
    </row>
    <row r="558" spans="1:4" x14ac:dyDescent="0.25">
      <c r="A558" t="s">
        <v>45</v>
      </c>
      <c r="B558" t="s">
        <v>304</v>
      </c>
      <c r="C558">
        <v>5</v>
      </c>
      <c r="D558" t="s">
        <v>305</v>
      </c>
    </row>
    <row r="559" spans="1:4" x14ac:dyDescent="0.25">
      <c r="A559" t="s">
        <v>48</v>
      </c>
      <c r="B559" t="s">
        <v>304</v>
      </c>
      <c r="C559">
        <v>111</v>
      </c>
      <c r="D559" t="s">
        <v>305</v>
      </c>
    </row>
    <row r="560" spans="1:4" x14ac:dyDescent="0.25">
      <c r="A560" t="s">
        <v>52</v>
      </c>
      <c r="B560" t="s">
        <v>304</v>
      </c>
      <c r="C560">
        <v>5</v>
      </c>
      <c r="D560" t="s">
        <v>305</v>
      </c>
    </row>
    <row r="561" spans="1:4" x14ac:dyDescent="0.25">
      <c r="A561" t="s">
        <v>56</v>
      </c>
      <c r="B561" t="s">
        <v>304</v>
      </c>
      <c r="C561">
        <v>5</v>
      </c>
      <c r="D561" t="s">
        <v>305</v>
      </c>
    </row>
    <row r="562" spans="1:4" x14ac:dyDescent="0.25">
      <c r="A562" t="s">
        <v>60</v>
      </c>
      <c r="B562" t="s">
        <v>304</v>
      </c>
      <c r="C562">
        <v>3</v>
      </c>
      <c r="D562" t="s">
        <v>305</v>
      </c>
    </row>
    <row r="563" spans="1:4" x14ac:dyDescent="0.25">
      <c r="A563" t="s">
        <v>67</v>
      </c>
      <c r="B563" t="s">
        <v>304</v>
      </c>
      <c r="C563">
        <v>69</v>
      </c>
      <c r="D563" t="s">
        <v>305</v>
      </c>
    </row>
    <row r="564" spans="1:4" x14ac:dyDescent="0.25">
      <c r="A564" t="s">
        <v>70</v>
      </c>
      <c r="B564" t="s">
        <v>304</v>
      </c>
      <c r="C564">
        <v>77</v>
      </c>
      <c r="D564" t="s">
        <v>305</v>
      </c>
    </row>
    <row r="565" spans="1:4" x14ac:dyDescent="0.25">
      <c r="A565" t="s">
        <v>70</v>
      </c>
      <c r="B565" t="s">
        <v>306</v>
      </c>
      <c r="C565">
        <v>54</v>
      </c>
      <c r="D565" t="s">
        <v>305</v>
      </c>
    </row>
    <row r="566" spans="1:4" x14ac:dyDescent="0.25">
      <c r="A566" t="s">
        <v>74</v>
      </c>
      <c r="B566" t="s">
        <v>304</v>
      </c>
      <c r="C566">
        <v>49</v>
      </c>
      <c r="D566" t="s">
        <v>305</v>
      </c>
    </row>
    <row r="567" spans="1:4" x14ac:dyDescent="0.25">
      <c r="A567" t="s">
        <v>77</v>
      </c>
      <c r="B567" t="s">
        <v>304</v>
      </c>
      <c r="C567">
        <v>9</v>
      </c>
      <c r="D567" t="s">
        <v>305</v>
      </c>
    </row>
    <row r="568" spans="1:4" x14ac:dyDescent="0.25">
      <c r="A568" t="s">
        <v>80</v>
      </c>
      <c r="B568" t="s">
        <v>304</v>
      </c>
      <c r="C568">
        <v>22</v>
      </c>
      <c r="D568" t="s">
        <v>305</v>
      </c>
    </row>
    <row r="569" spans="1:4" x14ac:dyDescent="0.25">
      <c r="A569" t="s">
        <v>82</v>
      </c>
      <c r="B569" t="s">
        <v>304</v>
      </c>
      <c r="C569">
        <v>11</v>
      </c>
      <c r="D569" t="s">
        <v>305</v>
      </c>
    </row>
    <row r="570" spans="1:4" x14ac:dyDescent="0.25">
      <c r="A570" t="s">
        <v>83</v>
      </c>
      <c r="B570" t="s">
        <v>304</v>
      </c>
      <c r="C570">
        <v>57</v>
      </c>
      <c r="D570" t="s">
        <v>305</v>
      </c>
    </row>
    <row r="571" spans="1:4" x14ac:dyDescent="0.25">
      <c r="A571" t="s">
        <v>85</v>
      </c>
      <c r="B571" t="s">
        <v>304</v>
      </c>
      <c r="C571">
        <v>32</v>
      </c>
      <c r="D571" t="s">
        <v>305</v>
      </c>
    </row>
    <row r="572" spans="1:4" x14ac:dyDescent="0.25">
      <c r="A572" t="s">
        <v>89</v>
      </c>
      <c r="B572" t="s">
        <v>304</v>
      </c>
      <c r="C572">
        <v>5</v>
      </c>
      <c r="D572" t="s">
        <v>305</v>
      </c>
    </row>
    <row r="573" spans="1:4" x14ac:dyDescent="0.25">
      <c r="A573" t="s">
        <v>6</v>
      </c>
      <c r="B573" t="s">
        <v>307</v>
      </c>
      <c r="C573">
        <v>747</v>
      </c>
      <c r="D573" t="s">
        <v>308</v>
      </c>
    </row>
    <row r="574" spans="1:4" x14ac:dyDescent="0.25">
      <c r="A574" t="s">
        <v>6</v>
      </c>
      <c r="B574" t="s">
        <v>309</v>
      </c>
      <c r="C574">
        <v>145</v>
      </c>
      <c r="D574" t="s">
        <v>308</v>
      </c>
    </row>
    <row r="575" spans="1:4" x14ac:dyDescent="0.25">
      <c r="A575" t="s">
        <v>7</v>
      </c>
      <c r="B575" t="s">
        <v>307</v>
      </c>
      <c r="C575">
        <v>43</v>
      </c>
      <c r="D575" t="s">
        <v>308</v>
      </c>
    </row>
    <row r="576" spans="1:4" x14ac:dyDescent="0.25">
      <c r="A576" t="s">
        <v>12</v>
      </c>
      <c r="B576" t="s">
        <v>307</v>
      </c>
      <c r="C576">
        <v>536</v>
      </c>
      <c r="D576" t="s">
        <v>308</v>
      </c>
    </row>
    <row r="577" spans="1:4" x14ac:dyDescent="0.25">
      <c r="A577" t="s">
        <v>13</v>
      </c>
      <c r="B577" t="s">
        <v>307</v>
      </c>
      <c r="C577">
        <v>26</v>
      </c>
      <c r="D577" t="s">
        <v>308</v>
      </c>
    </row>
    <row r="578" spans="1:4" x14ac:dyDescent="0.25">
      <c r="A578" t="s">
        <v>27</v>
      </c>
      <c r="B578" t="s">
        <v>307</v>
      </c>
      <c r="C578">
        <v>418</v>
      </c>
      <c r="D578" t="s">
        <v>308</v>
      </c>
    </row>
    <row r="579" spans="1:4" x14ac:dyDescent="0.25">
      <c r="A579" t="s">
        <v>27</v>
      </c>
      <c r="B579" t="s">
        <v>309</v>
      </c>
      <c r="C579">
        <v>78</v>
      </c>
      <c r="D579" t="s">
        <v>308</v>
      </c>
    </row>
    <row r="580" spans="1:4" x14ac:dyDescent="0.25">
      <c r="A580" t="s">
        <v>35</v>
      </c>
      <c r="B580" t="s">
        <v>307</v>
      </c>
      <c r="C580">
        <v>78</v>
      </c>
      <c r="D580" t="s">
        <v>308</v>
      </c>
    </row>
    <row r="581" spans="1:4" x14ac:dyDescent="0.25">
      <c r="A581" t="s">
        <v>49</v>
      </c>
      <c r="B581" t="s">
        <v>307</v>
      </c>
      <c r="C581">
        <v>110</v>
      </c>
      <c r="D581" t="s">
        <v>308</v>
      </c>
    </row>
    <row r="582" spans="1:4" x14ac:dyDescent="0.25">
      <c r="A582" t="s">
        <v>54</v>
      </c>
      <c r="B582" t="s">
        <v>307</v>
      </c>
      <c r="C582">
        <v>92</v>
      </c>
      <c r="D582" t="s">
        <v>308</v>
      </c>
    </row>
    <row r="583" spans="1:4" x14ac:dyDescent="0.25">
      <c r="A583" t="s">
        <v>57</v>
      </c>
      <c r="B583" t="s">
        <v>307</v>
      </c>
      <c r="C583">
        <v>595</v>
      </c>
      <c r="D583" t="s">
        <v>308</v>
      </c>
    </row>
    <row r="584" spans="1:4" x14ac:dyDescent="0.25">
      <c r="A584" t="s">
        <v>61</v>
      </c>
      <c r="B584" t="s">
        <v>307</v>
      </c>
      <c r="C584">
        <v>186</v>
      </c>
      <c r="D584" t="s">
        <v>308</v>
      </c>
    </row>
    <row r="585" spans="1:4" x14ac:dyDescent="0.25">
      <c r="A585" t="s">
        <v>62</v>
      </c>
      <c r="B585" t="s">
        <v>307</v>
      </c>
      <c r="C585">
        <v>497</v>
      </c>
      <c r="D585" t="s">
        <v>308</v>
      </c>
    </row>
    <row r="586" spans="1:4" x14ac:dyDescent="0.25">
      <c r="A586" t="s">
        <v>64</v>
      </c>
      <c r="B586" t="s">
        <v>307</v>
      </c>
      <c r="C586">
        <v>10</v>
      </c>
      <c r="D586" t="s">
        <v>308</v>
      </c>
    </row>
    <row r="587" spans="1:4" x14ac:dyDescent="0.25">
      <c r="A587" t="s">
        <v>68</v>
      </c>
      <c r="B587" t="s">
        <v>307</v>
      </c>
      <c r="C587">
        <v>188</v>
      </c>
      <c r="D587" t="s">
        <v>308</v>
      </c>
    </row>
    <row r="588" spans="1:4" x14ac:dyDescent="0.25">
      <c r="A588" t="s">
        <v>69</v>
      </c>
      <c r="B588" t="s">
        <v>307</v>
      </c>
      <c r="C588">
        <v>26</v>
      </c>
      <c r="D588" t="s">
        <v>308</v>
      </c>
    </row>
    <row r="589" spans="1:4" x14ac:dyDescent="0.25">
      <c r="A589" t="s">
        <v>77</v>
      </c>
      <c r="B589" t="s">
        <v>307</v>
      </c>
      <c r="C589">
        <v>3</v>
      </c>
      <c r="D589" t="s">
        <v>308</v>
      </c>
    </row>
    <row r="590" spans="1:4" x14ac:dyDescent="0.25">
      <c r="A590" t="s">
        <v>78</v>
      </c>
      <c r="B590" t="s">
        <v>307</v>
      </c>
      <c r="C590">
        <v>447</v>
      </c>
      <c r="D590" t="s">
        <v>308</v>
      </c>
    </row>
    <row r="591" spans="1:4" x14ac:dyDescent="0.25">
      <c r="A591" t="s">
        <v>86</v>
      </c>
      <c r="B591" t="s">
        <v>307</v>
      </c>
      <c r="C591">
        <v>83</v>
      </c>
      <c r="D591" t="s">
        <v>308</v>
      </c>
    </row>
    <row r="592" spans="1:4" x14ac:dyDescent="0.25">
      <c r="A592" t="s">
        <v>87</v>
      </c>
      <c r="B592" t="s">
        <v>307</v>
      </c>
      <c r="C592">
        <v>23</v>
      </c>
      <c r="D592" t="s">
        <v>308</v>
      </c>
    </row>
    <row r="593" spans="1:4" x14ac:dyDescent="0.25">
      <c r="A593" t="s">
        <v>88</v>
      </c>
      <c r="B593" t="s">
        <v>307</v>
      </c>
      <c r="C593">
        <v>194</v>
      </c>
      <c r="D593" t="s">
        <v>308</v>
      </c>
    </row>
    <row r="594" spans="1:4" x14ac:dyDescent="0.25">
      <c r="A594" t="s">
        <v>92</v>
      </c>
      <c r="B594" t="s">
        <v>307</v>
      </c>
      <c r="C594">
        <v>93</v>
      </c>
      <c r="D594" t="s">
        <v>308</v>
      </c>
    </row>
    <row r="595" spans="1:4" x14ac:dyDescent="0.25">
      <c r="A595" t="s">
        <v>17</v>
      </c>
      <c r="B595" t="s">
        <v>310</v>
      </c>
      <c r="C595">
        <v>4</v>
      </c>
      <c r="D595" t="s">
        <v>311</v>
      </c>
    </row>
    <row r="596" spans="1:4" x14ac:dyDescent="0.25">
      <c r="A596" t="s">
        <v>58</v>
      </c>
      <c r="B596" t="s">
        <v>310</v>
      </c>
      <c r="C596">
        <v>36</v>
      </c>
      <c r="D596" t="s">
        <v>311</v>
      </c>
    </row>
    <row r="597" spans="1:4" x14ac:dyDescent="0.25">
      <c r="A597" t="s">
        <v>79</v>
      </c>
      <c r="B597" t="s">
        <v>310</v>
      </c>
      <c r="C597">
        <v>5</v>
      </c>
      <c r="D597" t="s">
        <v>311</v>
      </c>
    </row>
    <row r="598" spans="1:4" x14ac:dyDescent="0.25">
      <c r="A598" t="s">
        <v>75</v>
      </c>
      <c r="B598" t="s">
        <v>312</v>
      </c>
      <c r="C598">
        <v>153</v>
      </c>
      <c r="D598" t="s">
        <v>313</v>
      </c>
    </row>
    <row r="599" spans="1:4" x14ac:dyDescent="0.25">
      <c r="A599" t="s">
        <v>81</v>
      </c>
      <c r="B599" t="s">
        <v>312</v>
      </c>
      <c r="C599">
        <v>159</v>
      </c>
      <c r="D599" t="s">
        <v>313</v>
      </c>
    </row>
    <row r="600" spans="1:4" x14ac:dyDescent="0.25">
      <c r="A600" t="s">
        <v>8</v>
      </c>
      <c r="B600" t="s">
        <v>314</v>
      </c>
      <c r="C600">
        <v>263</v>
      </c>
      <c r="D600" t="s">
        <v>315</v>
      </c>
    </row>
    <row r="601" spans="1:4" x14ac:dyDescent="0.25">
      <c r="A601" t="s">
        <v>9</v>
      </c>
      <c r="B601" t="s">
        <v>314</v>
      </c>
      <c r="C601">
        <v>76</v>
      </c>
      <c r="D601" t="s">
        <v>315</v>
      </c>
    </row>
    <row r="602" spans="1:4" x14ac:dyDescent="0.25">
      <c r="A602" t="s">
        <v>10</v>
      </c>
      <c r="B602" t="s">
        <v>314</v>
      </c>
      <c r="C602">
        <v>36</v>
      </c>
      <c r="D602" t="s">
        <v>315</v>
      </c>
    </row>
    <row r="603" spans="1:4" x14ac:dyDescent="0.25">
      <c r="A603" t="s">
        <v>14</v>
      </c>
      <c r="B603" t="s">
        <v>314</v>
      </c>
      <c r="C603">
        <v>79</v>
      </c>
      <c r="D603" t="s">
        <v>315</v>
      </c>
    </row>
    <row r="604" spans="1:4" x14ac:dyDescent="0.25">
      <c r="A604" t="s">
        <v>15</v>
      </c>
      <c r="B604" t="s">
        <v>314</v>
      </c>
      <c r="C604">
        <v>95</v>
      </c>
      <c r="D604" t="s">
        <v>315</v>
      </c>
    </row>
    <row r="605" spans="1:4" x14ac:dyDescent="0.25">
      <c r="A605" t="s">
        <v>16</v>
      </c>
      <c r="B605" t="s">
        <v>314</v>
      </c>
      <c r="C605">
        <v>96</v>
      </c>
      <c r="D605" t="s">
        <v>315</v>
      </c>
    </row>
    <row r="606" spans="1:4" x14ac:dyDescent="0.25">
      <c r="A606" t="s">
        <v>16</v>
      </c>
      <c r="B606" t="s">
        <v>316</v>
      </c>
      <c r="C606">
        <v>42</v>
      </c>
      <c r="D606" t="s">
        <v>315</v>
      </c>
    </row>
    <row r="607" spans="1:4" x14ac:dyDescent="0.25">
      <c r="A607" t="s">
        <v>17</v>
      </c>
      <c r="B607" t="s">
        <v>314</v>
      </c>
      <c r="C607">
        <v>32</v>
      </c>
      <c r="D607" t="s">
        <v>315</v>
      </c>
    </row>
    <row r="608" spans="1:4" x14ac:dyDescent="0.25">
      <c r="A608" t="s">
        <v>17</v>
      </c>
      <c r="B608" t="s">
        <v>316</v>
      </c>
      <c r="C608">
        <v>25</v>
      </c>
      <c r="D608" t="s">
        <v>315</v>
      </c>
    </row>
    <row r="609" spans="1:4" x14ac:dyDescent="0.25">
      <c r="A609" t="s">
        <v>18</v>
      </c>
      <c r="B609" t="s">
        <v>314</v>
      </c>
      <c r="C609">
        <v>359</v>
      </c>
      <c r="D609" t="s">
        <v>315</v>
      </c>
    </row>
    <row r="610" spans="1:4" x14ac:dyDescent="0.25">
      <c r="A610" t="s">
        <v>18</v>
      </c>
      <c r="B610" t="s">
        <v>316</v>
      </c>
      <c r="C610">
        <v>34</v>
      </c>
      <c r="D610" t="s">
        <v>315</v>
      </c>
    </row>
    <row r="611" spans="1:4" x14ac:dyDescent="0.25">
      <c r="A611" t="s">
        <v>19</v>
      </c>
      <c r="B611" t="s">
        <v>314</v>
      </c>
      <c r="C611">
        <v>38</v>
      </c>
      <c r="D611" t="s">
        <v>315</v>
      </c>
    </row>
    <row r="612" spans="1:4" x14ac:dyDescent="0.25">
      <c r="A612" t="s">
        <v>20</v>
      </c>
      <c r="B612" t="s">
        <v>314</v>
      </c>
      <c r="C612">
        <v>45</v>
      </c>
      <c r="D612" t="s">
        <v>315</v>
      </c>
    </row>
    <row r="613" spans="1:4" x14ac:dyDescent="0.25">
      <c r="A613" t="s">
        <v>22</v>
      </c>
      <c r="B613" t="s">
        <v>314</v>
      </c>
      <c r="C613">
        <v>32</v>
      </c>
      <c r="D613" t="s">
        <v>315</v>
      </c>
    </row>
    <row r="614" spans="1:4" x14ac:dyDescent="0.25">
      <c r="A614" t="s">
        <v>23</v>
      </c>
      <c r="B614" t="s">
        <v>314</v>
      </c>
      <c r="C614">
        <v>68</v>
      </c>
      <c r="D614" t="s">
        <v>315</v>
      </c>
    </row>
    <row r="615" spans="1:4" x14ac:dyDescent="0.25">
      <c r="A615" t="s">
        <v>24</v>
      </c>
      <c r="B615" t="s">
        <v>314</v>
      </c>
      <c r="C615">
        <v>46</v>
      </c>
      <c r="D615" t="s">
        <v>315</v>
      </c>
    </row>
    <row r="616" spans="1:4" x14ac:dyDescent="0.25">
      <c r="A616" t="s">
        <v>25</v>
      </c>
      <c r="B616" t="s">
        <v>314</v>
      </c>
      <c r="C616">
        <v>136</v>
      </c>
      <c r="D616" t="s">
        <v>315</v>
      </c>
    </row>
    <row r="617" spans="1:4" x14ac:dyDescent="0.25">
      <c r="A617" t="s">
        <v>26</v>
      </c>
      <c r="B617" t="s">
        <v>314</v>
      </c>
      <c r="C617">
        <v>620</v>
      </c>
      <c r="D617" t="s">
        <v>315</v>
      </c>
    </row>
    <row r="618" spans="1:4" x14ac:dyDescent="0.25">
      <c r="A618" t="s">
        <v>26</v>
      </c>
      <c r="B618" t="s">
        <v>316</v>
      </c>
      <c r="C618">
        <v>146</v>
      </c>
      <c r="D618" t="s">
        <v>315</v>
      </c>
    </row>
    <row r="619" spans="1:4" x14ac:dyDescent="0.25">
      <c r="A619" t="s">
        <v>28</v>
      </c>
      <c r="B619" t="s">
        <v>314</v>
      </c>
      <c r="C619">
        <v>349</v>
      </c>
      <c r="D619" t="s">
        <v>315</v>
      </c>
    </row>
    <row r="620" spans="1:4" x14ac:dyDescent="0.25">
      <c r="A620" t="s">
        <v>29</v>
      </c>
      <c r="B620" t="s">
        <v>314</v>
      </c>
      <c r="C620">
        <v>49</v>
      </c>
      <c r="D620" t="s">
        <v>315</v>
      </c>
    </row>
    <row r="621" spans="1:4" x14ac:dyDescent="0.25">
      <c r="A621" t="s">
        <v>30</v>
      </c>
      <c r="B621" t="s">
        <v>314</v>
      </c>
      <c r="C621">
        <v>35</v>
      </c>
      <c r="D621" t="s">
        <v>315</v>
      </c>
    </row>
    <row r="622" spans="1:4" x14ac:dyDescent="0.25">
      <c r="A622" t="s">
        <v>32</v>
      </c>
      <c r="B622" t="s">
        <v>314</v>
      </c>
      <c r="C622">
        <v>108</v>
      </c>
      <c r="D622" t="s">
        <v>315</v>
      </c>
    </row>
    <row r="623" spans="1:4" x14ac:dyDescent="0.25">
      <c r="A623" t="s">
        <v>32</v>
      </c>
      <c r="B623" t="s">
        <v>316</v>
      </c>
      <c r="C623">
        <v>32</v>
      </c>
      <c r="D623" t="s">
        <v>315</v>
      </c>
    </row>
    <row r="624" spans="1:4" x14ac:dyDescent="0.25">
      <c r="A624" t="s">
        <v>33</v>
      </c>
      <c r="B624" t="s">
        <v>314</v>
      </c>
      <c r="C624">
        <v>66</v>
      </c>
      <c r="D624" t="s">
        <v>315</v>
      </c>
    </row>
    <row r="625" spans="1:4" x14ac:dyDescent="0.25">
      <c r="A625" t="s">
        <v>34</v>
      </c>
      <c r="B625" t="s">
        <v>314</v>
      </c>
      <c r="C625">
        <v>118</v>
      </c>
      <c r="D625" t="s">
        <v>315</v>
      </c>
    </row>
    <row r="626" spans="1:4" x14ac:dyDescent="0.25">
      <c r="A626" t="s">
        <v>35</v>
      </c>
      <c r="B626" t="s">
        <v>314</v>
      </c>
      <c r="C626">
        <v>1073</v>
      </c>
      <c r="D626" t="s">
        <v>315</v>
      </c>
    </row>
    <row r="627" spans="1:4" x14ac:dyDescent="0.25">
      <c r="A627" t="s">
        <v>36</v>
      </c>
      <c r="B627" t="s">
        <v>314</v>
      </c>
      <c r="C627">
        <v>140</v>
      </c>
      <c r="D627" t="s">
        <v>315</v>
      </c>
    </row>
    <row r="628" spans="1:4" x14ac:dyDescent="0.25">
      <c r="A628" t="s">
        <v>37</v>
      </c>
      <c r="B628" t="s">
        <v>314</v>
      </c>
      <c r="C628">
        <v>95</v>
      </c>
      <c r="D628" t="s">
        <v>315</v>
      </c>
    </row>
    <row r="629" spans="1:4" x14ac:dyDescent="0.25">
      <c r="A629" t="s">
        <v>37</v>
      </c>
      <c r="B629" t="s">
        <v>316</v>
      </c>
      <c r="C629">
        <v>59</v>
      </c>
      <c r="D629" t="s">
        <v>315</v>
      </c>
    </row>
    <row r="630" spans="1:4" x14ac:dyDescent="0.25">
      <c r="A630" t="s">
        <v>38</v>
      </c>
      <c r="B630" t="s">
        <v>314</v>
      </c>
      <c r="C630">
        <v>68</v>
      </c>
      <c r="D630" t="s">
        <v>315</v>
      </c>
    </row>
    <row r="631" spans="1:4" x14ac:dyDescent="0.25">
      <c r="A631" t="s">
        <v>39</v>
      </c>
      <c r="B631" t="s">
        <v>314</v>
      </c>
      <c r="C631">
        <v>121</v>
      </c>
      <c r="D631" t="s">
        <v>315</v>
      </c>
    </row>
    <row r="632" spans="1:4" x14ac:dyDescent="0.25">
      <c r="A632" t="s">
        <v>40</v>
      </c>
      <c r="B632" t="s">
        <v>314</v>
      </c>
      <c r="C632">
        <v>83</v>
      </c>
      <c r="D632" t="s">
        <v>315</v>
      </c>
    </row>
    <row r="633" spans="1:4" x14ac:dyDescent="0.25">
      <c r="A633" t="s">
        <v>41</v>
      </c>
      <c r="B633" t="s">
        <v>314</v>
      </c>
      <c r="C633">
        <v>26</v>
      </c>
      <c r="D633" t="s">
        <v>315</v>
      </c>
    </row>
    <row r="634" spans="1:4" x14ac:dyDescent="0.25">
      <c r="A634" t="s">
        <v>42</v>
      </c>
      <c r="B634" t="s">
        <v>314</v>
      </c>
      <c r="C634">
        <v>210</v>
      </c>
      <c r="D634" t="s">
        <v>315</v>
      </c>
    </row>
    <row r="635" spans="1:4" x14ac:dyDescent="0.25">
      <c r="A635" t="s">
        <v>42</v>
      </c>
      <c r="B635" t="s">
        <v>316</v>
      </c>
      <c r="C635">
        <v>26</v>
      </c>
      <c r="D635" t="s">
        <v>315</v>
      </c>
    </row>
    <row r="636" spans="1:4" x14ac:dyDescent="0.25">
      <c r="A636" t="s">
        <v>43</v>
      </c>
      <c r="B636" t="s">
        <v>314</v>
      </c>
      <c r="C636">
        <v>43</v>
      </c>
      <c r="D636" t="s">
        <v>315</v>
      </c>
    </row>
    <row r="637" spans="1:4" x14ac:dyDescent="0.25">
      <c r="A637" t="s">
        <v>45</v>
      </c>
      <c r="B637" t="s">
        <v>314</v>
      </c>
      <c r="C637">
        <v>116</v>
      </c>
      <c r="D637" t="s">
        <v>315</v>
      </c>
    </row>
    <row r="638" spans="1:4" x14ac:dyDescent="0.25">
      <c r="A638" t="s">
        <v>46</v>
      </c>
      <c r="B638" t="s">
        <v>314</v>
      </c>
      <c r="C638">
        <v>44</v>
      </c>
      <c r="D638" t="s">
        <v>315</v>
      </c>
    </row>
    <row r="639" spans="1:4" x14ac:dyDescent="0.25">
      <c r="A639" t="s">
        <v>47</v>
      </c>
      <c r="B639" t="s">
        <v>316</v>
      </c>
      <c r="C639">
        <v>52</v>
      </c>
      <c r="D639" t="s">
        <v>315</v>
      </c>
    </row>
    <row r="640" spans="1:4" x14ac:dyDescent="0.25">
      <c r="A640" t="s">
        <v>48</v>
      </c>
      <c r="B640" t="s">
        <v>314</v>
      </c>
      <c r="C640">
        <v>67</v>
      </c>
      <c r="D640" t="s">
        <v>315</v>
      </c>
    </row>
    <row r="641" spans="1:4" x14ac:dyDescent="0.25">
      <c r="A641" t="s">
        <v>49</v>
      </c>
      <c r="B641" t="s">
        <v>314</v>
      </c>
      <c r="C641">
        <v>16</v>
      </c>
      <c r="D641" t="s">
        <v>315</v>
      </c>
    </row>
    <row r="642" spans="1:4" x14ac:dyDescent="0.25">
      <c r="A642" t="s">
        <v>51</v>
      </c>
      <c r="B642" t="s">
        <v>314</v>
      </c>
      <c r="C642">
        <v>56</v>
      </c>
      <c r="D642" t="s">
        <v>315</v>
      </c>
    </row>
    <row r="643" spans="1:4" x14ac:dyDescent="0.25">
      <c r="A643" t="s">
        <v>52</v>
      </c>
      <c r="B643" t="s">
        <v>314</v>
      </c>
      <c r="C643">
        <v>11</v>
      </c>
      <c r="D643" t="s">
        <v>315</v>
      </c>
    </row>
    <row r="644" spans="1:4" x14ac:dyDescent="0.25">
      <c r="A644" t="s">
        <v>53</v>
      </c>
      <c r="B644" t="s">
        <v>314</v>
      </c>
      <c r="C644">
        <v>241</v>
      </c>
      <c r="D644" t="s">
        <v>315</v>
      </c>
    </row>
    <row r="645" spans="1:4" x14ac:dyDescent="0.25">
      <c r="A645" t="s">
        <v>54</v>
      </c>
      <c r="B645" t="s">
        <v>314</v>
      </c>
      <c r="C645">
        <v>64</v>
      </c>
      <c r="D645" t="s">
        <v>315</v>
      </c>
    </row>
    <row r="646" spans="1:4" x14ac:dyDescent="0.25">
      <c r="A646" t="s">
        <v>55</v>
      </c>
      <c r="B646" t="s">
        <v>314</v>
      </c>
      <c r="C646">
        <v>115</v>
      </c>
      <c r="D646" t="s">
        <v>315</v>
      </c>
    </row>
    <row r="647" spans="1:4" x14ac:dyDescent="0.25">
      <c r="A647" t="s">
        <v>55</v>
      </c>
      <c r="B647" t="s">
        <v>316</v>
      </c>
      <c r="C647">
        <v>24</v>
      </c>
      <c r="D647" t="s">
        <v>315</v>
      </c>
    </row>
    <row r="648" spans="1:4" x14ac:dyDescent="0.25">
      <c r="A648" t="s">
        <v>57</v>
      </c>
      <c r="B648" t="s">
        <v>314</v>
      </c>
      <c r="C648">
        <v>47</v>
      </c>
      <c r="D648" t="s">
        <v>315</v>
      </c>
    </row>
    <row r="649" spans="1:4" x14ac:dyDescent="0.25">
      <c r="A649" t="s">
        <v>58</v>
      </c>
      <c r="B649" t="s">
        <v>314</v>
      </c>
      <c r="C649">
        <v>117</v>
      </c>
      <c r="D649" t="s">
        <v>315</v>
      </c>
    </row>
    <row r="650" spans="1:4" x14ac:dyDescent="0.25">
      <c r="A650" t="s">
        <v>59</v>
      </c>
      <c r="B650" t="s">
        <v>314</v>
      </c>
      <c r="C650">
        <v>52</v>
      </c>
      <c r="D650" t="s">
        <v>315</v>
      </c>
    </row>
    <row r="651" spans="1:4" x14ac:dyDescent="0.25">
      <c r="A651" t="s">
        <v>60</v>
      </c>
      <c r="B651" t="s">
        <v>314</v>
      </c>
      <c r="C651">
        <v>202</v>
      </c>
      <c r="D651" t="s">
        <v>315</v>
      </c>
    </row>
    <row r="652" spans="1:4" x14ac:dyDescent="0.25">
      <c r="A652" t="s">
        <v>62</v>
      </c>
      <c r="B652" t="s">
        <v>316</v>
      </c>
      <c r="C652">
        <v>58</v>
      </c>
      <c r="D652" t="s">
        <v>315</v>
      </c>
    </row>
    <row r="653" spans="1:4" x14ac:dyDescent="0.25">
      <c r="A653" t="s">
        <v>62</v>
      </c>
      <c r="B653" t="s">
        <v>314</v>
      </c>
      <c r="C653">
        <v>43</v>
      </c>
      <c r="D653" t="s">
        <v>315</v>
      </c>
    </row>
    <row r="654" spans="1:4" x14ac:dyDescent="0.25">
      <c r="A654" t="s">
        <v>65</v>
      </c>
      <c r="B654" t="s">
        <v>314</v>
      </c>
      <c r="C654">
        <v>157</v>
      </c>
      <c r="D654" t="s">
        <v>315</v>
      </c>
    </row>
    <row r="655" spans="1:4" x14ac:dyDescent="0.25">
      <c r="A655" t="s">
        <v>65</v>
      </c>
      <c r="B655" t="s">
        <v>316</v>
      </c>
      <c r="C655">
        <v>24</v>
      </c>
      <c r="D655" t="s">
        <v>315</v>
      </c>
    </row>
    <row r="656" spans="1:4" x14ac:dyDescent="0.25">
      <c r="A656" t="s">
        <v>66</v>
      </c>
      <c r="B656" t="s">
        <v>314</v>
      </c>
      <c r="C656">
        <v>99</v>
      </c>
      <c r="D656" t="s">
        <v>315</v>
      </c>
    </row>
    <row r="657" spans="1:4" x14ac:dyDescent="0.25">
      <c r="A657" t="s">
        <v>67</v>
      </c>
      <c r="B657" t="s">
        <v>314</v>
      </c>
      <c r="C657">
        <v>80</v>
      </c>
      <c r="D657" t="s">
        <v>315</v>
      </c>
    </row>
    <row r="658" spans="1:4" x14ac:dyDescent="0.25">
      <c r="A658" t="s">
        <v>69</v>
      </c>
      <c r="B658" t="s">
        <v>314</v>
      </c>
      <c r="C658">
        <v>68</v>
      </c>
      <c r="D658" t="s">
        <v>315</v>
      </c>
    </row>
    <row r="659" spans="1:4" x14ac:dyDescent="0.25">
      <c r="A659" t="s">
        <v>70</v>
      </c>
      <c r="B659" t="s">
        <v>314</v>
      </c>
      <c r="C659">
        <v>70</v>
      </c>
      <c r="D659" t="s">
        <v>315</v>
      </c>
    </row>
    <row r="660" spans="1:4" x14ac:dyDescent="0.25">
      <c r="A660" t="s">
        <v>71</v>
      </c>
      <c r="B660" t="s">
        <v>316</v>
      </c>
      <c r="C660">
        <v>12</v>
      </c>
      <c r="D660" t="s">
        <v>315</v>
      </c>
    </row>
    <row r="661" spans="1:4" x14ac:dyDescent="0.25">
      <c r="A661" t="s">
        <v>72</v>
      </c>
      <c r="B661" t="s">
        <v>314</v>
      </c>
      <c r="C661">
        <v>150</v>
      </c>
      <c r="D661" t="s">
        <v>315</v>
      </c>
    </row>
    <row r="662" spans="1:4" x14ac:dyDescent="0.25">
      <c r="A662" t="s">
        <v>74</v>
      </c>
      <c r="B662" t="s">
        <v>314</v>
      </c>
      <c r="C662">
        <v>73</v>
      </c>
      <c r="D662" t="s">
        <v>315</v>
      </c>
    </row>
    <row r="663" spans="1:4" x14ac:dyDescent="0.25">
      <c r="A663" t="s">
        <v>75</v>
      </c>
      <c r="B663" t="s">
        <v>314</v>
      </c>
      <c r="C663">
        <v>80</v>
      </c>
      <c r="D663" t="s">
        <v>315</v>
      </c>
    </row>
    <row r="664" spans="1:4" x14ac:dyDescent="0.25">
      <c r="A664" t="s">
        <v>76</v>
      </c>
      <c r="B664" t="s">
        <v>314</v>
      </c>
      <c r="C664">
        <v>100</v>
      </c>
      <c r="D664" t="s">
        <v>315</v>
      </c>
    </row>
    <row r="665" spans="1:4" x14ac:dyDescent="0.25">
      <c r="A665" t="s">
        <v>76</v>
      </c>
      <c r="B665" t="s">
        <v>316</v>
      </c>
      <c r="C665">
        <v>24</v>
      </c>
      <c r="D665" t="s">
        <v>315</v>
      </c>
    </row>
    <row r="666" spans="1:4" x14ac:dyDescent="0.25">
      <c r="A666" t="s">
        <v>77</v>
      </c>
      <c r="B666" t="s">
        <v>314</v>
      </c>
      <c r="C666">
        <v>3</v>
      </c>
      <c r="D666" t="s">
        <v>315</v>
      </c>
    </row>
    <row r="667" spans="1:4" x14ac:dyDescent="0.25">
      <c r="A667" t="s">
        <v>78</v>
      </c>
      <c r="B667" t="s">
        <v>314</v>
      </c>
      <c r="C667">
        <v>58</v>
      </c>
      <c r="D667" t="s">
        <v>315</v>
      </c>
    </row>
    <row r="668" spans="1:4" x14ac:dyDescent="0.25">
      <c r="A668" t="s">
        <v>79</v>
      </c>
      <c r="B668" t="s">
        <v>314</v>
      </c>
      <c r="C668">
        <v>132</v>
      </c>
      <c r="D668" t="s">
        <v>315</v>
      </c>
    </row>
    <row r="669" spans="1:4" x14ac:dyDescent="0.25">
      <c r="A669" t="s">
        <v>80</v>
      </c>
      <c r="B669" t="s">
        <v>314</v>
      </c>
      <c r="C669">
        <v>18</v>
      </c>
      <c r="D669" t="s">
        <v>315</v>
      </c>
    </row>
    <row r="670" spans="1:4" x14ac:dyDescent="0.25">
      <c r="A670" t="s">
        <v>82</v>
      </c>
      <c r="B670" t="s">
        <v>314</v>
      </c>
      <c r="C670">
        <v>137</v>
      </c>
      <c r="D670" t="s">
        <v>315</v>
      </c>
    </row>
    <row r="671" spans="1:4" x14ac:dyDescent="0.25">
      <c r="A671" t="s">
        <v>83</v>
      </c>
      <c r="B671" t="s">
        <v>314</v>
      </c>
      <c r="C671">
        <v>85</v>
      </c>
      <c r="D671" t="s">
        <v>315</v>
      </c>
    </row>
    <row r="672" spans="1:4" x14ac:dyDescent="0.25">
      <c r="A672" t="s">
        <v>84</v>
      </c>
      <c r="B672" t="s">
        <v>314</v>
      </c>
      <c r="C672">
        <v>115</v>
      </c>
      <c r="D672" t="s">
        <v>315</v>
      </c>
    </row>
    <row r="673" spans="1:4" x14ac:dyDescent="0.25">
      <c r="A673" t="s">
        <v>85</v>
      </c>
      <c r="B673" t="s">
        <v>314</v>
      </c>
      <c r="C673">
        <v>85</v>
      </c>
      <c r="D673" t="s">
        <v>315</v>
      </c>
    </row>
    <row r="674" spans="1:4" x14ac:dyDescent="0.25">
      <c r="A674" t="s">
        <v>86</v>
      </c>
      <c r="B674" t="s">
        <v>314</v>
      </c>
      <c r="C674">
        <v>45</v>
      </c>
      <c r="D674" t="s">
        <v>315</v>
      </c>
    </row>
    <row r="675" spans="1:4" x14ac:dyDescent="0.25">
      <c r="A675" t="s">
        <v>87</v>
      </c>
      <c r="B675" t="s">
        <v>314</v>
      </c>
      <c r="C675">
        <v>338</v>
      </c>
      <c r="D675" t="s">
        <v>315</v>
      </c>
    </row>
    <row r="676" spans="1:4" x14ac:dyDescent="0.25">
      <c r="A676" t="s">
        <v>88</v>
      </c>
      <c r="B676" t="s">
        <v>314</v>
      </c>
      <c r="C676">
        <v>91</v>
      </c>
      <c r="D676" t="s">
        <v>315</v>
      </c>
    </row>
    <row r="677" spans="1:4" x14ac:dyDescent="0.25">
      <c r="A677" t="s">
        <v>89</v>
      </c>
      <c r="B677" t="s">
        <v>314</v>
      </c>
      <c r="C677">
        <v>225</v>
      </c>
      <c r="D677" t="s">
        <v>315</v>
      </c>
    </row>
    <row r="678" spans="1:4" x14ac:dyDescent="0.25">
      <c r="A678" t="s">
        <v>90</v>
      </c>
      <c r="B678" t="s">
        <v>314</v>
      </c>
      <c r="C678">
        <v>286</v>
      </c>
      <c r="D678" t="s">
        <v>315</v>
      </c>
    </row>
    <row r="679" spans="1:4" x14ac:dyDescent="0.25">
      <c r="A679" t="s">
        <v>91</v>
      </c>
      <c r="B679" t="s">
        <v>314</v>
      </c>
      <c r="C679">
        <v>59</v>
      </c>
      <c r="D679" t="s">
        <v>315</v>
      </c>
    </row>
    <row r="680" spans="1:4" x14ac:dyDescent="0.25">
      <c r="A680" t="s">
        <v>92</v>
      </c>
      <c r="B680" t="s">
        <v>314</v>
      </c>
      <c r="C680">
        <v>67</v>
      </c>
      <c r="D680" t="s">
        <v>315</v>
      </c>
    </row>
    <row r="681" spans="1:4" x14ac:dyDescent="0.25">
      <c r="A681" t="s">
        <v>93</v>
      </c>
      <c r="B681" t="s">
        <v>314</v>
      </c>
      <c r="C681">
        <v>200</v>
      </c>
      <c r="D681" t="s">
        <v>315</v>
      </c>
    </row>
    <row r="682" spans="1:4" x14ac:dyDescent="0.25">
      <c r="A682" t="s">
        <v>7</v>
      </c>
      <c r="B682" t="s">
        <v>317</v>
      </c>
      <c r="C682">
        <v>55</v>
      </c>
      <c r="D682" t="s">
        <v>318</v>
      </c>
    </row>
    <row r="683" spans="1:4" x14ac:dyDescent="0.25">
      <c r="A683" t="s">
        <v>9</v>
      </c>
      <c r="B683" t="s">
        <v>319</v>
      </c>
      <c r="C683">
        <v>27</v>
      </c>
      <c r="D683" t="s">
        <v>318</v>
      </c>
    </row>
    <row r="684" spans="1:4" x14ac:dyDescent="0.25">
      <c r="A684" t="s">
        <v>10</v>
      </c>
      <c r="B684" t="s">
        <v>317</v>
      </c>
      <c r="C684">
        <v>91</v>
      </c>
      <c r="D684" t="s">
        <v>318</v>
      </c>
    </row>
    <row r="685" spans="1:4" x14ac:dyDescent="0.25">
      <c r="A685" t="s">
        <v>14</v>
      </c>
      <c r="B685" t="s">
        <v>317</v>
      </c>
      <c r="C685">
        <v>142</v>
      </c>
      <c r="D685" t="s">
        <v>318</v>
      </c>
    </row>
    <row r="686" spans="1:4" x14ac:dyDescent="0.25">
      <c r="A686" t="s">
        <v>15</v>
      </c>
      <c r="B686" t="s">
        <v>317</v>
      </c>
      <c r="C686">
        <v>28</v>
      </c>
      <c r="D686" t="s">
        <v>318</v>
      </c>
    </row>
    <row r="687" spans="1:4" x14ac:dyDescent="0.25">
      <c r="A687" t="s">
        <v>18</v>
      </c>
      <c r="B687" t="s">
        <v>317</v>
      </c>
      <c r="C687">
        <v>145</v>
      </c>
      <c r="D687" t="s">
        <v>318</v>
      </c>
    </row>
    <row r="688" spans="1:4" x14ac:dyDescent="0.25">
      <c r="A688" t="s">
        <v>26</v>
      </c>
      <c r="B688" t="s">
        <v>319</v>
      </c>
      <c r="C688">
        <v>10</v>
      </c>
      <c r="D688" t="s">
        <v>318</v>
      </c>
    </row>
    <row r="689" spans="1:4" x14ac:dyDescent="0.25">
      <c r="A689" t="s">
        <v>37</v>
      </c>
      <c r="B689" t="s">
        <v>319</v>
      </c>
      <c r="C689">
        <v>123</v>
      </c>
      <c r="D689" t="s">
        <v>318</v>
      </c>
    </row>
    <row r="690" spans="1:4" x14ac:dyDescent="0.25">
      <c r="A690" t="s">
        <v>39</v>
      </c>
      <c r="B690" t="s">
        <v>319</v>
      </c>
      <c r="C690">
        <v>33</v>
      </c>
      <c r="D690" t="s">
        <v>318</v>
      </c>
    </row>
    <row r="691" spans="1:4" x14ac:dyDescent="0.25">
      <c r="A691" t="s">
        <v>39</v>
      </c>
      <c r="B691" t="s">
        <v>317</v>
      </c>
      <c r="C691">
        <v>23</v>
      </c>
      <c r="D691" t="s">
        <v>318</v>
      </c>
    </row>
    <row r="692" spans="1:4" x14ac:dyDescent="0.25">
      <c r="A692" t="s">
        <v>40</v>
      </c>
      <c r="B692" t="s">
        <v>317</v>
      </c>
      <c r="C692">
        <v>31</v>
      </c>
      <c r="D692" t="s">
        <v>318</v>
      </c>
    </row>
    <row r="693" spans="1:4" x14ac:dyDescent="0.25">
      <c r="A693" t="s">
        <v>49</v>
      </c>
      <c r="B693" t="s">
        <v>317</v>
      </c>
      <c r="C693">
        <v>447</v>
      </c>
      <c r="D693" t="s">
        <v>318</v>
      </c>
    </row>
    <row r="694" spans="1:4" x14ac:dyDescent="0.25">
      <c r="A694" t="s">
        <v>53</v>
      </c>
      <c r="B694" t="s">
        <v>317</v>
      </c>
      <c r="C694">
        <v>50</v>
      </c>
      <c r="D694" t="s">
        <v>318</v>
      </c>
    </row>
    <row r="695" spans="1:4" x14ac:dyDescent="0.25">
      <c r="A695" t="s">
        <v>60</v>
      </c>
      <c r="B695" t="s">
        <v>317</v>
      </c>
      <c r="C695">
        <v>121</v>
      </c>
      <c r="D695" t="s">
        <v>318</v>
      </c>
    </row>
    <row r="696" spans="1:4" x14ac:dyDescent="0.25">
      <c r="A696" t="s">
        <v>65</v>
      </c>
      <c r="B696" t="s">
        <v>317</v>
      </c>
      <c r="C696">
        <v>37</v>
      </c>
      <c r="D696" t="s">
        <v>318</v>
      </c>
    </row>
    <row r="697" spans="1:4" x14ac:dyDescent="0.25">
      <c r="A697" t="s">
        <v>66</v>
      </c>
      <c r="B697" t="s">
        <v>319</v>
      </c>
      <c r="C697">
        <v>456</v>
      </c>
      <c r="D697" t="s">
        <v>318</v>
      </c>
    </row>
    <row r="698" spans="1:4" x14ac:dyDescent="0.25">
      <c r="A698" t="s">
        <v>69</v>
      </c>
      <c r="B698" t="s">
        <v>317</v>
      </c>
      <c r="C698">
        <v>31</v>
      </c>
      <c r="D698" t="s">
        <v>318</v>
      </c>
    </row>
    <row r="699" spans="1:4" x14ac:dyDescent="0.25">
      <c r="A699" t="s">
        <v>76</v>
      </c>
      <c r="B699" t="s">
        <v>317</v>
      </c>
      <c r="C699">
        <v>87</v>
      </c>
      <c r="D699" t="s">
        <v>318</v>
      </c>
    </row>
    <row r="700" spans="1:4" x14ac:dyDescent="0.25">
      <c r="A700" t="s">
        <v>77</v>
      </c>
      <c r="B700" t="s">
        <v>319</v>
      </c>
      <c r="C700">
        <v>58</v>
      </c>
      <c r="D700" t="s">
        <v>318</v>
      </c>
    </row>
    <row r="701" spans="1:4" x14ac:dyDescent="0.25">
      <c r="A701" t="s">
        <v>83</v>
      </c>
      <c r="B701" t="s">
        <v>319</v>
      </c>
      <c r="C701">
        <v>45</v>
      </c>
      <c r="D701" t="s">
        <v>318</v>
      </c>
    </row>
    <row r="702" spans="1:4" x14ac:dyDescent="0.25">
      <c r="A702" t="s">
        <v>87</v>
      </c>
      <c r="B702" t="s">
        <v>319</v>
      </c>
      <c r="C702">
        <v>1157</v>
      </c>
      <c r="D702" t="s">
        <v>318</v>
      </c>
    </row>
    <row r="703" spans="1:4" x14ac:dyDescent="0.25">
      <c r="A703" t="s">
        <v>87</v>
      </c>
      <c r="B703" t="s">
        <v>317</v>
      </c>
      <c r="C703">
        <v>19</v>
      </c>
      <c r="D703" t="s">
        <v>318</v>
      </c>
    </row>
    <row r="704" spans="1:4" x14ac:dyDescent="0.25">
      <c r="A704" t="s">
        <v>90</v>
      </c>
      <c r="B704" t="s">
        <v>317</v>
      </c>
      <c r="C704">
        <v>69</v>
      </c>
      <c r="D704" t="s">
        <v>318</v>
      </c>
    </row>
    <row r="705" spans="1:4" x14ac:dyDescent="0.25">
      <c r="A705" t="s">
        <v>16</v>
      </c>
      <c r="B705" t="s">
        <v>320</v>
      </c>
      <c r="C705">
        <v>356</v>
      </c>
      <c r="D705" t="s">
        <v>321</v>
      </c>
    </row>
    <row r="706" spans="1:4" x14ac:dyDescent="0.25">
      <c r="A706" t="s">
        <v>19</v>
      </c>
      <c r="B706" t="s">
        <v>320</v>
      </c>
      <c r="C706">
        <v>222</v>
      </c>
      <c r="D706" t="s">
        <v>321</v>
      </c>
    </row>
    <row r="707" spans="1:4" x14ac:dyDescent="0.25">
      <c r="A707" t="s">
        <v>21</v>
      </c>
      <c r="B707" t="s">
        <v>320</v>
      </c>
      <c r="C707">
        <v>52</v>
      </c>
      <c r="D707" t="s">
        <v>321</v>
      </c>
    </row>
    <row r="708" spans="1:4" x14ac:dyDescent="0.25">
      <c r="A708" t="s">
        <v>38</v>
      </c>
      <c r="B708" t="s">
        <v>320</v>
      </c>
      <c r="C708">
        <v>195</v>
      </c>
      <c r="D708" t="s">
        <v>321</v>
      </c>
    </row>
    <row r="709" spans="1:4" x14ac:dyDescent="0.25">
      <c r="A709" t="s">
        <v>43</v>
      </c>
      <c r="B709" t="s">
        <v>320</v>
      </c>
      <c r="C709">
        <v>238</v>
      </c>
      <c r="D709" t="s">
        <v>321</v>
      </c>
    </row>
    <row r="710" spans="1:4" x14ac:dyDescent="0.25">
      <c r="A710" t="s">
        <v>45</v>
      </c>
      <c r="B710" t="s">
        <v>320</v>
      </c>
      <c r="C710">
        <v>209</v>
      </c>
      <c r="D710" t="s">
        <v>321</v>
      </c>
    </row>
    <row r="711" spans="1:4" x14ac:dyDescent="0.25">
      <c r="A711" t="s">
        <v>48</v>
      </c>
      <c r="B711" t="s">
        <v>320</v>
      </c>
      <c r="C711">
        <v>127</v>
      </c>
      <c r="D711" t="s">
        <v>321</v>
      </c>
    </row>
    <row r="712" spans="1:4" x14ac:dyDescent="0.25">
      <c r="A712" t="s">
        <v>63</v>
      </c>
      <c r="B712" t="s">
        <v>320</v>
      </c>
      <c r="C712">
        <v>124</v>
      </c>
      <c r="D712" t="s">
        <v>321</v>
      </c>
    </row>
    <row r="713" spans="1:4" x14ac:dyDescent="0.25">
      <c r="A713" t="s">
        <v>72</v>
      </c>
      <c r="B713" t="s">
        <v>320</v>
      </c>
      <c r="C713">
        <v>367</v>
      </c>
      <c r="D713" t="s">
        <v>321</v>
      </c>
    </row>
    <row r="714" spans="1:4" x14ac:dyDescent="0.25">
      <c r="A714" t="s">
        <v>75</v>
      </c>
      <c r="B714" t="s">
        <v>320</v>
      </c>
      <c r="C714">
        <v>329</v>
      </c>
      <c r="D714" t="s">
        <v>321</v>
      </c>
    </row>
    <row r="715" spans="1:4" x14ac:dyDescent="0.25">
      <c r="A715" t="s">
        <v>40</v>
      </c>
      <c r="B715" t="s">
        <v>322</v>
      </c>
      <c r="C715">
        <v>9</v>
      </c>
      <c r="D715" t="s">
        <v>323</v>
      </c>
    </row>
    <row r="716" spans="1:4" x14ac:dyDescent="0.25">
      <c r="A716" t="s">
        <v>42</v>
      </c>
      <c r="B716" t="s">
        <v>322</v>
      </c>
      <c r="C716">
        <v>9</v>
      </c>
      <c r="D716" t="s">
        <v>323</v>
      </c>
    </row>
    <row r="717" spans="1:4" x14ac:dyDescent="0.25">
      <c r="A717" t="s">
        <v>53</v>
      </c>
      <c r="B717" t="s">
        <v>322</v>
      </c>
      <c r="C717">
        <v>29</v>
      </c>
      <c r="D717" t="s">
        <v>323</v>
      </c>
    </row>
    <row r="718" spans="1:4" x14ac:dyDescent="0.25">
      <c r="A718" t="s">
        <v>76</v>
      </c>
      <c r="B718" t="s">
        <v>322</v>
      </c>
      <c r="C718">
        <v>24</v>
      </c>
      <c r="D718" t="s">
        <v>323</v>
      </c>
    </row>
    <row r="719" spans="1:4" x14ac:dyDescent="0.25">
      <c r="A719" t="s">
        <v>90</v>
      </c>
      <c r="B719" t="s">
        <v>322</v>
      </c>
      <c r="C719">
        <v>26</v>
      </c>
      <c r="D719" t="s">
        <v>323</v>
      </c>
    </row>
    <row r="720" spans="1:4" x14ac:dyDescent="0.25">
      <c r="A720" t="s">
        <v>9</v>
      </c>
      <c r="B720" t="s">
        <v>324</v>
      </c>
      <c r="C720">
        <v>45</v>
      </c>
      <c r="D720" t="s">
        <v>325</v>
      </c>
    </row>
    <row r="721" spans="1:4" x14ac:dyDescent="0.25">
      <c r="A721" t="s">
        <v>11</v>
      </c>
      <c r="B721" t="s">
        <v>326</v>
      </c>
      <c r="C721">
        <v>10</v>
      </c>
      <c r="D721" t="s">
        <v>325</v>
      </c>
    </row>
    <row r="722" spans="1:4" x14ac:dyDescent="0.25">
      <c r="A722" t="s">
        <v>12</v>
      </c>
      <c r="B722" t="s">
        <v>326</v>
      </c>
      <c r="C722">
        <v>55</v>
      </c>
      <c r="D722" t="s">
        <v>325</v>
      </c>
    </row>
    <row r="723" spans="1:4" x14ac:dyDescent="0.25">
      <c r="A723" t="s">
        <v>13</v>
      </c>
      <c r="B723" t="s">
        <v>326</v>
      </c>
      <c r="C723">
        <v>17</v>
      </c>
      <c r="D723" t="s">
        <v>325</v>
      </c>
    </row>
    <row r="724" spans="1:4" x14ac:dyDescent="0.25">
      <c r="A724" t="s">
        <v>14</v>
      </c>
      <c r="B724" t="s">
        <v>326</v>
      </c>
      <c r="C724">
        <v>2216</v>
      </c>
      <c r="D724" t="s">
        <v>325</v>
      </c>
    </row>
    <row r="725" spans="1:4" x14ac:dyDescent="0.25">
      <c r="A725" t="s">
        <v>14</v>
      </c>
      <c r="B725" t="s">
        <v>324</v>
      </c>
      <c r="C725">
        <v>602</v>
      </c>
      <c r="D725" t="s">
        <v>325</v>
      </c>
    </row>
    <row r="726" spans="1:4" x14ac:dyDescent="0.25">
      <c r="A726" t="s">
        <v>15</v>
      </c>
      <c r="B726" t="s">
        <v>326</v>
      </c>
      <c r="C726">
        <v>193</v>
      </c>
      <c r="D726" t="s">
        <v>325</v>
      </c>
    </row>
    <row r="727" spans="1:4" x14ac:dyDescent="0.25">
      <c r="A727" t="s">
        <v>15</v>
      </c>
      <c r="B727" t="s">
        <v>327</v>
      </c>
      <c r="C727">
        <v>24</v>
      </c>
      <c r="D727" t="s">
        <v>325</v>
      </c>
    </row>
    <row r="728" spans="1:4" x14ac:dyDescent="0.25">
      <c r="A728" t="s">
        <v>16</v>
      </c>
      <c r="B728" t="s">
        <v>326</v>
      </c>
      <c r="C728">
        <v>259</v>
      </c>
      <c r="D728" t="s">
        <v>325</v>
      </c>
    </row>
    <row r="729" spans="1:4" x14ac:dyDescent="0.25">
      <c r="A729" t="s">
        <v>17</v>
      </c>
      <c r="B729" t="s">
        <v>326</v>
      </c>
      <c r="C729">
        <v>259</v>
      </c>
      <c r="D729" t="s">
        <v>325</v>
      </c>
    </row>
    <row r="730" spans="1:4" x14ac:dyDescent="0.25">
      <c r="A730" t="s">
        <v>18</v>
      </c>
      <c r="B730" t="s">
        <v>326</v>
      </c>
      <c r="C730">
        <v>130</v>
      </c>
      <c r="D730" t="s">
        <v>325</v>
      </c>
    </row>
    <row r="731" spans="1:4" x14ac:dyDescent="0.25">
      <c r="A731" t="s">
        <v>18</v>
      </c>
      <c r="B731" t="s">
        <v>328</v>
      </c>
      <c r="C731">
        <v>38</v>
      </c>
      <c r="D731" t="s">
        <v>325</v>
      </c>
    </row>
    <row r="732" spans="1:4" x14ac:dyDescent="0.25">
      <c r="A732" t="s">
        <v>18</v>
      </c>
      <c r="B732" t="s">
        <v>324</v>
      </c>
      <c r="C732">
        <v>38</v>
      </c>
      <c r="D732" t="s">
        <v>325</v>
      </c>
    </row>
    <row r="733" spans="1:4" x14ac:dyDescent="0.25">
      <c r="A733" t="s">
        <v>19</v>
      </c>
      <c r="B733" t="s">
        <v>326</v>
      </c>
      <c r="C733">
        <v>197</v>
      </c>
      <c r="D733" t="s">
        <v>325</v>
      </c>
    </row>
    <row r="734" spans="1:4" x14ac:dyDescent="0.25">
      <c r="A734" t="s">
        <v>20</v>
      </c>
      <c r="B734" t="s">
        <v>326</v>
      </c>
      <c r="C734">
        <v>13</v>
      </c>
      <c r="D734" t="s">
        <v>325</v>
      </c>
    </row>
    <row r="735" spans="1:4" x14ac:dyDescent="0.25">
      <c r="A735" t="s">
        <v>21</v>
      </c>
      <c r="B735" t="s">
        <v>326</v>
      </c>
      <c r="C735">
        <v>18</v>
      </c>
      <c r="D735" t="s">
        <v>325</v>
      </c>
    </row>
    <row r="736" spans="1:4" x14ac:dyDescent="0.25">
      <c r="A736" t="s">
        <v>22</v>
      </c>
      <c r="B736" t="s">
        <v>326</v>
      </c>
      <c r="C736">
        <v>61</v>
      </c>
      <c r="D736" t="s">
        <v>325</v>
      </c>
    </row>
    <row r="737" spans="1:4" x14ac:dyDescent="0.25">
      <c r="A737" t="s">
        <v>23</v>
      </c>
      <c r="B737" t="s">
        <v>328</v>
      </c>
      <c r="C737">
        <v>113</v>
      </c>
      <c r="D737" t="s">
        <v>325</v>
      </c>
    </row>
    <row r="738" spans="1:4" x14ac:dyDescent="0.25">
      <c r="A738" t="s">
        <v>24</v>
      </c>
      <c r="B738" t="s">
        <v>326</v>
      </c>
      <c r="C738">
        <v>1375</v>
      </c>
      <c r="D738" t="s">
        <v>325</v>
      </c>
    </row>
    <row r="739" spans="1:4" x14ac:dyDescent="0.25">
      <c r="A739" t="s">
        <v>24</v>
      </c>
      <c r="B739" t="s">
        <v>328</v>
      </c>
      <c r="C739">
        <v>27</v>
      </c>
      <c r="D739" t="s">
        <v>325</v>
      </c>
    </row>
    <row r="740" spans="1:4" x14ac:dyDescent="0.25">
      <c r="A740" t="s">
        <v>25</v>
      </c>
      <c r="B740" t="s">
        <v>326</v>
      </c>
      <c r="C740">
        <v>437</v>
      </c>
      <c r="D740" t="s">
        <v>325</v>
      </c>
    </row>
    <row r="741" spans="1:4" x14ac:dyDescent="0.25">
      <c r="A741" t="s">
        <v>26</v>
      </c>
      <c r="B741" t="s">
        <v>328</v>
      </c>
      <c r="C741">
        <v>106</v>
      </c>
      <c r="D741" t="s">
        <v>325</v>
      </c>
    </row>
    <row r="742" spans="1:4" x14ac:dyDescent="0.25">
      <c r="A742" t="s">
        <v>26</v>
      </c>
      <c r="B742" t="s">
        <v>324</v>
      </c>
      <c r="C742">
        <v>18</v>
      </c>
      <c r="D742" t="s">
        <v>325</v>
      </c>
    </row>
    <row r="743" spans="1:4" x14ac:dyDescent="0.25">
      <c r="A743" t="s">
        <v>27</v>
      </c>
      <c r="B743" t="s">
        <v>326</v>
      </c>
      <c r="C743">
        <v>65</v>
      </c>
      <c r="D743" t="s">
        <v>325</v>
      </c>
    </row>
    <row r="744" spans="1:4" x14ac:dyDescent="0.25">
      <c r="A744" t="s">
        <v>28</v>
      </c>
      <c r="B744" t="s">
        <v>324</v>
      </c>
      <c r="C744">
        <v>19</v>
      </c>
      <c r="D744" t="s">
        <v>325</v>
      </c>
    </row>
    <row r="745" spans="1:4" x14ac:dyDescent="0.25">
      <c r="A745" t="s">
        <v>29</v>
      </c>
      <c r="B745" t="s">
        <v>326</v>
      </c>
      <c r="C745">
        <v>85</v>
      </c>
      <c r="D745" t="s">
        <v>325</v>
      </c>
    </row>
    <row r="746" spans="1:4" x14ac:dyDescent="0.25">
      <c r="A746" t="s">
        <v>29</v>
      </c>
      <c r="B746" t="s">
        <v>328</v>
      </c>
      <c r="C746">
        <v>22</v>
      </c>
      <c r="D746" t="s">
        <v>325</v>
      </c>
    </row>
    <row r="747" spans="1:4" x14ac:dyDescent="0.25">
      <c r="A747" t="s">
        <v>30</v>
      </c>
      <c r="B747" t="s">
        <v>326</v>
      </c>
      <c r="C747">
        <v>20</v>
      </c>
      <c r="D747" t="s">
        <v>325</v>
      </c>
    </row>
    <row r="748" spans="1:4" x14ac:dyDescent="0.25">
      <c r="A748" t="s">
        <v>31</v>
      </c>
      <c r="B748" t="s">
        <v>328</v>
      </c>
      <c r="C748">
        <v>92</v>
      </c>
      <c r="D748" t="s">
        <v>325</v>
      </c>
    </row>
    <row r="749" spans="1:4" x14ac:dyDescent="0.25">
      <c r="A749" t="s">
        <v>32</v>
      </c>
      <c r="B749" t="s">
        <v>324</v>
      </c>
      <c r="C749">
        <v>14</v>
      </c>
      <c r="D749" t="s">
        <v>325</v>
      </c>
    </row>
    <row r="750" spans="1:4" x14ac:dyDescent="0.25">
      <c r="A750" t="s">
        <v>33</v>
      </c>
      <c r="B750" t="s">
        <v>326</v>
      </c>
      <c r="C750">
        <v>91</v>
      </c>
      <c r="D750" t="s">
        <v>325</v>
      </c>
    </row>
    <row r="751" spans="1:4" x14ac:dyDescent="0.25">
      <c r="A751" t="s">
        <v>33</v>
      </c>
      <c r="B751" t="s">
        <v>324</v>
      </c>
      <c r="C751">
        <v>36</v>
      </c>
      <c r="D751" t="s">
        <v>325</v>
      </c>
    </row>
    <row r="752" spans="1:4" x14ac:dyDescent="0.25">
      <c r="A752" t="s">
        <v>34</v>
      </c>
      <c r="B752" t="s">
        <v>328</v>
      </c>
      <c r="C752">
        <v>26</v>
      </c>
      <c r="D752" t="s">
        <v>325</v>
      </c>
    </row>
    <row r="753" spans="1:4" x14ac:dyDescent="0.25">
      <c r="A753" t="s">
        <v>34</v>
      </c>
      <c r="B753" t="s">
        <v>324</v>
      </c>
      <c r="C753">
        <v>21</v>
      </c>
      <c r="D753" t="s">
        <v>325</v>
      </c>
    </row>
    <row r="754" spans="1:4" x14ac:dyDescent="0.25">
      <c r="A754" t="s">
        <v>35</v>
      </c>
      <c r="B754" t="s">
        <v>326</v>
      </c>
      <c r="C754">
        <v>111</v>
      </c>
      <c r="D754" t="s">
        <v>325</v>
      </c>
    </row>
    <row r="755" spans="1:4" x14ac:dyDescent="0.25">
      <c r="A755" t="s">
        <v>36</v>
      </c>
      <c r="B755" t="s">
        <v>326</v>
      </c>
      <c r="C755">
        <v>20</v>
      </c>
      <c r="D755" t="s">
        <v>325</v>
      </c>
    </row>
    <row r="756" spans="1:4" x14ac:dyDescent="0.25">
      <c r="A756" t="s">
        <v>36</v>
      </c>
      <c r="B756" t="s">
        <v>324</v>
      </c>
      <c r="C756">
        <v>10</v>
      </c>
      <c r="D756" t="s">
        <v>325</v>
      </c>
    </row>
    <row r="757" spans="1:4" x14ac:dyDescent="0.25">
      <c r="A757" t="s">
        <v>37</v>
      </c>
      <c r="B757" t="s">
        <v>326</v>
      </c>
      <c r="C757">
        <v>108</v>
      </c>
      <c r="D757" t="s">
        <v>325</v>
      </c>
    </row>
    <row r="758" spans="1:4" x14ac:dyDescent="0.25">
      <c r="A758" t="s">
        <v>37</v>
      </c>
      <c r="B758" t="s">
        <v>328</v>
      </c>
      <c r="C758">
        <v>40</v>
      </c>
      <c r="D758" t="s">
        <v>325</v>
      </c>
    </row>
    <row r="759" spans="1:4" x14ac:dyDescent="0.25">
      <c r="A759" t="s">
        <v>37</v>
      </c>
      <c r="B759" t="s">
        <v>324</v>
      </c>
      <c r="C759">
        <v>37</v>
      </c>
      <c r="D759" t="s">
        <v>325</v>
      </c>
    </row>
    <row r="760" spans="1:4" x14ac:dyDescent="0.25">
      <c r="A760" t="s">
        <v>38</v>
      </c>
      <c r="B760" t="s">
        <v>326</v>
      </c>
      <c r="C760">
        <v>385</v>
      </c>
      <c r="D760" t="s">
        <v>325</v>
      </c>
    </row>
    <row r="761" spans="1:4" x14ac:dyDescent="0.25">
      <c r="A761" t="s">
        <v>39</v>
      </c>
      <c r="B761" t="s">
        <v>324</v>
      </c>
      <c r="C761">
        <v>32</v>
      </c>
      <c r="D761" t="s">
        <v>325</v>
      </c>
    </row>
    <row r="762" spans="1:4" x14ac:dyDescent="0.25">
      <c r="A762" t="s">
        <v>39</v>
      </c>
      <c r="B762" t="s">
        <v>326</v>
      </c>
      <c r="C762">
        <v>30</v>
      </c>
      <c r="D762" t="s">
        <v>325</v>
      </c>
    </row>
    <row r="763" spans="1:4" x14ac:dyDescent="0.25">
      <c r="A763" t="s">
        <v>40</v>
      </c>
      <c r="B763" t="s">
        <v>326</v>
      </c>
      <c r="C763">
        <v>71</v>
      </c>
      <c r="D763" t="s">
        <v>325</v>
      </c>
    </row>
    <row r="764" spans="1:4" x14ac:dyDescent="0.25">
      <c r="A764" t="s">
        <v>40</v>
      </c>
      <c r="B764" t="s">
        <v>328</v>
      </c>
      <c r="C764">
        <v>49</v>
      </c>
      <c r="D764" t="s">
        <v>325</v>
      </c>
    </row>
    <row r="765" spans="1:4" x14ac:dyDescent="0.25">
      <c r="A765" t="s">
        <v>40</v>
      </c>
      <c r="B765" t="s">
        <v>324</v>
      </c>
      <c r="C765">
        <v>42</v>
      </c>
      <c r="D765" t="s">
        <v>325</v>
      </c>
    </row>
    <row r="766" spans="1:4" x14ac:dyDescent="0.25">
      <c r="A766" t="s">
        <v>42</v>
      </c>
      <c r="B766" t="s">
        <v>326</v>
      </c>
      <c r="C766">
        <v>53</v>
      </c>
      <c r="D766" t="s">
        <v>325</v>
      </c>
    </row>
    <row r="767" spans="1:4" x14ac:dyDescent="0.25">
      <c r="A767" t="s">
        <v>42</v>
      </c>
      <c r="B767" t="s">
        <v>324</v>
      </c>
      <c r="C767">
        <v>25</v>
      </c>
      <c r="D767" t="s">
        <v>325</v>
      </c>
    </row>
    <row r="768" spans="1:4" x14ac:dyDescent="0.25">
      <c r="A768" t="s">
        <v>43</v>
      </c>
      <c r="B768" t="s">
        <v>326</v>
      </c>
      <c r="C768">
        <v>365</v>
      </c>
      <c r="D768" t="s">
        <v>325</v>
      </c>
    </row>
    <row r="769" spans="1:4" x14ac:dyDescent="0.25">
      <c r="A769" t="s">
        <v>45</v>
      </c>
      <c r="B769" t="s">
        <v>326</v>
      </c>
      <c r="C769">
        <v>256</v>
      </c>
      <c r="D769" t="s">
        <v>325</v>
      </c>
    </row>
    <row r="770" spans="1:4" x14ac:dyDescent="0.25">
      <c r="A770" t="s">
        <v>47</v>
      </c>
      <c r="B770" t="s">
        <v>326</v>
      </c>
      <c r="C770">
        <v>256</v>
      </c>
      <c r="D770" t="s">
        <v>325</v>
      </c>
    </row>
    <row r="771" spans="1:4" x14ac:dyDescent="0.25">
      <c r="A771" t="s">
        <v>47</v>
      </c>
      <c r="B771" t="s">
        <v>328</v>
      </c>
      <c r="C771">
        <v>18</v>
      </c>
      <c r="D771" t="s">
        <v>325</v>
      </c>
    </row>
    <row r="772" spans="1:4" x14ac:dyDescent="0.25">
      <c r="A772" t="s">
        <v>48</v>
      </c>
      <c r="B772" t="s">
        <v>326</v>
      </c>
      <c r="C772">
        <v>82</v>
      </c>
      <c r="D772" t="s">
        <v>325</v>
      </c>
    </row>
    <row r="773" spans="1:4" x14ac:dyDescent="0.25">
      <c r="A773" t="s">
        <v>48</v>
      </c>
      <c r="B773" t="s">
        <v>328</v>
      </c>
      <c r="C773">
        <v>13</v>
      </c>
      <c r="D773" t="s">
        <v>325</v>
      </c>
    </row>
    <row r="774" spans="1:4" x14ac:dyDescent="0.25">
      <c r="A774" t="s">
        <v>49</v>
      </c>
      <c r="B774" t="s">
        <v>326</v>
      </c>
      <c r="C774">
        <v>129</v>
      </c>
      <c r="D774" t="s">
        <v>325</v>
      </c>
    </row>
    <row r="775" spans="1:4" x14ac:dyDescent="0.25">
      <c r="A775" t="s">
        <v>50</v>
      </c>
      <c r="B775" t="s">
        <v>326</v>
      </c>
      <c r="C775">
        <v>12</v>
      </c>
      <c r="D775" t="s">
        <v>325</v>
      </c>
    </row>
    <row r="776" spans="1:4" x14ac:dyDescent="0.25">
      <c r="A776" t="s">
        <v>52</v>
      </c>
      <c r="B776" t="s">
        <v>326</v>
      </c>
      <c r="C776">
        <v>53</v>
      </c>
      <c r="D776" t="s">
        <v>325</v>
      </c>
    </row>
    <row r="777" spans="1:4" x14ac:dyDescent="0.25">
      <c r="A777" t="s">
        <v>53</v>
      </c>
      <c r="B777" t="s">
        <v>324</v>
      </c>
      <c r="C777">
        <v>77</v>
      </c>
      <c r="D777" t="s">
        <v>325</v>
      </c>
    </row>
    <row r="778" spans="1:4" x14ac:dyDescent="0.25">
      <c r="A778" t="s">
        <v>53</v>
      </c>
      <c r="B778" t="s">
        <v>326</v>
      </c>
      <c r="C778">
        <v>59</v>
      </c>
      <c r="D778" t="s">
        <v>325</v>
      </c>
    </row>
    <row r="779" spans="1:4" x14ac:dyDescent="0.25">
      <c r="A779" t="s">
        <v>53</v>
      </c>
      <c r="B779" t="s">
        <v>328</v>
      </c>
      <c r="C779">
        <v>41</v>
      </c>
      <c r="D779" t="s">
        <v>325</v>
      </c>
    </row>
    <row r="780" spans="1:4" x14ac:dyDescent="0.25">
      <c r="A780" t="s">
        <v>54</v>
      </c>
      <c r="B780" t="s">
        <v>326</v>
      </c>
      <c r="C780">
        <v>177</v>
      </c>
      <c r="D780" t="s">
        <v>325</v>
      </c>
    </row>
    <row r="781" spans="1:4" x14ac:dyDescent="0.25">
      <c r="A781" t="s">
        <v>55</v>
      </c>
      <c r="B781" t="s">
        <v>326</v>
      </c>
      <c r="C781">
        <v>86</v>
      </c>
      <c r="D781" t="s">
        <v>325</v>
      </c>
    </row>
    <row r="782" spans="1:4" x14ac:dyDescent="0.25">
      <c r="A782" t="s">
        <v>56</v>
      </c>
      <c r="B782" t="s">
        <v>326</v>
      </c>
      <c r="C782">
        <v>9</v>
      </c>
      <c r="D782" t="s">
        <v>325</v>
      </c>
    </row>
    <row r="783" spans="1:4" x14ac:dyDescent="0.25">
      <c r="A783" t="s">
        <v>57</v>
      </c>
      <c r="B783" t="s">
        <v>326</v>
      </c>
      <c r="C783">
        <v>108</v>
      </c>
      <c r="D783" t="s">
        <v>325</v>
      </c>
    </row>
    <row r="784" spans="1:4" x14ac:dyDescent="0.25">
      <c r="A784" t="s">
        <v>58</v>
      </c>
      <c r="B784" t="s">
        <v>328</v>
      </c>
      <c r="C784">
        <v>49</v>
      </c>
      <c r="D784" t="s">
        <v>325</v>
      </c>
    </row>
    <row r="785" spans="1:4" x14ac:dyDescent="0.25">
      <c r="A785" t="s">
        <v>58</v>
      </c>
      <c r="B785" t="s">
        <v>326</v>
      </c>
      <c r="C785">
        <v>33</v>
      </c>
      <c r="D785" t="s">
        <v>325</v>
      </c>
    </row>
    <row r="786" spans="1:4" x14ac:dyDescent="0.25">
      <c r="A786" t="s">
        <v>59</v>
      </c>
      <c r="B786" t="s">
        <v>324</v>
      </c>
      <c r="C786">
        <v>15</v>
      </c>
      <c r="D786" t="s">
        <v>325</v>
      </c>
    </row>
    <row r="787" spans="1:4" x14ac:dyDescent="0.25">
      <c r="A787" t="s">
        <v>60</v>
      </c>
      <c r="B787" t="s">
        <v>326</v>
      </c>
      <c r="C787">
        <v>34</v>
      </c>
      <c r="D787" t="s">
        <v>325</v>
      </c>
    </row>
    <row r="788" spans="1:4" x14ac:dyDescent="0.25">
      <c r="A788" t="s">
        <v>61</v>
      </c>
      <c r="B788" t="s">
        <v>328</v>
      </c>
      <c r="C788">
        <v>83</v>
      </c>
      <c r="D788" t="s">
        <v>325</v>
      </c>
    </row>
    <row r="789" spans="1:4" x14ac:dyDescent="0.25">
      <c r="A789" t="s">
        <v>62</v>
      </c>
      <c r="B789" t="s">
        <v>326</v>
      </c>
      <c r="C789">
        <v>81</v>
      </c>
      <c r="D789" t="s">
        <v>325</v>
      </c>
    </row>
    <row r="790" spans="1:4" x14ac:dyDescent="0.25">
      <c r="A790" t="s">
        <v>65</v>
      </c>
      <c r="B790" t="s">
        <v>326</v>
      </c>
      <c r="C790">
        <v>33</v>
      </c>
      <c r="D790" t="s">
        <v>325</v>
      </c>
    </row>
    <row r="791" spans="1:4" x14ac:dyDescent="0.25">
      <c r="A791" t="s">
        <v>66</v>
      </c>
      <c r="B791" t="s">
        <v>326</v>
      </c>
      <c r="C791">
        <v>23</v>
      </c>
      <c r="D791" t="s">
        <v>325</v>
      </c>
    </row>
    <row r="792" spans="1:4" x14ac:dyDescent="0.25">
      <c r="A792" t="s">
        <v>67</v>
      </c>
      <c r="B792" t="s">
        <v>326</v>
      </c>
      <c r="C792">
        <v>790</v>
      </c>
      <c r="D792" t="s">
        <v>325</v>
      </c>
    </row>
    <row r="793" spans="1:4" x14ac:dyDescent="0.25">
      <c r="A793" t="s">
        <v>68</v>
      </c>
      <c r="B793" t="s">
        <v>326</v>
      </c>
      <c r="C793">
        <v>85</v>
      </c>
      <c r="D793" t="s">
        <v>325</v>
      </c>
    </row>
    <row r="794" spans="1:4" x14ac:dyDescent="0.25">
      <c r="A794" t="s">
        <v>69</v>
      </c>
      <c r="B794" t="s">
        <v>328</v>
      </c>
      <c r="C794">
        <v>21</v>
      </c>
      <c r="D794" t="s">
        <v>325</v>
      </c>
    </row>
    <row r="795" spans="1:4" x14ac:dyDescent="0.25">
      <c r="A795" t="s">
        <v>70</v>
      </c>
      <c r="B795" t="s">
        <v>326</v>
      </c>
      <c r="C795">
        <v>657</v>
      </c>
      <c r="D795" t="s">
        <v>325</v>
      </c>
    </row>
    <row r="796" spans="1:4" x14ac:dyDescent="0.25">
      <c r="A796" t="s">
        <v>71</v>
      </c>
      <c r="B796" t="s">
        <v>328</v>
      </c>
      <c r="C796">
        <v>13</v>
      </c>
      <c r="D796" t="s">
        <v>325</v>
      </c>
    </row>
    <row r="797" spans="1:4" x14ac:dyDescent="0.25">
      <c r="A797" t="s">
        <v>72</v>
      </c>
      <c r="B797" t="s">
        <v>328</v>
      </c>
      <c r="C797">
        <v>28</v>
      </c>
      <c r="D797" t="s">
        <v>325</v>
      </c>
    </row>
    <row r="798" spans="1:4" x14ac:dyDescent="0.25">
      <c r="A798" t="s">
        <v>74</v>
      </c>
      <c r="B798" t="s">
        <v>326</v>
      </c>
      <c r="C798">
        <v>115</v>
      </c>
      <c r="D798" t="s">
        <v>325</v>
      </c>
    </row>
    <row r="799" spans="1:4" x14ac:dyDescent="0.25">
      <c r="A799" t="s">
        <v>74</v>
      </c>
      <c r="B799" t="s">
        <v>328</v>
      </c>
      <c r="C799">
        <v>16</v>
      </c>
      <c r="D799" t="s">
        <v>325</v>
      </c>
    </row>
    <row r="800" spans="1:4" x14ac:dyDescent="0.25">
      <c r="A800" t="s">
        <v>75</v>
      </c>
      <c r="B800" t="s">
        <v>328</v>
      </c>
      <c r="C800">
        <v>38</v>
      </c>
      <c r="D800" t="s">
        <v>325</v>
      </c>
    </row>
    <row r="801" spans="1:4" x14ac:dyDescent="0.25">
      <c r="A801" t="s">
        <v>75</v>
      </c>
      <c r="B801" t="s">
        <v>326</v>
      </c>
      <c r="C801">
        <v>33</v>
      </c>
      <c r="D801" t="s">
        <v>325</v>
      </c>
    </row>
    <row r="802" spans="1:4" x14ac:dyDescent="0.25">
      <c r="A802" t="s">
        <v>76</v>
      </c>
      <c r="B802" t="s">
        <v>328</v>
      </c>
      <c r="C802">
        <v>80</v>
      </c>
      <c r="D802" t="s">
        <v>325</v>
      </c>
    </row>
    <row r="803" spans="1:4" x14ac:dyDescent="0.25">
      <c r="A803" t="s">
        <v>76</v>
      </c>
      <c r="B803" t="s">
        <v>326</v>
      </c>
      <c r="C803">
        <v>65</v>
      </c>
      <c r="D803" t="s">
        <v>325</v>
      </c>
    </row>
    <row r="804" spans="1:4" x14ac:dyDescent="0.25">
      <c r="A804" t="s">
        <v>76</v>
      </c>
      <c r="B804" t="s">
        <v>324</v>
      </c>
      <c r="C804">
        <v>45</v>
      </c>
      <c r="D804" t="s">
        <v>325</v>
      </c>
    </row>
    <row r="805" spans="1:4" x14ac:dyDescent="0.25">
      <c r="A805" t="s">
        <v>76</v>
      </c>
      <c r="B805" t="s">
        <v>329</v>
      </c>
      <c r="C805">
        <v>14</v>
      </c>
      <c r="D805" t="s">
        <v>325</v>
      </c>
    </row>
    <row r="806" spans="1:4" x14ac:dyDescent="0.25">
      <c r="A806" t="s">
        <v>78</v>
      </c>
      <c r="B806" t="s">
        <v>328</v>
      </c>
      <c r="C806">
        <v>98</v>
      </c>
      <c r="D806" t="s">
        <v>325</v>
      </c>
    </row>
    <row r="807" spans="1:4" x14ac:dyDescent="0.25">
      <c r="A807" t="s">
        <v>79</v>
      </c>
      <c r="B807" t="s">
        <v>328</v>
      </c>
      <c r="C807">
        <v>83</v>
      </c>
      <c r="D807" t="s">
        <v>325</v>
      </c>
    </row>
    <row r="808" spans="1:4" x14ac:dyDescent="0.25">
      <c r="A808" t="s">
        <v>79</v>
      </c>
      <c r="B808" t="s">
        <v>326</v>
      </c>
      <c r="C808">
        <v>12</v>
      </c>
      <c r="D808" t="s">
        <v>325</v>
      </c>
    </row>
    <row r="809" spans="1:4" x14ac:dyDescent="0.25">
      <c r="A809" t="s">
        <v>80</v>
      </c>
      <c r="B809" t="s">
        <v>326</v>
      </c>
      <c r="C809">
        <v>19</v>
      </c>
      <c r="D809" t="s">
        <v>325</v>
      </c>
    </row>
    <row r="810" spans="1:4" x14ac:dyDescent="0.25">
      <c r="A810" t="s">
        <v>81</v>
      </c>
      <c r="B810" t="s">
        <v>326</v>
      </c>
      <c r="C810">
        <v>10</v>
      </c>
      <c r="D810" t="s">
        <v>325</v>
      </c>
    </row>
    <row r="811" spans="1:4" x14ac:dyDescent="0.25">
      <c r="A811" t="s">
        <v>82</v>
      </c>
      <c r="B811" t="s">
        <v>326</v>
      </c>
      <c r="C811">
        <v>238</v>
      </c>
      <c r="D811" t="s">
        <v>325</v>
      </c>
    </row>
    <row r="812" spans="1:4" x14ac:dyDescent="0.25">
      <c r="A812" t="s">
        <v>82</v>
      </c>
      <c r="B812" t="s">
        <v>324</v>
      </c>
      <c r="C812">
        <v>66</v>
      </c>
      <c r="D812" t="s">
        <v>325</v>
      </c>
    </row>
    <row r="813" spans="1:4" x14ac:dyDescent="0.25">
      <c r="A813" t="s">
        <v>83</v>
      </c>
      <c r="B813" t="s">
        <v>326</v>
      </c>
      <c r="C813">
        <v>665</v>
      </c>
      <c r="D813" t="s">
        <v>325</v>
      </c>
    </row>
    <row r="814" spans="1:4" x14ac:dyDescent="0.25">
      <c r="A814" t="s">
        <v>83</v>
      </c>
      <c r="B814" t="s">
        <v>324</v>
      </c>
      <c r="C814">
        <v>47</v>
      </c>
      <c r="D814" t="s">
        <v>325</v>
      </c>
    </row>
    <row r="815" spans="1:4" x14ac:dyDescent="0.25">
      <c r="A815" t="s">
        <v>84</v>
      </c>
      <c r="B815" t="s">
        <v>328</v>
      </c>
      <c r="C815">
        <v>40</v>
      </c>
      <c r="D815" t="s">
        <v>325</v>
      </c>
    </row>
    <row r="816" spans="1:4" x14ac:dyDescent="0.25">
      <c r="A816" t="s">
        <v>84</v>
      </c>
      <c r="B816" t="s">
        <v>326</v>
      </c>
      <c r="C816">
        <v>37</v>
      </c>
      <c r="D816" t="s">
        <v>325</v>
      </c>
    </row>
    <row r="817" spans="1:4" x14ac:dyDescent="0.25">
      <c r="A817" t="s">
        <v>84</v>
      </c>
      <c r="B817" t="s">
        <v>324</v>
      </c>
      <c r="C817">
        <v>28</v>
      </c>
      <c r="D817" t="s">
        <v>325</v>
      </c>
    </row>
    <row r="818" spans="1:4" x14ac:dyDescent="0.25">
      <c r="A818" t="s">
        <v>85</v>
      </c>
      <c r="B818" t="s">
        <v>326</v>
      </c>
      <c r="C818">
        <v>508</v>
      </c>
      <c r="D818" t="s">
        <v>325</v>
      </c>
    </row>
    <row r="819" spans="1:4" x14ac:dyDescent="0.25">
      <c r="A819" t="s">
        <v>85</v>
      </c>
      <c r="B819" t="s">
        <v>328</v>
      </c>
      <c r="C819">
        <v>31</v>
      </c>
      <c r="D819" t="s">
        <v>325</v>
      </c>
    </row>
    <row r="820" spans="1:4" x14ac:dyDescent="0.25">
      <c r="A820" t="s">
        <v>86</v>
      </c>
      <c r="B820" t="s">
        <v>326</v>
      </c>
      <c r="C820">
        <v>81</v>
      </c>
      <c r="D820" t="s">
        <v>325</v>
      </c>
    </row>
    <row r="821" spans="1:4" x14ac:dyDescent="0.25">
      <c r="A821" t="s">
        <v>86</v>
      </c>
      <c r="B821" t="s">
        <v>327</v>
      </c>
      <c r="C821">
        <v>19</v>
      </c>
      <c r="D821" t="s">
        <v>325</v>
      </c>
    </row>
    <row r="822" spans="1:4" x14ac:dyDescent="0.25">
      <c r="A822" t="s">
        <v>87</v>
      </c>
      <c r="B822" t="s">
        <v>328</v>
      </c>
      <c r="C822">
        <v>25</v>
      </c>
      <c r="D822" t="s">
        <v>325</v>
      </c>
    </row>
    <row r="823" spans="1:4" x14ac:dyDescent="0.25">
      <c r="A823" t="s">
        <v>88</v>
      </c>
      <c r="B823" t="s">
        <v>328</v>
      </c>
      <c r="C823">
        <v>70</v>
      </c>
      <c r="D823" t="s">
        <v>325</v>
      </c>
    </row>
    <row r="824" spans="1:4" x14ac:dyDescent="0.25">
      <c r="A824" t="s">
        <v>89</v>
      </c>
      <c r="B824" t="s">
        <v>326</v>
      </c>
      <c r="C824">
        <v>133</v>
      </c>
      <c r="D824" t="s">
        <v>325</v>
      </c>
    </row>
    <row r="825" spans="1:4" x14ac:dyDescent="0.25">
      <c r="A825" t="s">
        <v>89</v>
      </c>
      <c r="B825" t="s">
        <v>328</v>
      </c>
      <c r="C825">
        <v>55</v>
      </c>
      <c r="D825" t="s">
        <v>325</v>
      </c>
    </row>
    <row r="826" spans="1:4" x14ac:dyDescent="0.25">
      <c r="A826" t="s">
        <v>89</v>
      </c>
      <c r="B826" t="s">
        <v>324</v>
      </c>
      <c r="C826">
        <v>24</v>
      </c>
      <c r="D826" t="s">
        <v>325</v>
      </c>
    </row>
    <row r="827" spans="1:4" x14ac:dyDescent="0.25">
      <c r="A827" t="s">
        <v>90</v>
      </c>
      <c r="B827" t="s">
        <v>328</v>
      </c>
      <c r="C827">
        <v>76</v>
      </c>
      <c r="D827" t="s">
        <v>325</v>
      </c>
    </row>
    <row r="828" spans="1:4" x14ac:dyDescent="0.25">
      <c r="A828" t="s">
        <v>90</v>
      </c>
      <c r="B828" t="s">
        <v>326</v>
      </c>
      <c r="C828">
        <v>48</v>
      </c>
      <c r="D828" t="s">
        <v>325</v>
      </c>
    </row>
    <row r="829" spans="1:4" x14ac:dyDescent="0.25">
      <c r="A829" t="s">
        <v>90</v>
      </c>
      <c r="B829" t="s">
        <v>324</v>
      </c>
      <c r="C829">
        <v>36</v>
      </c>
      <c r="D829" t="s">
        <v>325</v>
      </c>
    </row>
    <row r="830" spans="1:4" x14ac:dyDescent="0.25">
      <c r="A830" t="s">
        <v>90</v>
      </c>
      <c r="B830" t="s">
        <v>329</v>
      </c>
      <c r="C830">
        <v>7</v>
      </c>
      <c r="D830" t="s">
        <v>325</v>
      </c>
    </row>
    <row r="831" spans="1:4" x14ac:dyDescent="0.25">
      <c r="A831" t="s">
        <v>91</v>
      </c>
      <c r="B831" t="s">
        <v>326</v>
      </c>
      <c r="C831">
        <v>26</v>
      </c>
      <c r="D831" t="s">
        <v>325</v>
      </c>
    </row>
    <row r="832" spans="1:4" x14ac:dyDescent="0.25">
      <c r="A832" t="s">
        <v>91</v>
      </c>
      <c r="B832" t="s">
        <v>328</v>
      </c>
      <c r="C832">
        <v>10</v>
      </c>
      <c r="D832" t="s">
        <v>325</v>
      </c>
    </row>
    <row r="833" spans="1:4" x14ac:dyDescent="0.25">
      <c r="A833" t="s">
        <v>92</v>
      </c>
      <c r="B833" t="s">
        <v>326</v>
      </c>
      <c r="C833">
        <v>110</v>
      </c>
      <c r="D833" t="s">
        <v>325</v>
      </c>
    </row>
    <row r="834" spans="1:4" x14ac:dyDescent="0.25">
      <c r="A834" t="s">
        <v>92</v>
      </c>
      <c r="B834" t="s">
        <v>328</v>
      </c>
      <c r="C834">
        <v>39</v>
      </c>
      <c r="D834" t="s">
        <v>325</v>
      </c>
    </row>
    <row r="835" spans="1:4" x14ac:dyDescent="0.25">
      <c r="A835" t="s">
        <v>15</v>
      </c>
      <c r="B835" t="s">
        <v>330</v>
      </c>
      <c r="C835">
        <v>156</v>
      </c>
      <c r="D835" t="s">
        <v>331</v>
      </c>
    </row>
    <row r="836" spans="1:4" x14ac:dyDescent="0.25">
      <c r="A836" t="s">
        <v>16</v>
      </c>
      <c r="B836" t="s">
        <v>330</v>
      </c>
      <c r="C836">
        <v>24</v>
      </c>
      <c r="D836" t="s">
        <v>331</v>
      </c>
    </row>
    <row r="837" spans="1:4" x14ac:dyDescent="0.25">
      <c r="A837" t="s">
        <v>18</v>
      </c>
      <c r="B837" t="s">
        <v>330</v>
      </c>
      <c r="C837">
        <v>17</v>
      </c>
      <c r="D837" t="s">
        <v>331</v>
      </c>
    </row>
    <row r="838" spans="1:4" x14ac:dyDescent="0.25">
      <c r="A838" t="s">
        <v>19</v>
      </c>
      <c r="B838" t="s">
        <v>330</v>
      </c>
      <c r="C838">
        <v>74</v>
      </c>
      <c r="D838" t="s">
        <v>331</v>
      </c>
    </row>
    <row r="839" spans="1:4" x14ac:dyDescent="0.25">
      <c r="A839" t="s">
        <v>22</v>
      </c>
      <c r="B839" t="s">
        <v>330</v>
      </c>
      <c r="C839">
        <v>20</v>
      </c>
      <c r="D839" t="s">
        <v>331</v>
      </c>
    </row>
    <row r="840" spans="1:4" x14ac:dyDescent="0.25">
      <c r="A840" t="s">
        <v>25</v>
      </c>
      <c r="B840" t="s">
        <v>330</v>
      </c>
      <c r="C840">
        <v>42</v>
      </c>
      <c r="D840" t="s">
        <v>331</v>
      </c>
    </row>
    <row r="841" spans="1:4" x14ac:dyDescent="0.25">
      <c r="A841" t="s">
        <v>29</v>
      </c>
      <c r="B841" t="s">
        <v>330</v>
      </c>
      <c r="C841">
        <v>488</v>
      </c>
      <c r="D841" t="s">
        <v>331</v>
      </c>
    </row>
    <row r="842" spans="1:4" x14ac:dyDescent="0.25">
      <c r="A842" t="s">
        <v>33</v>
      </c>
      <c r="B842" t="s">
        <v>330</v>
      </c>
      <c r="C842">
        <v>17</v>
      </c>
      <c r="D842" t="s">
        <v>331</v>
      </c>
    </row>
    <row r="843" spans="1:4" x14ac:dyDescent="0.25">
      <c r="A843" t="s">
        <v>37</v>
      </c>
      <c r="B843" t="s">
        <v>330</v>
      </c>
      <c r="C843">
        <v>32</v>
      </c>
      <c r="D843" t="s">
        <v>331</v>
      </c>
    </row>
    <row r="844" spans="1:4" x14ac:dyDescent="0.25">
      <c r="A844" t="s">
        <v>39</v>
      </c>
      <c r="B844" t="s">
        <v>330</v>
      </c>
      <c r="C844">
        <v>44</v>
      </c>
      <c r="D844" t="s">
        <v>331</v>
      </c>
    </row>
    <row r="845" spans="1:4" x14ac:dyDescent="0.25">
      <c r="A845" t="s">
        <v>40</v>
      </c>
      <c r="B845" t="s">
        <v>330</v>
      </c>
      <c r="C845">
        <v>9</v>
      </c>
      <c r="D845" t="s">
        <v>331</v>
      </c>
    </row>
    <row r="846" spans="1:4" x14ac:dyDescent="0.25">
      <c r="A846" t="s">
        <v>43</v>
      </c>
      <c r="B846" t="s">
        <v>330</v>
      </c>
      <c r="C846">
        <v>325</v>
      </c>
      <c r="D846" t="s">
        <v>331</v>
      </c>
    </row>
    <row r="847" spans="1:4" x14ac:dyDescent="0.25">
      <c r="A847" t="s">
        <v>45</v>
      </c>
      <c r="B847" t="s">
        <v>330</v>
      </c>
      <c r="C847">
        <v>44</v>
      </c>
      <c r="D847" t="s">
        <v>331</v>
      </c>
    </row>
    <row r="848" spans="1:4" x14ac:dyDescent="0.25">
      <c r="A848" t="s">
        <v>47</v>
      </c>
      <c r="B848" t="s">
        <v>330</v>
      </c>
      <c r="C848">
        <v>39</v>
      </c>
      <c r="D848" t="s">
        <v>331</v>
      </c>
    </row>
    <row r="849" spans="1:4" x14ac:dyDescent="0.25">
      <c r="A849" t="s">
        <v>53</v>
      </c>
      <c r="B849" t="s">
        <v>330</v>
      </c>
      <c r="C849">
        <v>6</v>
      </c>
      <c r="D849" t="s">
        <v>331</v>
      </c>
    </row>
    <row r="850" spans="1:4" x14ac:dyDescent="0.25">
      <c r="A850" t="s">
        <v>58</v>
      </c>
      <c r="B850" t="s">
        <v>330</v>
      </c>
      <c r="C850">
        <v>82</v>
      </c>
      <c r="D850" t="s">
        <v>331</v>
      </c>
    </row>
    <row r="851" spans="1:4" x14ac:dyDescent="0.25">
      <c r="A851" t="s">
        <v>66</v>
      </c>
      <c r="B851" t="s">
        <v>330</v>
      </c>
      <c r="C851">
        <v>13</v>
      </c>
      <c r="D851" t="s">
        <v>331</v>
      </c>
    </row>
    <row r="852" spans="1:4" x14ac:dyDescent="0.25">
      <c r="A852" t="s">
        <v>67</v>
      </c>
      <c r="B852" t="s">
        <v>330</v>
      </c>
      <c r="C852">
        <v>18</v>
      </c>
      <c r="D852" t="s">
        <v>331</v>
      </c>
    </row>
    <row r="853" spans="1:4" x14ac:dyDescent="0.25">
      <c r="A853" t="s">
        <v>70</v>
      </c>
      <c r="B853" t="s">
        <v>330</v>
      </c>
      <c r="C853">
        <v>20</v>
      </c>
      <c r="D853" t="s">
        <v>331</v>
      </c>
    </row>
    <row r="854" spans="1:4" x14ac:dyDescent="0.25">
      <c r="A854" t="s">
        <v>74</v>
      </c>
      <c r="B854" t="s">
        <v>330</v>
      </c>
      <c r="C854">
        <v>19</v>
      </c>
      <c r="D854" t="s">
        <v>331</v>
      </c>
    </row>
    <row r="855" spans="1:4" x14ac:dyDescent="0.25">
      <c r="A855" t="s">
        <v>76</v>
      </c>
      <c r="B855" t="s">
        <v>330</v>
      </c>
      <c r="C855">
        <v>19</v>
      </c>
      <c r="D855" t="s">
        <v>331</v>
      </c>
    </row>
    <row r="856" spans="1:4" x14ac:dyDescent="0.25">
      <c r="A856" t="s">
        <v>82</v>
      </c>
      <c r="B856" t="s">
        <v>330</v>
      </c>
      <c r="C856">
        <v>47</v>
      </c>
      <c r="D856" t="s">
        <v>331</v>
      </c>
    </row>
    <row r="857" spans="1:4" x14ac:dyDescent="0.25">
      <c r="A857" t="s">
        <v>83</v>
      </c>
      <c r="B857" t="s">
        <v>330</v>
      </c>
      <c r="C857">
        <v>25</v>
      </c>
      <c r="D857" t="s">
        <v>331</v>
      </c>
    </row>
    <row r="858" spans="1:4" x14ac:dyDescent="0.25">
      <c r="A858" t="s">
        <v>84</v>
      </c>
      <c r="B858" t="s">
        <v>330</v>
      </c>
      <c r="C858">
        <v>15</v>
      </c>
      <c r="D858" t="s">
        <v>331</v>
      </c>
    </row>
    <row r="859" spans="1:4" x14ac:dyDescent="0.25">
      <c r="A859" t="s">
        <v>85</v>
      </c>
      <c r="B859" t="s">
        <v>330</v>
      </c>
      <c r="C859">
        <v>80</v>
      </c>
      <c r="D859" t="s">
        <v>331</v>
      </c>
    </row>
    <row r="860" spans="1:4" x14ac:dyDescent="0.25">
      <c r="A860" t="s">
        <v>89</v>
      </c>
      <c r="B860" t="s">
        <v>330</v>
      </c>
      <c r="C860">
        <v>58</v>
      </c>
      <c r="D860" t="s">
        <v>331</v>
      </c>
    </row>
    <row r="861" spans="1:4" x14ac:dyDescent="0.25">
      <c r="A861" t="s">
        <v>90</v>
      </c>
      <c r="B861" t="s">
        <v>330</v>
      </c>
      <c r="C861">
        <v>16</v>
      </c>
      <c r="D861" t="s">
        <v>331</v>
      </c>
    </row>
    <row r="862" spans="1:4" x14ac:dyDescent="0.25">
      <c r="A862" t="s">
        <v>8</v>
      </c>
      <c r="B862" t="s">
        <v>332</v>
      </c>
      <c r="C862">
        <v>153</v>
      </c>
      <c r="D862" t="s">
        <v>333</v>
      </c>
    </row>
    <row r="863" spans="1:4" x14ac:dyDescent="0.25">
      <c r="A863" t="s">
        <v>27</v>
      </c>
      <c r="B863" t="s">
        <v>332</v>
      </c>
      <c r="C863">
        <v>134</v>
      </c>
      <c r="D863" t="s">
        <v>333</v>
      </c>
    </row>
    <row r="864" spans="1:4" x14ac:dyDescent="0.25">
      <c r="A864" t="s">
        <v>35</v>
      </c>
      <c r="B864" t="s">
        <v>334</v>
      </c>
      <c r="C864">
        <v>96</v>
      </c>
      <c r="D864" t="s">
        <v>333</v>
      </c>
    </row>
    <row r="865" spans="1:4" x14ac:dyDescent="0.25">
      <c r="A865" t="s">
        <v>41</v>
      </c>
      <c r="B865" t="s">
        <v>334</v>
      </c>
      <c r="C865">
        <v>4</v>
      </c>
      <c r="D865" t="s">
        <v>333</v>
      </c>
    </row>
    <row r="866" spans="1:4" x14ac:dyDescent="0.25">
      <c r="A866" t="s">
        <v>12</v>
      </c>
      <c r="B866" t="s">
        <v>335</v>
      </c>
      <c r="C866">
        <v>53</v>
      </c>
      <c r="D866" t="s">
        <v>336</v>
      </c>
    </row>
    <row r="867" spans="1:4" x14ac:dyDescent="0.25">
      <c r="A867" t="s">
        <v>35</v>
      </c>
      <c r="B867" t="s">
        <v>335</v>
      </c>
      <c r="C867">
        <v>35</v>
      </c>
      <c r="D867" t="s">
        <v>336</v>
      </c>
    </row>
    <row r="868" spans="1:4" x14ac:dyDescent="0.25">
      <c r="A868" t="s">
        <v>54</v>
      </c>
      <c r="B868" t="s">
        <v>335</v>
      </c>
      <c r="C868">
        <v>97</v>
      </c>
      <c r="D868" t="s">
        <v>336</v>
      </c>
    </row>
    <row r="869" spans="1:4" x14ac:dyDescent="0.25">
      <c r="A869" t="s">
        <v>61</v>
      </c>
      <c r="B869" t="s">
        <v>335</v>
      </c>
      <c r="C869">
        <v>85</v>
      </c>
      <c r="D869" t="s">
        <v>336</v>
      </c>
    </row>
    <row r="870" spans="1:4" x14ac:dyDescent="0.25">
      <c r="A870" t="s">
        <v>68</v>
      </c>
      <c r="B870" t="s">
        <v>335</v>
      </c>
      <c r="C870">
        <v>67</v>
      </c>
      <c r="D870" t="s">
        <v>336</v>
      </c>
    </row>
    <row r="871" spans="1:4" x14ac:dyDescent="0.25">
      <c r="A871" t="s">
        <v>78</v>
      </c>
      <c r="B871" t="s">
        <v>335</v>
      </c>
      <c r="C871">
        <v>128</v>
      </c>
      <c r="D871" t="s">
        <v>336</v>
      </c>
    </row>
    <row r="872" spans="1:4" x14ac:dyDescent="0.25">
      <c r="A872" t="s">
        <v>14</v>
      </c>
      <c r="B872" t="s">
        <v>337</v>
      </c>
      <c r="C872">
        <v>7</v>
      </c>
      <c r="D872" t="s">
        <v>338</v>
      </c>
    </row>
    <row r="873" spans="1:4" x14ac:dyDescent="0.25">
      <c r="A873" t="s">
        <v>23</v>
      </c>
      <c r="B873" t="s">
        <v>339</v>
      </c>
      <c r="C873">
        <v>10</v>
      </c>
      <c r="D873" t="s">
        <v>338</v>
      </c>
    </row>
    <row r="874" spans="1:4" x14ac:dyDescent="0.25">
      <c r="A874" t="s">
        <v>24</v>
      </c>
      <c r="B874" t="s">
        <v>339</v>
      </c>
      <c r="C874">
        <v>3</v>
      </c>
      <c r="D874" t="s">
        <v>338</v>
      </c>
    </row>
    <row r="875" spans="1:4" x14ac:dyDescent="0.25">
      <c r="A875" t="s">
        <v>34</v>
      </c>
      <c r="B875" t="s">
        <v>337</v>
      </c>
      <c r="C875">
        <v>31</v>
      </c>
      <c r="D875" t="s">
        <v>338</v>
      </c>
    </row>
    <row r="876" spans="1:4" x14ac:dyDescent="0.25">
      <c r="A876" t="s">
        <v>40</v>
      </c>
      <c r="B876" t="s">
        <v>337</v>
      </c>
      <c r="C876">
        <v>96</v>
      </c>
      <c r="D876" t="s">
        <v>338</v>
      </c>
    </row>
    <row r="877" spans="1:4" x14ac:dyDescent="0.25">
      <c r="A877" t="s">
        <v>42</v>
      </c>
      <c r="B877" t="s">
        <v>337</v>
      </c>
      <c r="C877">
        <v>46</v>
      </c>
      <c r="D877" t="s">
        <v>338</v>
      </c>
    </row>
    <row r="878" spans="1:4" x14ac:dyDescent="0.25">
      <c r="A878" t="s">
        <v>48</v>
      </c>
      <c r="B878" t="s">
        <v>339</v>
      </c>
      <c r="C878">
        <v>7</v>
      </c>
      <c r="D878" t="s">
        <v>338</v>
      </c>
    </row>
    <row r="879" spans="1:4" x14ac:dyDescent="0.25">
      <c r="A879" t="s">
        <v>53</v>
      </c>
      <c r="B879" t="s">
        <v>339</v>
      </c>
      <c r="C879">
        <v>13</v>
      </c>
      <c r="D879" t="s">
        <v>338</v>
      </c>
    </row>
    <row r="880" spans="1:4" x14ac:dyDescent="0.25">
      <c r="A880" t="s">
        <v>55</v>
      </c>
      <c r="B880" t="s">
        <v>337</v>
      </c>
      <c r="C880">
        <v>32</v>
      </c>
      <c r="D880" t="s">
        <v>338</v>
      </c>
    </row>
    <row r="881" spans="1:4" x14ac:dyDescent="0.25">
      <c r="A881" t="s">
        <v>58</v>
      </c>
      <c r="B881" t="s">
        <v>339</v>
      </c>
      <c r="C881">
        <v>70</v>
      </c>
      <c r="D881" t="s">
        <v>338</v>
      </c>
    </row>
    <row r="882" spans="1:4" x14ac:dyDescent="0.25">
      <c r="A882" t="s">
        <v>76</v>
      </c>
      <c r="B882" t="s">
        <v>337</v>
      </c>
      <c r="C882">
        <v>15</v>
      </c>
      <c r="D882" t="s">
        <v>338</v>
      </c>
    </row>
    <row r="883" spans="1:4" x14ac:dyDescent="0.25">
      <c r="A883" t="s">
        <v>79</v>
      </c>
      <c r="B883" t="s">
        <v>337</v>
      </c>
      <c r="C883">
        <v>3</v>
      </c>
      <c r="D883" t="s">
        <v>338</v>
      </c>
    </row>
    <row r="884" spans="1:4" x14ac:dyDescent="0.25">
      <c r="A884" t="s">
        <v>82</v>
      </c>
      <c r="B884" t="s">
        <v>337</v>
      </c>
      <c r="C884">
        <v>7</v>
      </c>
      <c r="D884" t="s">
        <v>338</v>
      </c>
    </row>
    <row r="885" spans="1:4" x14ac:dyDescent="0.25">
      <c r="A885" t="s">
        <v>83</v>
      </c>
      <c r="B885" t="s">
        <v>337</v>
      </c>
      <c r="C885">
        <v>6</v>
      </c>
      <c r="D885" t="s">
        <v>338</v>
      </c>
    </row>
    <row r="886" spans="1:4" x14ac:dyDescent="0.25">
      <c r="A886" t="s">
        <v>84</v>
      </c>
      <c r="B886" t="s">
        <v>337</v>
      </c>
      <c r="C886">
        <v>7</v>
      </c>
      <c r="D886" t="s">
        <v>338</v>
      </c>
    </row>
    <row r="887" spans="1:4" x14ac:dyDescent="0.25">
      <c r="A887" t="s">
        <v>85</v>
      </c>
      <c r="B887" t="s">
        <v>337</v>
      </c>
      <c r="C887">
        <v>6</v>
      </c>
      <c r="D887" t="s">
        <v>338</v>
      </c>
    </row>
    <row r="888" spans="1:4" x14ac:dyDescent="0.25">
      <c r="A888" t="s">
        <v>90</v>
      </c>
      <c r="B888" t="s">
        <v>337</v>
      </c>
      <c r="C888">
        <v>25</v>
      </c>
      <c r="D888" t="s">
        <v>338</v>
      </c>
    </row>
    <row r="889" spans="1:4" x14ac:dyDescent="0.25">
      <c r="A889" t="s">
        <v>7</v>
      </c>
      <c r="B889" t="s">
        <v>340</v>
      </c>
      <c r="C889">
        <v>728</v>
      </c>
      <c r="D889" t="s">
        <v>341</v>
      </c>
    </row>
    <row r="890" spans="1:4" x14ac:dyDescent="0.25">
      <c r="A890" t="s">
        <v>9</v>
      </c>
      <c r="B890" t="s">
        <v>340</v>
      </c>
      <c r="C890">
        <v>17</v>
      </c>
      <c r="D890" t="s">
        <v>341</v>
      </c>
    </row>
    <row r="891" spans="1:4" x14ac:dyDescent="0.25">
      <c r="A891" t="s">
        <v>14</v>
      </c>
      <c r="B891" t="s">
        <v>340</v>
      </c>
      <c r="C891">
        <v>71</v>
      </c>
      <c r="D891" t="s">
        <v>341</v>
      </c>
    </row>
    <row r="892" spans="1:4" x14ac:dyDescent="0.25">
      <c r="A892" t="s">
        <v>15</v>
      </c>
      <c r="B892" t="s">
        <v>340</v>
      </c>
      <c r="C892">
        <v>2280</v>
      </c>
      <c r="D892" t="s">
        <v>341</v>
      </c>
    </row>
    <row r="893" spans="1:4" x14ac:dyDescent="0.25">
      <c r="A893" t="s">
        <v>16</v>
      </c>
      <c r="B893" t="s">
        <v>340</v>
      </c>
      <c r="C893">
        <v>912</v>
      </c>
      <c r="D893" t="s">
        <v>341</v>
      </c>
    </row>
    <row r="894" spans="1:4" x14ac:dyDescent="0.25">
      <c r="A894" t="s">
        <v>17</v>
      </c>
      <c r="B894" t="s">
        <v>340</v>
      </c>
      <c r="C894">
        <v>26</v>
      </c>
      <c r="D894" t="s">
        <v>341</v>
      </c>
    </row>
    <row r="895" spans="1:4" x14ac:dyDescent="0.25">
      <c r="A895" t="s">
        <v>18</v>
      </c>
      <c r="B895" t="s">
        <v>340</v>
      </c>
      <c r="C895">
        <v>119</v>
      </c>
      <c r="D895" t="s">
        <v>341</v>
      </c>
    </row>
    <row r="896" spans="1:4" x14ac:dyDescent="0.25">
      <c r="A896" t="s">
        <v>19</v>
      </c>
      <c r="B896" t="s">
        <v>340</v>
      </c>
      <c r="C896">
        <v>3165</v>
      </c>
      <c r="D896" t="s">
        <v>341</v>
      </c>
    </row>
    <row r="897" spans="1:4" x14ac:dyDescent="0.25">
      <c r="A897" t="s">
        <v>21</v>
      </c>
      <c r="B897" t="s">
        <v>340</v>
      </c>
      <c r="C897">
        <v>9558</v>
      </c>
      <c r="D897" t="s">
        <v>341</v>
      </c>
    </row>
    <row r="898" spans="1:4" x14ac:dyDescent="0.25">
      <c r="A898" t="s">
        <v>22</v>
      </c>
      <c r="B898" t="s">
        <v>340</v>
      </c>
      <c r="C898">
        <v>17790</v>
      </c>
      <c r="D898" t="s">
        <v>341</v>
      </c>
    </row>
    <row r="899" spans="1:4" x14ac:dyDescent="0.25">
      <c r="A899" t="s">
        <v>23</v>
      </c>
      <c r="B899" t="s">
        <v>340</v>
      </c>
      <c r="C899">
        <v>364</v>
      </c>
      <c r="D899" t="s">
        <v>341</v>
      </c>
    </row>
    <row r="900" spans="1:4" x14ac:dyDescent="0.25">
      <c r="A900" t="s">
        <v>24</v>
      </c>
      <c r="B900" t="s">
        <v>340</v>
      </c>
      <c r="C900">
        <v>177</v>
      </c>
      <c r="D900" t="s">
        <v>341</v>
      </c>
    </row>
    <row r="901" spans="1:4" x14ac:dyDescent="0.25">
      <c r="A901" t="s">
        <v>25</v>
      </c>
      <c r="B901" t="s">
        <v>340</v>
      </c>
      <c r="C901">
        <v>331</v>
      </c>
      <c r="D901" t="s">
        <v>341</v>
      </c>
    </row>
    <row r="902" spans="1:4" x14ac:dyDescent="0.25">
      <c r="A902" t="s">
        <v>26</v>
      </c>
      <c r="B902" t="s">
        <v>340</v>
      </c>
      <c r="C902">
        <v>22</v>
      </c>
      <c r="D902" t="s">
        <v>341</v>
      </c>
    </row>
    <row r="903" spans="1:4" x14ac:dyDescent="0.25">
      <c r="A903" t="s">
        <v>28</v>
      </c>
      <c r="B903" t="s">
        <v>340</v>
      </c>
      <c r="C903">
        <v>669</v>
      </c>
      <c r="D903" t="s">
        <v>341</v>
      </c>
    </row>
    <row r="904" spans="1:4" x14ac:dyDescent="0.25">
      <c r="A904" t="s">
        <v>29</v>
      </c>
      <c r="B904" t="s">
        <v>340</v>
      </c>
      <c r="C904">
        <v>11670</v>
      </c>
      <c r="D904" t="s">
        <v>341</v>
      </c>
    </row>
    <row r="905" spans="1:4" x14ac:dyDescent="0.25">
      <c r="A905" t="s">
        <v>30</v>
      </c>
      <c r="B905" t="s">
        <v>340</v>
      </c>
      <c r="C905">
        <v>8281</v>
      </c>
      <c r="D905" t="s">
        <v>341</v>
      </c>
    </row>
    <row r="906" spans="1:4" x14ac:dyDescent="0.25">
      <c r="A906" t="s">
        <v>32</v>
      </c>
      <c r="B906" t="s">
        <v>340</v>
      </c>
      <c r="C906">
        <v>10</v>
      </c>
      <c r="D906" t="s">
        <v>341</v>
      </c>
    </row>
    <row r="907" spans="1:4" x14ac:dyDescent="0.25">
      <c r="A907" t="s">
        <v>33</v>
      </c>
      <c r="B907" t="s">
        <v>340</v>
      </c>
      <c r="C907">
        <v>13096</v>
      </c>
      <c r="D907" t="s">
        <v>341</v>
      </c>
    </row>
    <row r="908" spans="1:4" x14ac:dyDescent="0.25">
      <c r="A908" t="s">
        <v>34</v>
      </c>
      <c r="B908" t="s">
        <v>340</v>
      </c>
      <c r="C908">
        <v>11</v>
      </c>
      <c r="D908" t="s">
        <v>341</v>
      </c>
    </row>
    <row r="909" spans="1:4" x14ac:dyDescent="0.25">
      <c r="A909" t="s">
        <v>35</v>
      </c>
      <c r="B909" t="s">
        <v>340</v>
      </c>
      <c r="C909">
        <v>23</v>
      </c>
      <c r="D909" t="s">
        <v>341</v>
      </c>
    </row>
    <row r="910" spans="1:4" x14ac:dyDescent="0.25">
      <c r="A910" t="s">
        <v>37</v>
      </c>
      <c r="B910" t="s">
        <v>340</v>
      </c>
      <c r="C910">
        <v>130</v>
      </c>
      <c r="D910" t="s">
        <v>341</v>
      </c>
    </row>
    <row r="911" spans="1:4" x14ac:dyDescent="0.25">
      <c r="A911" t="s">
        <v>38</v>
      </c>
      <c r="B911" t="s">
        <v>340</v>
      </c>
      <c r="C911">
        <v>5157</v>
      </c>
      <c r="D911" t="s">
        <v>341</v>
      </c>
    </row>
    <row r="912" spans="1:4" x14ac:dyDescent="0.25">
      <c r="A912" t="s">
        <v>39</v>
      </c>
      <c r="B912" t="s">
        <v>340</v>
      </c>
      <c r="C912">
        <v>267</v>
      </c>
      <c r="D912" t="s">
        <v>341</v>
      </c>
    </row>
    <row r="913" spans="1:4" x14ac:dyDescent="0.25">
      <c r="A913" t="s">
        <v>40</v>
      </c>
      <c r="B913" t="s">
        <v>340</v>
      </c>
      <c r="C913">
        <v>85</v>
      </c>
      <c r="D913" t="s">
        <v>341</v>
      </c>
    </row>
    <row r="914" spans="1:4" x14ac:dyDescent="0.25">
      <c r="A914" t="s">
        <v>42</v>
      </c>
      <c r="B914" t="s">
        <v>340</v>
      </c>
      <c r="C914">
        <v>23</v>
      </c>
      <c r="D914" t="s">
        <v>341</v>
      </c>
    </row>
    <row r="915" spans="1:4" x14ac:dyDescent="0.25">
      <c r="A915" t="s">
        <v>43</v>
      </c>
      <c r="B915" t="s">
        <v>340</v>
      </c>
      <c r="C915">
        <v>6358</v>
      </c>
      <c r="D915" t="s">
        <v>341</v>
      </c>
    </row>
    <row r="916" spans="1:4" x14ac:dyDescent="0.25">
      <c r="A916" t="s">
        <v>45</v>
      </c>
      <c r="B916" t="s">
        <v>340</v>
      </c>
      <c r="C916">
        <v>7562</v>
      </c>
      <c r="D916" t="s">
        <v>341</v>
      </c>
    </row>
    <row r="917" spans="1:4" x14ac:dyDescent="0.25">
      <c r="A917" t="s">
        <v>46</v>
      </c>
      <c r="B917" t="s">
        <v>340</v>
      </c>
      <c r="C917">
        <v>176</v>
      </c>
      <c r="D917" t="s">
        <v>341</v>
      </c>
    </row>
    <row r="918" spans="1:4" x14ac:dyDescent="0.25">
      <c r="A918" t="s">
        <v>47</v>
      </c>
      <c r="B918" t="s">
        <v>340</v>
      </c>
      <c r="C918">
        <v>2987</v>
      </c>
      <c r="D918" t="s">
        <v>341</v>
      </c>
    </row>
    <row r="919" spans="1:4" x14ac:dyDescent="0.25">
      <c r="A919" t="s">
        <v>48</v>
      </c>
      <c r="B919" t="s">
        <v>340</v>
      </c>
      <c r="C919">
        <v>2703</v>
      </c>
      <c r="D919" t="s">
        <v>341</v>
      </c>
    </row>
    <row r="920" spans="1:4" x14ac:dyDescent="0.25">
      <c r="A920" t="s">
        <v>50</v>
      </c>
      <c r="B920" t="s">
        <v>340</v>
      </c>
      <c r="C920">
        <v>31</v>
      </c>
      <c r="D920" t="s">
        <v>341</v>
      </c>
    </row>
    <row r="921" spans="1:4" x14ac:dyDescent="0.25">
      <c r="A921" t="s">
        <v>52</v>
      </c>
      <c r="B921" t="s">
        <v>340</v>
      </c>
      <c r="C921">
        <v>11120</v>
      </c>
      <c r="D921" t="s">
        <v>341</v>
      </c>
    </row>
    <row r="922" spans="1:4" x14ac:dyDescent="0.25">
      <c r="A922" t="s">
        <v>53</v>
      </c>
      <c r="B922" t="s">
        <v>340</v>
      </c>
      <c r="C922">
        <v>30</v>
      </c>
      <c r="D922" t="s">
        <v>341</v>
      </c>
    </row>
    <row r="923" spans="1:4" x14ac:dyDescent="0.25">
      <c r="A923" t="s">
        <v>54</v>
      </c>
      <c r="B923" t="s">
        <v>340</v>
      </c>
      <c r="C923">
        <v>553</v>
      </c>
      <c r="D923" t="s">
        <v>341</v>
      </c>
    </row>
    <row r="924" spans="1:4" x14ac:dyDescent="0.25">
      <c r="A924" t="s">
        <v>56</v>
      </c>
      <c r="B924" t="s">
        <v>340</v>
      </c>
      <c r="C924">
        <v>4231</v>
      </c>
      <c r="D924" t="s">
        <v>341</v>
      </c>
    </row>
    <row r="925" spans="1:4" x14ac:dyDescent="0.25">
      <c r="A925" t="s">
        <v>57</v>
      </c>
      <c r="B925" t="s">
        <v>340</v>
      </c>
      <c r="C925">
        <v>2</v>
      </c>
      <c r="D925" t="s">
        <v>341</v>
      </c>
    </row>
    <row r="926" spans="1:4" x14ac:dyDescent="0.25">
      <c r="A926" t="s">
        <v>59</v>
      </c>
      <c r="B926" t="s">
        <v>340</v>
      </c>
      <c r="C926">
        <v>7</v>
      </c>
      <c r="D926" t="s">
        <v>341</v>
      </c>
    </row>
    <row r="927" spans="1:4" x14ac:dyDescent="0.25">
      <c r="A927" t="s">
        <v>60</v>
      </c>
      <c r="B927" t="s">
        <v>340</v>
      </c>
      <c r="C927">
        <v>27</v>
      </c>
      <c r="D927" t="s">
        <v>341</v>
      </c>
    </row>
    <row r="928" spans="1:4" x14ac:dyDescent="0.25">
      <c r="A928" t="s">
        <v>62</v>
      </c>
      <c r="B928" t="s">
        <v>340</v>
      </c>
      <c r="C928">
        <v>147</v>
      </c>
      <c r="D928" t="s">
        <v>341</v>
      </c>
    </row>
    <row r="929" spans="1:4" x14ac:dyDescent="0.25">
      <c r="A929" t="s">
        <v>63</v>
      </c>
      <c r="B929" t="s">
        <v>340</v>
      </c>
      <c r="C929">
        <v>716</v>
      </c>
      <c r="D929" t="s">
        <v>341</v>
      </c>
    </row>
    <row r="930" spans="1:4" x14ac:dyDescent="0.25">
      <c r="A930" t="s">
        <v>65</v>
      </c>
      <c r="B930" t="s">
        <v>340</v>
      </c>
      <c r="C930">
        <v>16</v>
      </c>
      <c r="D930" t="s">
        <v>341</v>
      </c>
    </row>
    <row r="931" spans="1:4" x14ac:dyDescent="0.25">
      <c r="A931" t="s">
        <v>66</v>
      </c>
      <c r="B931" t="s">
        <v>340</v>
      </c>
      <c r="C931">
        <v>12</v>
      </c>
      <c r="D931" t="s">
        <v>341</v>
      </c>
    </row>
    <row r="932" spans="1:4" x14ac:dyDescent="0.25">
      <c r="A932" t="s">
        <v>67</v>
      </c>
      <c r="B932" t="s">
        <v>340</v>
      </c>
      <c r="C932">
        <v>181</v>
      </c>
      <c r="D932" t="s">
        <v>341</v>
      </c>
    </row>
    <row r="933" spans="1:4" x14ac:dyDescent="0.25">
      <c r="A933" t="s">
        <v>68</v>
      </c>
      <c r="B933" t="s">
        <v>340</v>
      </c>
      <c r="C933">
        <v>25</v>
      </c>
      <c r="D933" t="s">
        <v>341</v>
      </c>
    </row>
    <row r="934" spans="1:4" x14ac:dyDescent="0.25">
      <c r="A934" t="s">
        <v>70</v>
      </c>
      <c r="B934" t="s">
        <v>340</v>
      </c>
      <c r="C934">
        <v>412</v>
      </c>
      <c r="D934" t="s">
        <v>341</v>
      </c>
    </row>
    <row r="935" spans="1:4" x14ac:dyDescent="0.25">
      <c r="A935" t="s">
        <v>74</v>
      </c>
      <c r="B935" t="s">
        <v>340</v>
      </c>
      <c r="C935">
        <v>6053</v>
      </c>
      <c r="D935" t="s">
        <v>341</v>
      </c>
    </row>
    <row r="936" spans="1:4" x14ac:dyDescent="0.25">
      <c r="A936" t="s">
        <v>75</v>
      </c>
      <c r="B936" t="s">
        <v>340</v>
      </c>
      <c r="C936">
        <v>143</v>
      </c>
      <c r="D936" t="s">
        <v>341</v>
      </c>
    </row>
    <row r="937" spans="1:4" x14ac:dyDescent="0.25">
      <c r="A937" t="s">
        <v>76</v>
      </c>
      <c r="B937" t="s">
        <v>340</v>
      </c>
      <c r="C937">
        <v>65</v>
      </c>
      <c r="D937" t="s">
        <v>341</v>
      </c>
    </row>
    <row r="938" spans="1:4" x14ac:dyDescent="0.25">
      <c r="A938" t="s">
        <v>77</v>
      </c>
      <c r="B938" t="s">
        <v>340</v>
      </c>
      <c r="C938">
        <v>1458</v>
      </c>
      <c r="D938" t="s">
        <v>341</v>
      </c>
    </row>
    <row r="939" spans="1:4" x14ac:dyDescent="0.25">
      <c r="A939" t="s">
        <v>79</v>
      </c>
      <c r="B939" t="s">
        <v>340</v>
      </c>
      <c r="C939">
        <v>12</v>
      </c>
      <c r="D939" t="s">
        <v>341</v>
      </c>
    </row>
    <row r="940" spans="1:4" x14ac:dyDescent="0.25">
      <c r="A940" t="s">
        <v>80</v>
      </c>
      <c r="B940" t="s">
        <v>340</v>
      </c>
      <c r="C940">
        <v>10</v>
      </c>
      <c r="D940" t="s">
        <v>341</v>
      </c>
    </row>
    <row r="941" spans="1:4" x14ac:dyDescent="0.25">
      <c r="A941" t="s">
        <v>82</v>
      </c>
      <c r="B941" t="s">
        <v>340</v>
      </c>
      <c r="C941">
        <v>1198</v>
      </c>
      <c r="D941" t="s">
        <v>341</v>
      </c>
    </row>
    <row r="942" spans="1:4" x14ac:dyDescent="0.25">
      <c r="A942" t="s">
        <v>83</v>
      </c>
      <c r="B942" t="s">
        <v>340</v>
      </c>
      <c r="C942">
        <v>531</v>
      </c>
      <c r="D942" t="s">
        <v>341</v>
      </c>
    </row>
    <row r="943" spans="1:4" x14ac:dyDescent="0.25">
      <c r="A943" t="s">
        <v>84</v>
      </c>
      <c r="B943" t="s">
        <v>340</v>
      </c>
      <c r="C943">
        <v>131</v>
      </c>
      <c r="D943" t="s">
        <v>341</v>
      </c>
    </row>
    <row r="944" spans="1:4" x14ac:dyDescent="0.25">
      <c r="A944" t="s">
        <v>85</v>
      </c>
      <c r="B944" t="s">
        <v>340</v>
      </c>
      <c r="C944">
        <v>3718</v>
      </c>
      <c r="D944" t="s">
        <v>341</v>
      </c>
    </row>
    <row r="945" spans="1:4" x14ac:dyDescent="0.25">
      <c r="A945" t="s">
        <v>89</v>
      </c>
      <c r="B945" t="s">
        <v>340</v>
      </c>
      <c r="C945">
        <v>42</v>
      </c>
      <c r="D945" t="s">
        <v>341</v>
      </c>
    </row>
    <row r="946" spans="1:4" x14ac:dyDescent="0.25">
      <c r="A946" t="s">
        <v>90</v>
      </c>
      <c r="B946" t="s">
        <v>340</v>
      </c>
      <c r="C946">
        <v>41</v>
      </c>
      <c r="D946" t="s">
        <v>341</v>
      </c>
    </row>
    <row r="947" spans="1:4" x14ac:dyDescent="0.25">
      <c r="A947" t="s">
        <v>91</v>
      </c>
      <c r="B947" t="s">
        <v>340</v>
      </c>
      <c r="C947">
        <v>12</v>
      </c>
      <c r="D947" t="s">
        <v>341</v>
      </c>
    </row>
    <row r="948" spans="1:4" x14ac:dyDescent="0.25">
      <c r="A948" t="s">
        <v>92</v>
      </c>
      <c r="B948" t="s">
        <v>340</v>
      </c>
      <c r="C948">
        <v>110</v>
      </c>
      <c r="D948" t="s">
        <v>341</v>
      </c>
    </row>
    <row r="949" spans="1:4" x14ac:dyDescent="0.25">
      <c r="A949" t="s">
        <v>11</v>
      </c>
      <c r="B949" t="s">
        <v>342</v>
      </c>
      <c r="C949">
        <v>52</v>
      </c>
      <c r="D949" t="s">
        <v>343</v>
      </c>
    </row>
    <row r="950" spans="1:4" x14ac:dyDescent="0.25">
      <c r="A950" t="s">
        <v>43</v>
      </c>
      <c r="B950" t="s">
        <v>342</v>
      </c>
      <c r="C950">
        <v>1446</v>
      </c>
      <c r="D950" t="s">
        <v>343</v>
      </c>
    </row>
    <row r="951" spans="1:4" x14ac:dyDescent="0.25">
      <c r="A951" t="s">
        <v>48</v>
      </c>
      <c r="B951" t="s">
        <v>342</v>
      </c>
      <c r="C951">
        <v>1103</v>
      </c>
      <c r="D951" t="s">
        <v>343</v>
      </c>
    </row>
    <row r="952" spans="1:4" x14ac:dyDescent="0.25">
      <c r="A952" t="s">
        <v>52</v>
      </c>
      <c r="B952" t="s">
        <v>342</v>
      </c>
      <c r="C952">
        <v>247</v>
      </c>
      <c r="D952" t="s">
        <v>343</v>
      </c>
    </row>
    <row r="953" spans="1:4" x14ac:dyDescent="0.25">
      <c r="A953" t="s">
        <v>74</v>
      </c>
      <c r="B953" t="s">
        <v>344</v>
      </c>
      <c r="C953">
        <v>448</v>
      </c>
      <c r="D953" t="s">
        <v>343</v>
      </c>
    </row>
    <row r="954" spans="1:4" x14ac:dyDescent="0.25">
      <c r="A954" t="s">
        <v>74</v>
      </c>
      <c r="B954" t="s">
        <v>342</v>
      </c>
      <c r="C954">
        <v>176</v>
      </c>
      <c r="D954" t="s">
        <v>343</v>
      </c>
    </row>
    <row r="955" spans="1:4" x14ac:dyDescent="0.25">
      <c r="A955" t="s">
        <v>77</v>
      </c>
      <c r="B955" t="s">
        <v>344</v>
      </c>
      <c r="C955">
        <v>158</v>
      </c>
      <c r="D955" t="s">
        <v>343</v>
      </c>
    </row>
    <row r="956" spans="1:4" x14ac:dyDescent="0.25">
      <c r="A956" t="s">
        <v>82</v>
      </c>
      <c r="B956" t="s">
        <v>342</v>
      </c>
      <c r="C956">
        <v>88</v>
      </c>
      <c r="D956" t="s">
        <v>343</v>
      </c>
    </row>
    <row r="957" spans="1:4" x14ac:dyDescent="0.25">
      <c r="A957" t="s">
        <v>16</v>
      </c>
      <c r="B957" t="s">
        <v>345</v>
      </c>
      <c r="C957">
        <v>23</v>
      </c>
      <c r="D957" t="s">
        <v>346</v>
      </c>
    </row>
    <row r="958" spans="1:4" x14ac:dyDescent="0.25">
      <c r="A958" t="s">
        <v>24</v>
      </c>
      <c r="B958" t="s">
        <v>347</v>
      </c>
      <c r="C958">
        <v>2</v>
      </c>
      <c r="D958" t="s">
        <v>346</v>
      </c>
    </row>
    <row r="959" spans="1:4" x14ac:dyDescent="0.25">
      <c r="A959" t="s">
        <v>34</v>
      </c>
      <c r="B959" t="s">
        <v>348</v>
      </c>
      <c r="C959">
        <v>15</v>
      </c>
      <c r="D959" t="s">
        <v>346</v>
      </c>
    </row>
    <row r="960" spans="1:4" x14ac:dyDescent="0.25">
      <c r="A960" t="s">
        <v>39</v>
      </c>
      <c r="B960" t="s">
        <v>349</v>
      </c>
      <c r="C960">
        <v>14</v>
      </c>
      <c r="D960" t="s">
        <v>346</v>
      </c>
    </row>
    <row r="961" spans="1:4" x14ac:dyDescent="0.25">
      <c r="A961" t="s">
        <v>40</v>
      </c>
      <c r="B961" t="s">
        <v>348</v>
      </c>
      <c r="C961">
        <v>36</v>
      </c>
      <c r="D961" t="s">
        <v>346</v>
      </c>
    </row>
    <row r="962" spans="1:4" x14ac:dyDescent="0.25">
      <c r="A962" t="s">
        <v>49</v>
      </c>
      <c r="B962" t="s">
        <v>347</v>
      </c>
      <c r="C962">
        <v>22</v>
      </c>
      <c r="D962" t="s">
        <v>346</v>
      </c>
    </row>
    <row r="963" spans="1:4" x14ac:dyDescent="0.25">
      <c r="A963" t="s">
        <v>65</v>
      </c>
      <c r="B963" t="s">
        <v>350</v>
      </c>
      <c r="C963">
        <v>16</v>
      </c>
      <c r="D963" t="s">
        <v>346</v>
      </c>
    </row>
    <row r="964" spans="1:4" x14ac:dyDescent="0.25">
      <c r="A964" t="s">
        <v>65</v>
      </c>
      <c r="B964" t="s">
        <v>349</v>
      </c>
      <c r="C964">
        <v>10</v>
      </c>
      <c r="D964" t="s">
        <v>346</v>
      </c>
    </row>
    <row r="965" spans="1:4" x14ac:dyDescent="0.25">
      <c r="A965" t="s">
        <v>70</v>
      </c>
      <c r="B965" t="s">
        <v>345</v>
      </c>
      <c r="C965">
        <v>8</v>
      </c>
      <c r="D965" t="s">
        <v>346</v>
      </c>
    </row>
    <row r="966" spans="1:4" x14ac:dyDescent="0.25">
      <c r="A966" t="s">
        <v>75</v>
      </c>
      <c r="B966" t="s">
        <v>349</v>
      </c>
      <c r="C966">
        <v>4</v>
      </c>
      <c r="D966" t="s">
        <v>346</v>
      </c>
    </row>
    <row r="967" spans="1:4" x14ac:dyDescent="0.25">
      <c r="A967" t="s">
        <v>76</v>
      </c>
      <c r="B967" t="s">
        <v>350</v>
      </c>
      <c r="C967">
        <v>16</v>
      </c>
      <c r="D967" t="s">
        <v>346</v>
      </c>
    </row>
    <row r="968" spans="1:4" x14ac:dyDescent="0.25">
      <c r="A968" t="s">
        <v>76</v>
      </c>
      <c r="B968" t="s">
        <v>348</v>
      </c>
      <c r="C968">
        <v>11</v>
      </c>
      <c r="D968" t="s">
        <v>346</v>
      </c>
    </row>
    <row r="969" spans="1:4" x14ac:dyDescent="0.25">
      <c r="A969" t="s">
        <v>82</v>
      </c>
      <c r="B969" t="s">
        <v>345</v>
      </c>
      <c r="C969">
        <v>21</v>
      </c>
      <c r="D969" t="s">
        <v>346</v>
      </c>
    </row>
    <row r="970" spans="1:4" x14ac:dyDescent="0.25">
      <c r="A970" t="s">
        <v>83</v>
      </c>
      <c r="B970" t="s">
        <v>345</v>
      </c>
      <c r="C970">
        <v>3</v>
      </c>
      <c r="D970" t="s">
        <v>346</v>
      </c>
    </row>
    <row r="971" spans="1:4" x14ac:dyDescent="0.25">
      <c r="A971" t="s">
        <v>90</v>
      </c>
      <c r="B971" t="s">
        <v>348</v>
      </c>
      <c r="C971">
        <v>16</v>
      </c>
      <c r="D971" t="s">
        <v>346</v>
      </c>
    </row>
    <row r="972" spans="1:4" x14ac:dyDescent="0.25">
      <c r="A972" t="s">
        <v>90</v>
      </c>
      <c r="B972" t="s">
        <v>350</v>
      </c>
      <c r="C972">
        <v>4</v>
      </c>
      <c r="D972" t="s">
        <v>346</v>
      </c>
    </row>
    <row r="973" spans="1:4" x14ac:dyDescent="0.25">
      <c r="A973" t="s">
        <v>93</v>
      </c>
      <c r="B973" t="s">
        <v>347</v>
      </c>
      <c r="C973">
        <v>15</v>
      </c>
      <c r="D973" t="s">
        <v>346</v>
      </c>
    </row>
    <row r="974" spans="1:4" x14ac:dyDescent="0.25">
      <c r="A974" t="s">
        <v>11</v>
      </c>
      <c r="B974" t="s">
        <v>351</v>
      </c>
      <c r="C974">
        <v>15</v>
      </c>
      <c r="D974" t="s">
        <v>352</v>
      </c>
    </row>
    <row r="975" spans="1:4" x14ac:dyDescent="0.25">
      <c r="A975" t="s">
        <v>20</v>
      </c>
      <c r="B975" t="s">
        <v>351</v>
      </c>
      <c r="C975">
        <v>30</v>
      </c>
      <c r="D975" t="s">
        <v>352</v>
      </c>
    </row>
    <row r="976" spans="1:4" x14ac:dyDescent="0.25">
      <c r="A976" t="s">
        <v>39</v>
      </c>
      <c r="B976" t="s">
        <v>351</v>
      </c>
      <c r="C976">
        <v>13</v>
      </c>
      <c r="D976" t="s">
        <v>352</v>
      </c>
    </row>
    <row r="977" spans="1:4" x14ac:dyDescent="0.25">
      <c r="A977" t="s">
        <v>43</v>
      </c>
      <c r="B977" t="s">
        <v>351</v>
      </c>
      <c r="C977">
        <v>4</v>
      </c>
      <c r="D977" t="s">
        <v>352</v>
      </c>
    </row>
    <row r="978" spans="1:4" x14ac:dyDescent="0.25">
      <c r="A978" t="s">
        <v>72</v>
      </c>
      <c r="B978" t="s">
        <v>351</v>
      </c>
      <c r="C978">
        <v>55</v>
      </c>
      <c r="D978" t="s">
        <v>352</v>
      </c>
    </row>
    <row r="979" spans="1:4" x14ac:dyDescent="0.25">
      <c r="A979" t="s">
        <v>74</v>
      </c>
      <c r="B979" t="s">
        <v>351</v>
      </c>
      <c r="C979">
        <v>2</v>
      </c>
      <c r="D979" t="s">
        <v>352</v>
      </c>
    </row>
    <row r="980" spans="1:4" x14ac:dyDescent="0.25">
      <c r="A980" t="s">
        <v>84</v>
      </c>
      <c r="B980" t="s">
        <v>351</v>
      </c>
      <c r="C980">
        <v>13</v>
      </c>
      <c r="D980" t="s">
        <v>352</v>
      </c>
    </row>
    <row r="981" spans="1:4" x14ac:dyDescent="0.25">
      <c r="A981" t="s">
        <v>7</v>
      </c>
      <c r="B981" t="s">
        <v>353</v>
      </c>
      <c r="C981">
        <v>3</v>
      </c>
      <c r="D981" t="s">
        <v>354</v>
      </c>
    </row>
    <row r="982" spans="1:4" x14ac:dyDescent="0.25">
      <c r="A982" t="s">
        <v>9</v>
      </c>
      <c r="B982" t="s">
        <v>353</v>
      </c>
      <c r="C982">
        <v>4</v>
      </c>
      <c r="D982" t="s">
        <v>354</v>
      </c>
    </row>
    <row r="983" spans="1:4" x14ac:dyDescent="0.25">
      <c r="A983" t="s">
        <v>11</v>
      </c>
      <c r="B983" t="s">
        <v>353</v>
      </c>
      <c r="C983">
        <v>79</v>
      </c>
      <c r="D983" t="s">
        <v>354</v>
      </c>
    </row>
    <row r="984" spans="1:4" x14ac:dyDescent="0.25">
      <c r="A984" t="s">
        <v>17</v>
      </c>
      <c r="B984" t="s">
        <v>353</v>
      </c>
      <c r="C984">
        <v>13</v>
      </c>
      <c r="D984" t="s">
        <v>354</v>
      </c>
    </row>
    <row r="985" spans="1:4" x14ac:dyDescent="0.25">
      <c r="A985" t="s">
        <v>20</v>
      </c>
      <c r="B985" t="s">
        <v>353</v>
      </c>
      <c r="C985">
        <v>1828</v>
      </c>
      <c r="D985" t="s">
        <v>354</v>
      </c>
    </row>
    <row r="986" spans="1:4" x14ac:dyDescent="0.25">
      <c r="A986" t="s">
        <v>23</v>
      </c>
      <c r="B986" t="s">
        <v>353</v>
      </c>
      <c r="C986">
        <v>3</v>
      </c>
      <c r="D986" t="s">
        <v>354</v>
      </c>
    </row>
    <row r="987" spans="1:4" x14ac:dyDescent="0.25">
      <c r="A987" t="s">
        <v>28</v>
      </c>
      <c r="B987" t="s">
        <v>353</v>
      </c>
      <c r="C987">
        <v>8</v>
      </c>
      <c r="D987" t="s">
        <v>354</v>
      </c>
    </row>
    <row r="988" spans="1:4" x14ac:dyDescent="0.25">
      <c r="A988" t="s">
        <v>39</v>
      </c>
      <c r="B988" t="s">
        <v>353</v>
      </c>
      <c r="C988">
        <v>68</v>
      </c>
      <c r="D988" t="s">
        <v>354</v>
      </c>
    </row>
    <row r="989" spans="1:4" x14ac:dyDescent="0.25">
      <c r="A989" t="s">
        <v>46</v>
      </c>
      <c r="B989" t="s">
        <v>353</v>
      </c>
      <c r="C989">
        <v>5</v>
      </c>
      <c r="D989" t="s">
        <v>354</v>
      </c>
    </row>
    <row r="990" spans="1:4" x14ac:dyDescent="0.25">
      <c r="A990" t="s">
        <v>51</v>
      </c>
      <c r="B990" t="s">
        <v>353</v>
      </c>
      <c r="C990">
        <v>4</v>
      </c>
      <c r="D990" t="s">
        <v>354</v>
      </c>
    </row>
    <row r="991" spans="1:4" x14ac:dyDescent="0.25">
      <c r="A991" t="s">
        <v>64</v>
      </c>
      <c r="B991" t="s">
        <v>353</v>
      </c>
      <c r="C991">
        <v>129</v>
      </c>
      <c r="D991" t="s">
        <v>354</v>
      </c>
    </row>
    <row r="992" spans="1:4" x14ac:dyDescent="0.25">
      <c r="A992" t="s">
        <v>69</v>
      </c>
      <c r="B992" t="s">
        <v>353</v>
      </c>
      <c r="C992">
        <v>3</v>
      </c>
      <c r="D992" t="s">
        <v>354</v>
      </c>
    </row>
    <row r="993" spans="1:4" x14ac:dyDescent="0.25">
      <c r="A993" t="s">
        <v>79</v>
      </c>
      <c r="B993" t="s">
        <v>353</v>
      </c>
      <c r="C993">
        <v>3</v>
      </c>
      <c r="D993" t="s">
        <v>354</v>
      </c>
    </row>
    <row r="994" spans="1:4" x14ac:dyDescent="0.25">
      <c r="A994" t="s">
        <v>84</v>
      </c>
      <c r="B994" t="s">
        <v>353</v>
      </c>
      <c r="C994">
        <v>215</v>
      </c>
      <c r="D994" t="s">
        <v>354</v>
      </c>
    </row>
    <row r="995" spans="1:4" x14ac:dyDescent="0.25">
      <c r="A995" t="s">
        <v>87</v>
      </c>
      <c r="B995" t="s">
        <v>353</v>
      </c>
      <c r="C995">
        <v>144</v>
      </c>
      <c r="D995" t="s">
        <v>354</v>
      </c>
    </row>
    <row r="996" spans="1:4" x14ac:dyDescent="0.25">
      <c r="A996" t="s">
        <v>93</v>
      </c>
      <c r="B996" t="s">
        <v>353</v>
      </c>
      <c r="C996">
        <v>127</v>
      </c>
      <c r="D996" t="s">
        <v>354</v>
      </c>
    </row>
    <row r="997" spans="1:4" x14ac:dyDescent="0.25">
      <c r="A997" t="s">
        <v>9</v>
      </c>
      <c r="B997" t="s">
        <v>355</v>
      </c>
      <c r="C997">
        <v>30</v>
      </c>
      <c r="D997" t="s">
        <v>356</v>
      </c>
    </row>
    <row r="998" spans="1:4" x14ac:dyDescent="0.25">
      <c r="A998" t="s">
        <v>10</v>
      </c>
      <c r="B998" t="s">
        <v>357</v>
      </c>
      <c r="C998">
        <v>194</v>
      </c>
      <c r="D998" t="s">
        <v>356</v>
      </c>
    </row>
    <row r="999" spans="1:4" x14ac:dyDescent="0.25">
      <c r="A999" t="s">
        <v>15</v>
      </c>
      <c r="B999" t="s">
        <v>355</v>
      </c>
      <c r="C999">
        <v>85</v>
      </c>
      <c r="D999" t="s">
        <v>356</v>
      </c>
    </row>
    <row r="1000" spans="1:4" x14ac:dyDescent="0.25">
      <c r="A1000" t="s">
        <v>16</v>
      </c>
      <c r="B1000" t="s">
        <v>355</v>
      </c>
      <c r="C1000">
        <v>105</v>
      </c>
      <c r="D1000" t="s">
        <v>356</v>
      </c>
    </row>
    <row r="1001" spans="1:4" x14ac:dyDescent="0.25">
      <c r="A1001" t="s">
        <v>17</v>
      </c>
      <c r="B1001" t="s">
        <v>355</v>
      </c>
      <c r="C1001">
        <v>11</v>
      </c>
      <c r="D1001" t="s">
        <v>356</v>
      </c>
    </row>
    <row r="1002" spans="1:4" x14ac:dyDescent="0.25">
      <c r="A1002" t="s">
        <v>18</v>
      </c>
      <c r="B1002" t="s">
        <v>355</v>
      </c>
      <c r="C1002">
        <v>7</v>
      </c>
      <c r="D1002" t="s">
        <v>356</v>
      </c>
    </row>
    <row r="1003" spans="1:4" x14ac:dyDescent="0.25">
      <c r="A1003" t="s">
        <v>24</v>
      </c>
      <c r="B1003" t="s">
        <v>358</v>
      </c>
      <c r="C1003">
        <v>12</v>
      </c>
      <c r="D1003" t="s">
        <v>356</v>
      </c>
    </row>
    <row r="1004" spans="1:4" x14ac:dyDescent="0.25">
      <c r="A1004" t="s">
        <v>25</v>
      </c>
      <c r="B1004" t="s">
        <v>355</v>
      </c>
      <c r="C1004">
        <v>11</v>
      </c>
      <c r="D1004" t="s">
        <v>356</v>
      </c>
    </row>
    <row r="1005" spans="1:4" x14ac:dyDescent="0.25">
      <c r="A1005" t="s">
        <v>26</v>
      </c>
      <c r="B1005" t="s">
        <v>357</v>
      </c>
      <c r="C1005">
        <v>51</v>
      </c>
      <c r="D1005" t="s">
        <v>356</v>
      </c>
    </row>
    <row r="1006" spans="1:4" x14ac:dyDescent="0.25">
      <c r="A1006" t="s">
        <v>26</v>
      </c>
      <c r="B1006" t="s">
        <v>355</v>
      </c>
      <c r="C1006">
        <v>14</v>
      </c>
      <c r="D1006" t="s">
        <v>356</v>
      </c>
    </row>
    <row r="1007" spans="1:4" x14ac:dyDescent="0.25">
      <c r="A1007" t="s">
        <v>29</v>
      </c>
      <c r="B1007" t="s">
        <v>355</v>
      </c>
      <c r="C1007">
        <v>12</v>
      </c>
      <c r="D1007" t="s">
        <v>356</v>
      </c>
    </row>
    <row r="1008" spans="1:4" x14ac:dyDescent="0.25">
      <c r="A1008" t="s">
        <v>32</v>
      </c>
      <c r="B1008" t="s">
        <v>357</v>
      </c>
      <c r="C1008">
        <v>69</v>
      </c>
      <c r="D1008" t="s">
        <v>356</v>
      </c>
    </row>
    <row r="1009" spans="1:4" x14ac:dyDescent="0.25">
      <c r="A1009" t="s">
        <v>32</v>
      </c>
      <c r="B1009" t="s">
        <v>358</v>
      </c>
      <c r="C1009">
        <v>16</v>
      </c>
      <c r="D1009" t="s">
        <v>356</v>
      </c>
    </row>
    <row r="1010" spans="1:4" x14ac:dyDescent="0.25">
      <c r="A1010" t="s">
        <v>32</v>
      </c>
      <c r="B1010" t="s">
        <v>355</v>
      </c>
      <c r="C1010">
        <v>15</v>
      </c>
      <c r="D1010" t="s">
        <v>356</v>
      </c>
    </row>
    <row r="1011" spans="1:4" x14ac:dyDescent="0.25">
      <c r="A1011" t="s">
        <v>34</v>
      </c>
      <c r="B1011" t="s">
        <v>355</v>
      </c>
      <c r="C1011">
        <v>153</v>
      </c>
      <c r="D1011" t="s">
        <v>356</v>
      </c>
    </row>
    <row r="1012" spans="1:4" x14ac:dyDescent="0.25">
      <c r="A1012" t="s">
        <v>34</v>
      </c>
      <c r="B1012" t="s">
        <v>357</v>
      </c>
      <c r="C1012">
        <v>49</v>
      </c>
      <c r="D1012" t="s">
        <v>356</v>
      </c>
    </row>
    <row r="1013" spans="1:4" x14ac:dyDescent="0.25">
      <c r="A1013" t="s">
        <v>36</v>
      </c>
      <c r="B1013" t="s">
        <v>358</v>
      </c>
      <c r="C1013">
        <v>17</v>
      </c>
      <c r="D1013" t="s">
        <v>356</v>
      </c>
    </row>
    <row r="1014" spans="1:4" x14ac:dyDescent="0.25">
      <c r="A1014" t="s">
        <v>37</v>
      </c>
      <c r="B1014" t="s">
        <v>358</v>
      </c>
      <c r="C1014">
        <v>46</v>
      </c>
      <c r="D1014" t="s">
        <v>356</v>
      </c>
    </row>
    <row r="1015" spans="1:4" x14ac:dyDescent="0.25">
      <c r="A1015" t="s">
        <v>37</v>
      </c>
      <c r="B1015" t="s">
        <v>355</v>
      </c>
      <c r="C1015">
        <v>23</v>
      </c>
      <c r="D1015" t="s">
        <v>356</v>
      </c>
    </row>
    <row r="1016" spans="1:4" x14ac:dyDescent="0.25">
      <c r="A1016" t="s">
        <v>39</v>
      </c>
      <c r="B1016" t="s">
        <v>357</v>
      </c>
      <c r="C1016">
        <v>18</v>
      </c>
      <c r="D1016" t="s">
        <v>356</v>
      </c>
    </row>
    <row r="1017" spans="1:4" x14ac:dyDescent="0.25">
      <c r="A1017" t="s">
        <v>39</v>
      </c>
      <c r="B1017" t="s">
        <v>355</v>
      </c>
      <c r="C1017">
        <v>15</v>
      </c>
      <c r="D1017" t="s">
        <v>356</v>
      </c>
    </row>
    <row r="1018" spans="1:4" x14ac:dyDescent="0.25">
      <c r="A1018" t="s">
        <v>40</v>
      </c>
      <c r="B1018" t="s">
        <v>357</v>
      </c>
      <c r="C1018">
        <v>259</v>
      </c>
      <c r="D1018" t="s">
        <v>356</v>
      </c>
    </row>
    <row r="1019" spans="1:4" x14ac:dyDescent="0.25">
      <c r="A1019" t="s">
        <v>40</v>
      </c>
      <c r="B1019" t="s">
        <v>355</v>
      </c>
      <c r="C1019">
        <v>122</v>
      </c>
      <c r="D1019" t="s">
        <v>356</v>
      </c>
    </row>
    <row r="1020" spans="1:4" x14ac:dyDescent="0.25">
      <c r="A1020" t="s">
        <v>42</v>
      </c>
      <c r="B1020" t="s">
        <v>357</v>
      </c>
      <c r="C1020">
        <v>109</v>
      </c>
      <c r="D1020" t="s">
        <v>356</v>
      </c>
    </row>
    <row r="1021" spans="1:4" x14ac:dyDescent="0.25">
      <c r="A1021" t="s">
        <v>42</v>
      </c>
      <c r="B1021" t="s">
        <v>355</v>
      </c>
      <c r="C1021">
        <v>95</v>
      </c>
      <c r="D1021" t="s">
        <v>356</v>
      </c>
    </row>
    <row r="1022" spans="1:4" x14ac:dyDescent="0.25">
      <c r="A1022" t="s">
        <v>51</v>
      </c>
      <c r="B1022" t="s">
        <v>357</v>
      </c>
      <c r="C1022">
        <v>50</v>
      </c>
      <c r="D1022" t="s">
        <v>356</v>
      </c>
    </row>
    <row r="1023" spans="1:4" x14ac:dyDescent="0.25">
      <c r="A1023" t="s">
        <v>53</v>
      </c>
      <c r="B1023" t="s">
        <v>355</v>
      </c>
      <c r="C1023">
        <v>138</v>
      </c>
      <c r="D1023" t="s">
        <v>356</v>
      </c>
    </row>
    <row r="1024" spans="1:4" x14ac:dyDescent="0.25">
      <c r="A1024" t="s">
        <v>53</v>
      </c>
      <c r="B1024" t="s">
        <v>357</v>
      </c>
      <c r="C1024">
        <v>114</v>
      </c>
      <c r="D1024" t="s">
        <v>356</v>
      </c>
    </row>
    <row r="1025" spans="1:4" x14ac:dyDescent="0.25">
      <c r="A1025" t="s">
        <v>59</v>
      </c>
      <c r="B1025" t="s">
        <v>358</v>
      </c>
      <c r="C1025">
        <v>20</v>
      </c>
      <c r="D1025" t="s">
        <v>356</v>
      </c>
    </row>
    <row r="1026" spans="1:4" x14ac:dyDescent="0.25">
      <c r="A1026" t="s">
        <v>59</v>
      </c>
      <c r="B1026" t="s">
        <v>357</v>
      </c>
      <c r="C1026">
        <v>15</v>
      </c>
      <c r="D1026" t="s">
        <v>356</v>
      </c>
    </row>
    <row r="1027" spans="1:4" x14ac:dyDescent="0.25">
      <c r="A1027" t="s">
        <v>60</v>
      </c>
      <c r="B1027" t="s">
        <v>358</v>
      </c>
      <c r="C1027">
        <v>55</v>
      </c>
      <c r="D1027" t="s">
        <v>356</v>
      </c>
    </row>
    <row r="1028" spans="1:4" x14ac:dyDescent="0.25">
      <c r="A1028" t="s">
        <v>60</v>
      </c>
      <c r="B1028" t="s">
        <v>357</v>
      </c>
      <c r="C1028">
        <v>10</v>
      </c>
      <c r="D1028" t="s">
        <v>356</v>
      </c>
    </row>
    <row r="1029" spans="1:4" x14ac:dyDescent="0.25">
      <c r="A1029" t="s">
        <v>60</v>
      </c>
      <c r="B1029" t="s">
        <v>355</v>
      </c>
      <c r="C1029">
        <v>10</v>
      </c>
      <c r="D1029" t="s">
        <v>356</v>
      </c>
    </row>
    <row r="1030" spans="1:4" x14ac:dyDescent="0.25">
      <c r="A1030" t="s">
        <v>65</v>
      </c>
      <c r="B1030" t="s">
        <v>358</v>
      </c>
      <c r="C1030">
        <v>61</v>
      </c>
      <c r="D1030" t="s">
        <v>356</v>
      </c>
    </row>
    <row r="1031" spans="1:4" x14ac:dyDescent="0.25">
      <c r="A1031" t="s">
        <v>65</v>
      </c>
      <c r="B1031" t="s">
        <v>357</v>
      </c>
      <c r="C1031">
        <v>34</v>
      </c>
      <c r="D1031" t="s">
        <v>356</v>
      </c>
    </row>
    <row r="1032" spans="1:4" x14ac:dyDescent="0.25">
      <c r="A1032" t="s">
        <v>65</v>
      </c>
      <c r="B1032" t="s">
        <v>355</v>
      </c>
      <c r="C1032">
        <v>12</v>
      </c>
      <c r="D1032" t="s">
        <v>356</v>
      </c>
    </row>
    <row r="1033" spans="1:4" x14ac:dyDescent="0.25">
      <c r="A1033" t="s">
        <v>66</v>
      </c>
      <c r="B1033" t="s">
        <v>357</v>
      </c>
      <c r="C1033">
        <v>12</v>
      </c>
      <c r="D1033" t="s">
        <v>356</v>
      </c>
    </row>
    <row r="1034" spans="1:4" x14ac:dyDescent="0.25">
      <c r="A1034" t="s">
        <v>67</v>
      </c>
      <c r="B1034" t="s">
        <v>355</v>
      </c>
      <c r="C1034">
        <v>14</v>
      </c>
      <c r="D1034" t="s">
        <v>356</v>
      </c>
    </row>
    <row r="1035" spans="1:4" x14ac:dyDescent="0.25">
      <c r="A1035" t="s">
        <v>68</v>
      </c>
      <c r="B1035" t="s">
        <v>355</v>
      </c>
      <c r="C1035">
        <v>121</v>
      </c>
      <c r="D1035" t="s">
        <v>356</v>
      </c>
    </row>
    <row r="1036" spans="1:4" x14ac:dyDescent="0.25">
      <c r="A1036" t="s">
        <v>72</v>
      </c>
      <c r="B1036" t="s">
        <v>357</v>
      </c>
      <c r="C1036">
        <v>86</v>
      </c>
      <c r="D1036" t="s">
        <v>356</v>
      </c>
    </row>
    <row r="1037" spans="1:4" x14ac:dyDescent="0.25">
      <c r="A1037" t="s">
        <v>75</v>
      </c>
      <c r="B1037" t="s">
        <v>355</v>
      </c>
      <c r="C1037">
        <v>31</v>
      </c>
      <c r="D1037" t="s">
        <v>356</v>
      </c>
    </row>
    <row r="1038" spans="1:4" x14ac:dyDescent="0.25">
      <c r="A1038" t="s">
        <v>76</v>
      </c>
      <c r="B1038" t="s">
        <v>357</v>
      </c>
      <c r="C1038">
        <v>168</v>
      </c>
      <c r="D1038" t="s">
        <v>356</v>
      </c>
    </row>
    <row r="1039" spans="1:4" x14ac:dyDescent="0.25">
      <c r="A1039" t="s">
        <v>76</v>
      </c>
      <c r="B1039" t="s">
        <v>355</v>
      </c>
      <c r="C1039">
        <v>133</v>
      </c>
      <c r="D1039" t="s">
        <v>356</v>
      </c>
    </row>
    <row r="1040" spans="1:4" x14ac:dyDescent="0.25">
      <c r="A1040" t="s">
        <v>76</v>
      </c>
      <c r="B1040" t="s">
        <v>358</v>
      </c>
      <c r="C1040">
        <v>114</v>
      </c>
      <c r="D1040" t="s">
        <v>356</v>
      </c>
    </row>
    <row r="1041" spans="1:4" x14ac:dyDescent="0.25">
      <c r="A1041" t="s">
        <v>78</v>
      </c>
      <c r="B1041" t="s">
        <v>355</v>
      </c>
      <c r="C1041">
        <v>42</v>
      </c>
      <c r="D1041" t="s">
        <v>356</v>
      </c>
    </row>
    <row r="1042" spans="1:4" x14ac:dyDescent="0.25">
      <c r="A1042" t="s">
        <v>84</v>
      </c>
      <c r="B1042" t="s">
        <v>355</v>
      </c>
      <c r="C1042">
        <v>68</v>
      </c>
      <c r="D1042" t="s">
        <v>356</v>
      </c>
    </row>
    <row r="1043" spans="1:4" x14ac:dyDescent="0.25">
      <c r="A1043" t="s">
        <v>85</v>
      </c>
      <c r="B1043" t="s">
        <v>355</v>
      </c>
      <c r="C1043">
        <v>20</v>
      </c>
      <c r="D1043" t="s">
        <v>356</v>
      </c>
    </row>
    <row r="1044" spans="1:4" x14ac:dyDescent="0.25">
      <c r="A1044" t="s">
        <v>85</v>
      </c>
      <c r="B1044" t="s">
        <v>358</v>
      </c>
      <c r="C1044">
        <v>14</v>
      </c>
      <c r="D1044" t="s">
        <v>356</v>
      </c>
    </row>
    <row r="1045" spans="1:4" x14ac:dyDescent="0.25">
      <c r="A1045" t="s">
        <v>87</v>
      </c>
      <c r="B1045" t="s">
        <v>355</v>
      </c>
      <c r="C1045">
        <v>1837</v>
      </c>
      <c r="D1045" t="s">
        <v>356</v>
      </c>
    </row>
    <row r="1046" spans="1:4" x14ac:dyDescent="0.25">
      <c r="A1046" t="s">
        <v>89</v>
      </c>
      <c r="B1046" t="s">
        <v>358</v>
      </c>
      <c r="C1046">
        <v>1462</v>
      </c>
      <c r="D1046" t="s">
        <v>356</v>
      </c>
    </row>
    <row r="1047" spans="1:4" x14ac:dyDescent="0.25">
      <c r="A1047" t="s">
        <v>90</v>
      </c>
      <c r="B1047" t="s">
        <v>357</v>
      </c>
      <c r="C1047">
        <v>128</v>
      </c>
      <c r="D1047" t="s">
        <v>356</v>
      </c>
    </row>
    <row r="1048" spans="1:4" x14ac:dyDescent="0.25">
      <c r="A1048" t="s">
        <v>90</v>
      </c>
      <c r="B1048" t="s">
        <v>355</v>
      </c>
      <c r="C1048">
        <v>113</v>
      </c>
      <c r="D1048" t="s">
        <v>356</v>
      </c>
    </row>
    <row r="1049" spans="1:4" x14ac:dyDescent="0.25">
      <c r="A1049" t="s">
        <v>91</v>
      </c>
      <c r="B1049" t="s">
        <v>355</v>
      </c>
      <c r="C1049">
        <v>258</v>
      </c>
      <c r="D1049" t="s">
        <v>356</v>
      </c>
    </row>
    <row r="1050" spans="1:4" x14ac:dyDescent="0.25">
      <c r="A1050" t="s">
        <v>91</v>
      </c>
      <c r="B1050" t="s">
        <v>357</v>
      </c>
      <c r="C1050">
        <v>9</v>
      </c>
      <c r="D1050" t="s">
        <v>356</v>
      </c>
    </row>
    <row r="1051" spans="1:4" x14ac:dyDescent="0.25">
      <c r="A1051" t="s">
        <v>16</v>
      </c>
      <c r="B1051" t="s">
        <v>359</v>
      </c>
      <c r="C1051">
        <v>10</v>
      </c>
      <c r="D1051" t="s">
        <v>360</v>
      </c>
    </row>
    <row r="1052" spans="1:4" x14ac:dyDescent="0.25">
      <c r="A1052" t="s">
        <v>25</v>
      </c>
      <c r="B1052" t="s">
        <v>361</v>
      </c>
      <c r="C1052">
        <v>4</v>
      </c>
      <c r="D1052" t="s">
        <v>360</v>
      </c>
    </row>
    <row r="1053" spans="1:4" x14ac:dyDescent="0.25">
      <c r="A1053" t="s">
        <v>37</v>
      </c>
      <c r="B1053" t="s">
        <v>361</v>
      </c>
      <c r="C1053">
        <v>16</v>
      </c>
      <c r="D1053" t="s">
        <v>360</v>
      </c>
    </row>
    <row r="1054" spans="1:4" x14ac:dyDescent="0.25">
      <c r="A1054" t="s">
        <v>62</v>
      </c>
      <c r="B1054" t="s">
        <v>359</v>
      </c>
      <c r="C1054">
        <v>26</v>
      </c>
      <c r="D1054" t="s">
        <v>360</v>
      </c>
    </row>
    <row r="1055" spans="1:4" x14ac:dyDescent="0.25">
      <c r="A1055" t="s">
        <v>69</v>
      </c>
      <c r="B1055" t="s">
        <v>359</v>
      </c>
      <c r="C1055">
        <v>254</v>
      </c>
      <c r="D1055" t="s">
        <v>360</v>
      </c>
    </row>
    <row r="1056" spans="1:4" x14ac:dyDescent="0.25">
      <c r="A1056" t="s">
        <v>89</v>
      </c>
      <c r="B1056" t="s">
        <v>361</v>
      </c>
      <c r="C1056">
        <v>132</v>
      </c>
      <c r="D1056" t="s">
        <v>360</v>
      </c>
    </row>
    <row r="1057" spans="1:4" x14ac:dyDescent="0.25">
      <c r="A1057" t="s">
        <v>31</v>
      </c>
      <c r="B1057" t="s">
        <v>362</v>
      </c>
      <c r="C1057">
        <v>200</v>
      </c>
      <c r="D1057" t="s">
        <v>363</v>
      </c>
    </row>
    <row r="1058" spans="1:4" x14ac:dyDescent="0.25">
      <c r="A1058" t="s">
        <v>34</v>
      </c>
      <c r="B1058" t="s">
        <v>362</v>
      </c>
      <c r="C1058">
        <v>123</v>
      </c>
      <c r="D1058" t="s">
        <v>363</v>
      </c>
    </row>
    <row r="1059" spans="1:4" x14ac:dyDescent="0.25">
      <c r="A1059" t="s">
        <v>72</v>
      </c>
      <c r="B1059" t="s">
        <v>362</v>
      </c>
      <c r="C1059">
        <v>88</v>
      </c>
      <c r="D1059" t="s">
        <v>363</v>
      </c>
    </row>
    <row r="1060" spans="1:4" x14ac:dyDescent="0.25">
      <c r="A1060" t="s">
        <v>31</v>
      </c>
      <c r="B1060" t="s">
        <v>364</v>
      </c>
      <c r="C1060">
        <v>181</v>
      </c>
      <c r="D1060" t="s">
        <v>365</v>
      </c>
    </row>
    <row r="1061" spans="1:4" x14ac:dyDescent="0.25">
      <c r="A1061" t="s">
        <v>34</v>
      </c>
      <c r="B1061" t="s">
        <v>366</v>
      </c>
      <c r="C1061">
        <v>147</v>
      </c>
      <c r="D1061" t="s">
        <v>365</v>
      </c>
    </row>
    <row r="1062" spans="1:4" x14ac:dyDescent="0.25">
      <c r="A1062" t="s">
        <v>35</v>
      </c>
      <c r="B1062" t="s">
        <v>366</v>
      </c>
      <c r="C1062">
        <v>150</v>
      </c>
      <c r="D1062" t="s">
        <v>365</v>
      </c>
    </row>
    <row r="1063" spans="1:4" x14ac:dyDescent="0.25">
      <c r="A1063" t="s">
        <v>46</v>
      </c>
      <c r="B1063" t="s">
        <v>367</v>
      </c>
      <c r="C1063">
        <v>73</v>
      </c>
      <c r="D1063" t="s">
        <v>365</v>
      </c>
    </row>
    <row r="1064" spans="1:4" x14ac:dyDescent="0.25">
      <c r="A1064" t="s">
        <v>61</v>
      </c>
      <c r="B1064" t="s">
        <v>366</v>
      </c>
      <c r="C1064">
        <v>385</v>
      </c>
      <c r="D1064" t="s">
        <v>365</v>
      </c>
    </row>
    <row r="1065" spans="1:4" x14ac:dyDescent="0.25">
      <c r="A1065" t="s">
        <v>64</v>
      </c>
      <c r="B1065" t="s">
        <v>366</v>
      </c>
      <c r="C1065">
        <v>20</v>
      </c>
      <c r="D1065" t="s">
        <v>365</v>
      </c>
    </row>
    <row r="1066" spans="1:4" x14ac:dyDescent="0.25">
      <c r="A1066" t="s">
        <v>69</v>
      </c>
      <c r="B1066" t="s">
        <v>366</v>
      </c>
      <c r="C1066">
        <v>20</v>
      </c>
      <c r="D1066" t="s">
        <v>365</v>
      </c>
    </row>
    <row r="1067" spans="1:4" x14ac:dyDescent="0.25">
      <c r="A1067" t="s">
        <v>72</v>
      </c>
      <c r="B1067" t="s">
        <v>367</v>
      </c>
      <c r="C1067">
        <v>46</v>
      </c>
      <c r="D1067" t="s">
        <v>365</v>
      </c>
    </row>
    <row r="1068" spans="1:4" x14ac:dyDescent="0.25">
      <c r="A1068" t="s">
        <v>73</v>
      </c>
      <c r="B1068" t="s">
        <v>364</v>
      </c>
      <c r="C1068">
        <v>103</v>
      </c>
      <c r="D1068" t="s">
        <v>365</v>
      </c>
    </row>
    <row r="1069" spans="1:4" x14ac:dyDescent="0.25">
      <c r="A1069" t="s">
        <v>88</v>
      </c>
      <c r="B1069" t="s">
        <v>366</v>
      </c>
      <c r="C1069">
        <v>63</v>
      </c>
      <c r="D1069" t="s">
        <v>365</v>
      </c>
    </row>
    <row r="1070" spans="1:4" x14ac:dyDescent="0.25">
      <c r="A1070" t="s">
        <v>26</v>
      </c>
      <c r="B1070" t="s">
        <v>368</v>
      </c>
      <c r="C1070">
        <v>11</v>
      </c>
      <c r="D1070" t="s">
        <v>369</v>
      </c>
    </row>
    <row r="1071" spans="1:4" x14ac:dyDescent="0.25">
      <c r="A1071" t="s">
        <v>31</v>
      </c>
      <c r="B1071" t="s">
        <v>368</v>
      </c>
      <c r="C1071">
        <v>41</v>
      </c>
      <c r="D1071" t="s">
        <v>369</v>
      </c>
    </row>
    <row r="1072" spans="1:4" x14ac:dyDescent="0.25">
      <c r="A1072" t="s">
        <v>34</v>
      </c>
      <c r="B1072" t="s">
        <v>368</v>
      </c>
      <c r="C1072">
        <v>129</v>
      </c>
      <c r="D1072" t="s">
        <v>369</v>
      </c>
    </row>
    <row r="1073" spans="1:4" x14ac:dyDescent="0.25">
      <c r="A1073" t="s">
        <v>40</v>
      </c>
      <c r="B1073" t="s">
        <v>368</v>
      </c>
      <c r="C1073">
        <v>133</v>
      </c>
      <c r="D1073" t="s">
        <v>369</v>
      </c>
    </row>
    <row r="1074" spans="1:4" x14ac:dyDescent="0.25">
      <c r="A1074" t="s">
        <v>42</v>
      </c>
      <c r="B1074" t="s">
        <v>368</v>
      </c>
      <c r="C1074">
        <v>76</v>
      </c>
      <c r="D1074" t="s">
        <v>369</v>
      </c>
    </row>
    <row r="1075" spans="1:4" x14ac:dyDescent="0.25">
      <c r="A1075" t="s">
        <v>53</v>
      </c>
      <c r="B1075" t="s">
        <v>368</v>
      </c>
      <c r="C1075">
        <v>23</v>
      </c>
      <c r="D1075" t="s">
        <v>369</v>
      </c>
    </row>
    <row r="1076" spans="1:4" x14ac:dyDescent="0.25">
      <c r="A1076" t="s">
        <v>71</v>
      </c>
      <c r="B1076" t="s">
        <v>368</v>
      </c>
      <c r="C1076">
        <v>11742</v>
      </c>
      <c r="D1076" t="s">
        <v>369</v>
      </c>
    </row>
    <row r="1077" spans="1:4" x14ac:dyDescent="0.25">
      <c r="A1077" t="s">
        <v>76</v>
      </c>
      <c r="B1077" t="s">
        <v>368</v>
      </c>
      <c r="C1077">
        <v>44</v>
      </c>
      <c r="D1077" t="s">
        <v>369</v>
      </c>
    </row>
    <row r="1078" spans="1:4" x14ac:dyDescent="0.25">
      <c r="A1078" t="s">
        <v>90</v>
      </c>
      <c r="B1078" t="s">
        <v>368</v>
      </c>
      <c r="C1078">
        <v>33</v>
      </c>
      <c r="D1078" t="s">
        <v>369</v>
      </c>
    </row>
    <row r="1079" spans="1:4" x14ac:dyDescent="0.25">
      <c r="A1079" t="s">
        <v>11</v>
      </c>
      <c r="B1079" t="s">
        <v>370</v>
      </c>
      <c r="C1079">
        <v>5</v>
      </c>
      <c r="D1079" t="s">
        <v>371</v>
      </c>
    </row>
    <row r="1080" spans="1:4" x14ac:dyDescent="0.25">
      <c r="A1080" t="s">
        <v>53</v>
      </c>
      <c r="B1080" t="s">
        <v>370</v>
      </c>
      <c r="C1080">
        <v>10</v>
      </c>
      <c r="D1080" t="s">
        <v>371</v>
      </c>
    </row>
    <row r="1081" spans="1:4" x14ac:dyDescent="0.25">
      <c r="A1081" t="s">
        <v>71</v>
      </c>
      <c r="B1081" t="s">
        <v>370</v>
      </c>
      <c r="C1081">
        <v>69</v>
      </c>
      <c r="D1081" t="s">
        <v>371</v>
      </c>
    </row>
    <row r="1082" spans="1:4" x14ac:dyDescent="0.25">
      <c r="A1082" t="s">
        <v>6</v>
      </c>
      <c r="B1082" t="s">
        <v>372</v>
      </c>
      <c r="C1082">
        <v>185</v>
      </c>
      <c r="D1082" t="s">
        <v>373</v>
      </c>
    </row>
    <row r="1083" spans="1:4" x14ac:dyDescent="0.25">
      <c r="A1083" t="s">
        <v>6</v>
      </c>
      <c r="B1083" t="s">
        <v>374</v>
      </c>
      <c r="C1083">
        <v>109</v>
      </c>
      <c r="D1083" t="s">
        <v>373</v>
      </c>
    </row>
    <row r="1084" spans="1:4" x14ac:dyDescent="0.25">
      <c r="A1084" t="s">
        <v>8</v>
      </c>
      <c r="B1084" t="s">
        <v>375</v>
      </c>
      <c r="C1084">
        <v>198</v>
      </c>
      <c r="D1084" t="s">
        <v>373</v>
      </c>
    </row>
    <row r="1085" spans="1:4" x14ac:dyDescent="0.25">
      <c r="A1085" t="s">
        <v>8</v>
      </c>
      <c r="B1085" t="s">
        <v>376</v>
      </c>
      <c r="C1085">
        <v>184</v>
      </c>
      <c r="D1085" t="s">
        <v>373</v>
      </c>
    </row>
    <row r="1086" spans="1:4" x14ac:dyDescent="0.25">
      <c r="A1086" t="s">
        <v>11</v>
      </c>
      <c r="B1086" t="s">
        <v>377</v>
      </c>
      <c r="C1086">
        <v>121</v>
      </c>
      <c r="D1086" t="s">
        <v>373</v>
      </c>
    </row>
    <row r="1087" spans="1:4" x14ac:dyDescent="0.25">
      <c r="A1087" t="s">
        <v>12</v>
      </c>
      <c r="B1087" t="s">
        <v>378</v>
      </c>
      <c r="C1087">
        <v>115</v>
      </c>
      <c r="D1087" t="s">
        <v>373</v>
      </c>
    </row>
    <row r="1088" spans="1:4" x14ac:dyDescent="0.25">
      <c r="A1088" t="s">
        <v>27</v>
      </c>
      <c r="B1088" t="s">
        <v>379</v>
      </c>
      <c r="C1088">
        <v>74</v>
      </c>
      <c r="D1088" t="s">
        <v>373</v>
      </c>
    </row>
    <row r="1089" spans="1:4" x14ac:dyDescent="0.25">
      <c r="A1089" t="s">
        <v>44</v>
      </c>
      <c r="B1089" t="s">
        <v>380</v>
      </c>
      <c r="C1089">
        <v>388</v>
      </c>
      <c r="D1089" t="s">
        <v>373</v>
      </c>
    </row>
    <row r="1090" spans="1:4" x14ac:dyDescent="0.25">
      <c r="A1090" t="s">
        <v>44</v>
      </c>
      <c r="B1090" t="s">
        <v>375</v>
      </c>
      <c r="C1090">
        <v>64</v>
      </c>
      <c r="D1090" t="s">
        <v>373</v>
      </c>
    </row>
    <row r="1091" spans="1:4" x14ac:dyDescent="0.25">
      <c r="A1091" t="s">
        <v>44</v>
      </c>
      <c r="B1091" t="s">
        <v>374</v>
      </c>
      <c r="C1091">
        <v>50</v>
      </c>
      <c r="D1091" t="s">
        <v>373</v>
      </c>
    </row>
    <row r="1092" spans="1:4" x14ac:dyDescent="0.25">
      <c r="A1092" t="s">
        <v>49</v>
      </c>
      <c r="B1092" t="s">
        <v>379</v>
      </c>
      <c r="C1092">
        <v>39</v>
      </c>
      <c r="D1092" t="s">
        <v>373</v>
      </c>
    </row>
    <row r="1093" spans="1:4" x14ac:dyDescent="0.25">
      <c r="A1093" t="s">
        <v>56</v>
      </c>
      <c r="B1093" t="s">
        <v>377</v>
      </c>
      <c r="C1093">
        <v>335</v>
      </c>
      <c r="D1093" t="s">
        <v>373</v>
      </c>
    </row>
    <row r="1094" spans="1:4" x14ac:dyDescent="0.25">
      <c r="A1094" t="s">
        <v>57</v>
      </c>
      <c r="B1094" t="s">
        <v>380</v>
      </c>
      <c r="C1094">
        <v>384</v>
      </c>
      <c r="D1094" t="s">
        <v>373</v>
      </c>
    </row>
    <row r="1095" spans="1:4" x14ac:dyDescent="0.25">
      <c r="A1095" t="s">
        <v>59</v>
      </c>
      <c r="B1095" t="s">
        <v>376</v>
      </c>
      <c r="C1095">
        <v>241</v>
      </c>
      <c r="D1095" t="s">
        <v>373</v>
      </c>
    </row>
    <row r="1096" spans="1:4" x14ac:dyDescent="0.25">
      <c r="A1096" t="s">
        <v>61</v>
      </c>
      <c r="B1096" t="s">
        <v>372</v>
      </c>
      <c r="C1096">
        <v>362</v>
      </c>
      <c r="D1096" t="s">
        <v>373</v>
      </c>
    </row>
    <row r="1097" spans="1:4" x14ac:dyDescent="0.25">
      <c r="A1097" t="s">
        <v>62</v>
      </c>
      <c r="B1097" t="s">
        <v>375</v>
      </c>
      <c r="C1097">
        <v>371</v>
      </c>
      <c r="D1097" t="s">
        <v>373</v>
      </c>
    </row>
    <row r="1098" spans="1:4" x14ac:dyDescent="0.25">
      <c r="A1098" t="s">
        <v>62</v>
      </c>
      <c r="B1098" t="s">
        <v>372</v>
      </c>
      <c r="C1098">
        <v>117</v>
      </c>
      <c r="D1098" t="s">
        <v>373</v>
      </c>
    </row>
    <row r="1099" spans="1:4" x14ac:dyDescent="0.25">
      <c r="A1099" t="s">
        <v>68</v>
      </c>
      <c r="B1099" t="s">
        <v>379</v>
      </c>
      <c r="C1099">
        <v>195</v>
      </c>
      <c r="D1099" t="s">
        <v>373</v>
      </c>
    </row>
    <row r="1100" spans="1:4" x14ac:dyDescent="0.25">
      <c r="A1100" t="s">
        <v>68</v>
      </c>
      <c r="B1100" t="s">
        <v>374</v>
      </c>
      <c r="C1100">
        <v>79</v>
      </c>
      <c r="D1100" t="s">
        <v>373</v>
      </c>
    </row>
    <row r="1101" spans="1:4" x14ac:dyDescent="0.25">
      <c r="A1101" t="s">
        <v>86</v>
      </c>
      <c r="B1101" t="s">
        <v>379</v>
      </c>
      <c r="C1101">
        <v>70</v>
      </c>
      <c r="D1101" t="s">
        <v>373</v>
      </c>
    </row>
    <row r="1102" spans="1:4" x14ac:dyDescent="0.25">
      <c r="A1102" t="s">
        <v>86</v>
      </c>
      <c r="B1102" t="s">
        <v>374</v>
      </c>
      <c r="C1102">
        <v>35</v>
      </c>
      <c r="D1102" t="s">
        <v>373</v>
      </c>
    </row>
    <row r="1103" spans="1:4" x14ac:dyDescent="0.25">
      <c r="A1103" t="s">
        <v>88</v>
      </c>
      <c r="B1103" t="s">
        <v>375</v>
      </c>
      <c r="C1103">
        <v>67</v>
      </c>
      <c r="D1103" t="s">
        <v>373</v>
      </c>
    </row>
    <row r="1104" spans="1:4" x14ac:dyDescent="0.25">
      <c r="A1104" t="s">
        <v>88</v>
      </c>
      <c r="B1104" t="s">
        <v>379</v>
      </c>
      <c r="C1104">
        <v>39</v>
      </c>
      <c r="D1104" t="s">
        <v>373</v>
      </c>
    </row>
    <row r="1105" spans="1:4" x14ac:dyDescent="0.25">
      <c r="A1105" t="s">
        <v>92</v>
      </c>
      <c r="B1105" t="s">
        <v>378</v>
      </c>
      <c r="C1105">
        <v>66</v>
      </c>
      <c r="D1105" t="s">
        <v>373</v>
      </c>
    </row>
    <row r="1106" spans="1:4" x14ac:dyDescent="0.25">
      <c r="A1106" t="s">
        <v>92</v>
      </c>
      <c r="B1106" t="s">
        <v>372</v>
      </c>
      <c r="C1106">
        <v>41</v>
      </c>
      <c r="D1106" t="s">
        <v>373</v>
      </c>
    </row>
    <row r="1107" spans="1:4" x14ac:dyDescent="0.25">
      <c r="A1107" t="s">
        <v>6</v>
      </c>
      <c r="B1107" t="s">
        <v>381</v>
      </c>
      <c r="C1107">
        <v>93</v>
      </c>
      <c r="D1107" t="s">
        <v>382</v>
      </c>
    </row>
    <row r="1108" spans="1:4" x14ac:dyDescent="0.25">
      <c r="A1108" t="s">
        <v>7</v>
      </c>
      <c r="B1108" t="s">
        <v>381</v>
      </c>
      <c r="C1108">
        <v>41</v>
      </c>
      <c r="D1108" t="s">
        <v>382</v>
      </c>
    </row>
    <row r="1109" spans="1:4" x14ac:dyDescent="0.25">
      <c r="A1109" t="s">
        <v>9</v>
      </c>
      <c r="B1109" t="s">
        <v>383</v>
      </c>
      <c r="C1109">
        <v>26</v>
      </c>
      <c r="D1109" t="s">
        <v>382</v>
      </c>
    </row>
    <row r="1110" spans="1:4" x14ac:dyDescent="0.25">
      <c r="A1110" t="s">
        <v>14</v>
      </c>
      <c r="B1110" t="s">
        <v>383</v>
      </c>
      <c r="C1110">
        <v>11</v>
      </c>
      <c r="D1110" t="s">
        <v>382</v>
      </c>
    </row>
    <row r="1111" spans="1:4" x14ac:dyDescent="0.25">
      <c r="A1111" t="s">
        <v>15</v>
      </c>
      <c r="B1111" t="s">
        <v>384</v>
      </c>
      <c r="C1111">
        <v>325</v>
      </c>
      <c r="D1111" t="s">
        <v>382</v>
      </c>
    </row>
    <row r="1112" spans="1:4" x14ac:dyDescent="0.25">
      <c r="A1112" t="s">
        <v>18</v>
      </c>
      <c r="B1112" t="s">
        <v>383</v>
      </c>
      <c r="C1112">
        <v>116</v>
      </c>
      <c r="D1112" t="s">
        <v>382</v>
      </c>
    </row>
    <row r="1113" spans="1:4" x14ac:dyDescent="0.25">
      <c r="A1113" t="s">
        <v>28</v>
      </c>
      <c r="B1113" t="s">
        <v>384</v>
      </c>
      <c r="C1113">
        <v>10</v>
      </c>
      <c r="D1113" t="s">
        <v>382</v>
      </c>
    </row>
    <row r="1114" spans="1:4" x14ac:dyDescent="0.25">
      <c r="A1114" t="s">
        <v>40</v>
      </c>
      <c r="B1114" t="s">
        <v>383</v>
      </c>
      <c r="C1114">
        <v>215</v>
      </c>
      <c r="D1114" t="s">
        <v>382</v>
      </c>
    </row>
    <row r="1115" spans="1:4" x14ac:dyDescent="0.25">
      <c r="A1115" t="s">
        <v>42</v>
      </c>
      <c r="B1115" t="s">
        <v>383</v>
      </c>
      <c r="C1115">
        <v>152</v>
      </c>
      <c r="D1115" t="s">
        <v>382</v>
      </c>
    </row>
    <row r="1116" spans="1:4" x14ac:dyDescent="0.25">
      <c r="A1116" t="s">
        <v>45</v>
      </c>
      <c r="B1116" t="s">
        <v>383</v>
      </c>
      <c r="C1116">
        <v>24</v>
      </c>
      <c r="D1116" t="s">
        <v>382</v>
      </c>
    </row>
    <row r="1117" spans="1:4" x14ac:dyDescent="0.25">
      <c r="A1117" t="s">
        <v>53</v>
      </c>
      <c r="B1117" t="s">
        <v>383</v>
      </c>
      <c r="C1117">
        <v>88</v>
      </c>
      <c r="D1117" t="s">
        <v>382</v>
      </c>
    </row>
    <row r="1118" spans="1:4" x14ac:dyDescent="0.25">
      <c r="A1118" t="s">
        <v>61</v>
      </c>
      <c r="B1118" t="s">
        <v>383</v>
      </c>
      <c r="C1118">
        <v>100</v>
      </c>
      <c r="D1118" t="s">
        <v>382</v>
      </c>
    </row>
    <row r="1119" spans="1:4" x14ac:dyDescent="0.25">
      <c r="A1119" t="s">
        <v>67</v>
      </c>
      <c r="B1119" t="s">
        <v>383</v>
      </c>
      <c r="C1119">
        <v>41</v>
      </c>
      <c r="D1119" t="s">
        <v>382</v>
      </c>
    </row>
    <row r="1120" spans="1:4" x14ac:dyDescent="0.25">
      <c r="A1120" t="s">
        <v>70</v>
      </c>
      <c r="B1120" t="s">
        <v>383</v>
      </c>
      <c r="C1120">
        <v>22</v>
      </c>
      <c r="D1120" t="s">
        <v>382</v>
      </c>
    </row>
    <row r="1121" spans="1:4" x14ac:dyDescent="0.25">
      <c r="A1121" t="s">
        <v>72</v>
      </c>
      <c r="B1121" t="s">
        <v>383</v>
      </c>
      <c r="C1121">
        <v>65</v>
      </c>
      <c r="D1121" t="s">
        <v>382</v>
      </c>
    </row>
    <row r="1122" spans="1:4" x14ac:dyDescent="0.25">
      <c r="A1122" t="s">
        <v>74</v>
      </c>
      <c r="B1122" t="s">
        <v>383</v>
      </c>
      <c r="C1122">
        <v>75</v>
      </c>
      <c r="D1122" t="s">
        <v>382</v>
      </c>
    </row>
    <row r="1123" spans="1:4" x14ac:dyDescent="0.25">
      <c r="A1123" t="s">
        <v>75</v>
      </c>
      <c r="B1123" t="s">
        <v>383</v>
      </c>
      <c r="C1123">
        <v>21</v>
      </c>
      <c r="D1123" t="s">
        <v>382</v>
      </c>
    </row>
    <row r="1124" spans="1:4" x14ac:dyDescent="0.25">
      <c r="A1124" t="s">
        <v>82</v>
      </c>
      <c r="B1124" t="s">
        <v>383</v>
      </c>
      <c r="C1124">
        <v>34</v>
      </c>
      <c r="D1124" t="s">
        <v>382</v>
      </c>
    </row>
    <row r="1125" spans="1:4" x14ac:dyDescent="0.25">
      <c r="A1125" t="s">
        <v>83</v>
      </c>
      <c r="B1125" t="s">
        <v>383</v>
      </c>
      <c r="C1125">
        <v>118</v>
      </c>
      <c r="D1125" t="s">
        <v>382</v>
      </c>
    </row>
    <row r="1126" spans="1:4" x14ac:dyDescent="0.25">
      <c r="A1126" t="s">
        <v>84</v>
      </c>
      <c r="B1126" t="s">
        <v>383</v>
      </c>
      <c r="C1126">
        <v>397</v>
      </c>
      <c r="D1126" t="s">
        <v>382</v>
      </c>
    </row>
    <row r="1127" spans="1:4" x14ac:dyDescent="0.25">
      <c r="A1127" t="s">
        <v>90</v>
      </c>
      <c r="B1127" t="s">
        <v>383</v>
      </c>
      <c r="C1127">
        <v>97</v>
      </c>
      <c r="D1127" t="s">
        <v>382</v>
      </c>
    </row>
    <row r="1128" spans="1:4" x14ac:dyDescent="0.25">
      <c r="A1128" t="s">
        <v>91</v>
      </c>
      <c r="B1128" t="s">
        <v>383</v>
      </c>
      <c r="C1128">
        <v>32</v>
      </c>
      <c r="D1128" t="s">
        <v>382</v>
      </c>
    </row>
    <row r="1129" spans="1:4" x14ac:dyDescent="0.25">
      <c r="A1129" t="s">
        <v>9</v>
      </c>
      <c r="B1129" t="s">
        <v>385</v>
      </c>
      <c r="C1129">
        <v>36</v>
      </c>
      <c r="D1129" t="s">
        <v>386</v>
      </c>
    </row>
    <row r="1130" spans="1:4" x14ac:dyDescent="0.25">
      <c r="A1130" t="s">
        <v>11</v>
      </c>
      <c r="B1130" t="s">
        <v>385</v>
      </c>
      <c r="C1130">
        <v>8</v>
      </c>
      <c r="D1130" t="s">
        <v>386</v>
      </c>
    </row>
    <row r="1131" spans="1:4" x14ac:dyDescent="0.25">
      <c r="A1131" t="s">
        <v>15</v>
      </c>
      <c r="B1131" t="s">
        <v>385</v>
      </c>
      <c r="C1131">
        <v>69</v>
      </c>
      <c r="D1131" t="s">
        <v>386</v>
      </c>
    </row>
    <row r="1132" spans="1:4" x14ac:dyDescent="0.25">
      <c r="A1132" t="s">
        <v>16</v>
      </c>
      <c r="B1132" t="s">
        <v>385</v>
      </c>
      <c r="C1132">
        <v>276</v>
      </c>
      <c r="D1132" t="s">
        <v>386</v>
      </c>
    </row>
    <row r="1133" spans="1:4" x14ac:dyDescent="0.25">
      <c r="A1133" t="s">
        <v>19</v>
      </c>
      <c r="B1133" t="s">
        <v>385</v>
      </c>
      <c r="C1133">
        <v>430</v>
      </c>
      <c r="D1133" t="s">
        <v>386</v>
      </c>
    </row>
    <row r="1134" spans="1:4" x14ac:dyDescent="0.25">
      <c r="A1134" t="s">
        <v>22</v>
      </c>
      <c r="B1134" t="s">
        <v>385</v>
      </c>
      <c r="C1134">
        <v>16</v>
      </c>
      <c r="D1134" t="s">
        <v>386</v>
      </c>
    </row>
    <row r="1135" spans="1:4" x14ac:dyDescent="0.25">
      <c r="A1135" t="s">
        <v>25</v>
      </c>
      <c r="B1135" t="s">
        <v>385</v>
      </c>
      <c r="C1135">
        <v>51</v>
      </c>
      <c r="D1135" t="s">
        <v>386</v>
      </c>
    </row>
    <row r="1136" spans="1:4" x14ac:dyDescent="0.25">
      <c r="A1136" t="s">
        <v>28</v>
      </c>
      <c r="B1136" t="s">
        <v>385</v>
      </c>
      <c r="C1136">
        <v>12</v>
      </c>
      <c r="D1136" t="s">
        <v>386</v>
      </c>
    </row>
    <row r="1137" spans="1:4" x14ac:dyDescent="0.25">
      <c r="A1137" t="s">
        <v>29</v>
      </c>
      <c r="B1137" t="s">
        <v>385</v>
      </c>
      <c r="C1137">
        <v>65</v>
      </c>
      <c r="D1137" t="s">
        <v>386</v>
      </c>
    </row>
    <row r="1138" spans="1:4" x14ac:dyDescent="0.25">
      <c r="A1138" t="s">
        <v>33</v>
      </c>
      <c r="B1138" t="s">
        <v>385</v>
      </c>
      <c r="C1138">
        <v>30</v>
      </c>
      <c r="D1138" t="s">
        <v>386</v>
      </c>
    </row>
    <row r="1139" spans="1:4" x14ac:dyDescent="0.25">
      <c r="A1139" t="s">
        <v>34</v>
      </c>
      <c r="B1139" t="s">
        <v>385</v>
      </c>
      <c r="C1139">
        <v>4</v>
      </c>
      <c r="D1139" t="s">
        <v>386</v>
      </c>
    </row>
    <row r="1140" spans="1:4" x14ac:dyDescent="0.25">
      <c r="A1140" t="s">
        <v>38</v>
      </c>
      <c r="B1140" t="s">
        <v>385</v>
      </c>
      <c r="C1140">
        <v>189</v>
      </c>
      <c r="D1140" t="s">
        <v>386</v>
      </c>
    </row>
    <row r="1141" spans="1:4" x14ac:dyDescent="0.25">
      <c r="A1141" t="s">
        <v>39</v>
      </c>
      <c r="B1141" t="s">
        <v>385</v>
      </c>
      <c r="C1141">
        <v>122</v>
      </c>
      <c r="D1141" t="s">
        <v>386</v>
      </c>
    </row>
    <row r="1142" spans="1:4" x14ac:dyDescent="0.25">
      <c r="A1142" t="s">
        <v>43</v>
      </c>
      <c r="B1142" t="s">
        <v>385</v>
      </c>
      <c r="C1142">
        <v>100</v>
      </c>
      <c r="D1142" t="s">
        <v>386</v>
      </c>
    </row>
    <row r="1143" spans="1:4" x14ac:dyDescent="0.25">
      <c r="A1143" t="s">
        <v>44</v>
      </c>
      <c r="B1143" t="s">
        <v>385</v>
      </c>
      <c r="C1143">
        <v>50</v>
      </c>
      <c r="D1143" t="s">
        <v>386</v>
      </c>
    </row>
    <row r="1144" spans="1:4" x14ac:dyDescent="0.25">
      <c r="A1144" t="s">
        <v>48</v>
      </c>
      <c r="B1144" t="s">
        <v>385</v>
      </c>
      <c r="C1144">
        <v>275</v>
      </c>
      <c r="D1144" t="s">
        <v>386</v>
      </c>
    </row>
    <row r="1145" spans="1:4" x14ac:dyDescent="0.25">
      <c r="A1145" t="s">
        <v>61</v>
      </c>
      <c r="B1145" t="s">
        <v>385</v>
      </c>
      <c r="C1145">
        <v>76</v>
      </c>
      <c r="D1145" t="s">
        <v>386</v>
      </c>
    </row>
    <row r="1146" spans="1:4" x14ac:dyDescent="0.25">
      <c r="A1146" t="s">
        <v>64</v>
      </c>
      <c r="B1146" t="s">
        <v>385</v>
      </c>
      <c r="C1146">
        <v>8</v>
      </c>
      <c r="D1146" t="s">
        <v>386</v>
      </c>
    </row>
    <row r="1147" spans="1:4" x14ac:dyDescent="0.25">
      <c r="A1147" t="s">
        <v>66</v>
      </c>
      <c r="B1147" t="s">
        <v>385</v>
      </c>
      <c r="C1147">
        <v>41</v>
      </c>
      <c r="D1147" t="s">
        <v>386</v>
      </c>
    </row>
    <row r="1148" spans="1:4" x14ac:dyDescent="0.25">
      <c r="A1148" t="s">
        <v>68</v>
      </c>
      <c r="B1148" t="s">
        <v>385</v>
      </c>
      <c r="C1148">
        <v>61</v>
      </c>
      <c r="D1148" t="s">
        <v>386</v>
      </c>
    </row>
    <row r="1149" spans="1:4" x14ac:dyDescent="0.25">
      <c r="A1149" t="s">
        <v>69</v>
      </c>
      <c r="B1149" t="s">
        <v>385</v>
      </c>
      <c r="C1149">
        <v>3</v>
      </c>
      <c r="D1149" t="s">
        <v>386</v>
      </c>
    </row>
    <row r="1150" spans="1:4" x14ac:dyDescent="0.25">
      <c r="A1150" t="s">
        <v>70</v>
      </c>
      <c r="B1150" t="s">
        <v>385</v>
      </c>
      <c r="C1150">
        <v>173</v>
      </c>
      <c r="D1150" t="s">
        <v>386</v>
      </c>
    </row>
    <row r="1151" spans="1:4" x14ac:dyDescent="0.25">
      <c r="A1151" t="s">
        <v>74</v>
      </c>
      <c r="B1151" t="s">
        <v>385</v>
      </c>
      <c r="C1151">
        <v>66</v>
      </c>
      <c r="D1151" t="s">
        <v>386</v>
      </c>
    </row>
    <row r="1152" spans="1:4" x14ac:dyDescent="0.25">
      <c r="A1152" t="s">
        <v>75</v>
      </c>
      <c r="B1152" t="s">
        <v>385</v>
      </c>
      <c r="C1152">
        <v>54</v>
      </c>
      <c r="D1152" t="s">
        <v>386</v>
      </c>
    </row>
    <row r="1153" spans="1:4" x14ac:dyDescent="0.25">
      <c r="A1153" t="s">
        <v>76</v>
      </c>
      <c r="B1153" t="s">
        <v>385</v>
      </c>
      <c r="C1153">
        <v>10</v>
      </c>
      <c r="D1153" t="s">
        <v>386</v>
      </c>
    </row>
    <row r="1154" spans="1:4" x14ac:dyDescent="0.25">
      <c r="A1154" t="s">
        <v>81</v>
      </c>
      <c r="B1154" t="s">
        <v>385</v>
      </c>
      <c r="C1154">
        <v>7</v>
      </c>
      <c r="D1154" t="s">
        <v>386</v>
      </c>
    </row>
    <row r="1155" spans="1:4" x14ac:dyDescent="0.25">
      <c r="A1155" t="s">
        <v>82</v>
      </c>
      <c r="B1155" t="s">
        <v>385</v>
      </c>
      <c r="C1155">
        <v>670</v>
      </c>
      <c r="D1155" t="s">
        <v>386</v>
      </c>
    </row>
    <row r="1156" spans="1:4" x14ac:dyDescent="0.25">
      <c r="A1156" t="s">
        <v>83</v>
      </c>
      <c r="B1156" t="s">
        <v>385</v>
      </c>
      <c r="C1156">
        <v>586</v>
      </c>
      <c r="D1156" t="s">
        <v>386</v>
      </c>
    </row>
    <row r="1157" spans="1:4" x14ac:dyDescent="0.25">
      <c r="A1157" t="s">
        <v>85</v>
      </c>
      <c r="B1157" t="s">
        <v>385</v>
      </c>
      <c r="C1157">
        <v>144</v>
      </c>
      <c r="D1157" t="s">
        <v>386</v>
      </c>
    </row>
    <row r="1158" spans="1:4" x14ac:dyDescent="0.25">
      <c r="A1158" t="s">
        <v>87</v>
      </c>
      <c r="B1158" t="s">
        <v>385</v>
      </c>
      <c r="C1158">
        <v>225</v>
      </c>
      <c r="D1158" t="s">
        <v>386</v>
      </c>
    </row>
    <row r="1159" spans="1:4" x14ac:dyDescent="0.25">
      <c r="A1159" t="s">
        <v>89</v>
      </c>
      <c r="B1159" t="s">
        <v>385</v>
      </c>
      <c r="C1159">
        <v>150</v>
      </c>
      <c r="D1159" t="s">
        <v>386</v>
      </c>
    </row>
    <row r="1160" spans="1:4" x14ac:dyDescent="0.25">
      <c r="A1160" t="s">
        <v>90</v>
      </c>
      <c r="B1160" t="s">
        <v>385</v>
      </c>
      <c r="C1160">
        <v>8</v>
      </c>
      <c r="D1160" t="s">
        <v>386</v>
      </c>
    </row>
    <row r="1161" spans="1:4" x14ac:dyDescent="0.25">
      <c r="A1161" t="s">
        <v>7</v>
      </c>
      <c r="B1161" t="s">
        <v>387</v>
      </c>
      <c r="C1161">
        <v>5</v>
      </c>
      <c r="D1161" t="s">
        <v>388</v>
      </c>
    </row>
    <row r="1162" spans="1:4" x14ac:dyDescent="0.25">
      <c r="A1162" t="s">
        <v>27</v>
      </c>
      <c r="B1162" t="s">
        <v>387</v>
      </c>
      <c r="C1162">
        <v>45</v>
      </c>
      <c r="D1162" t="s">
        <v>388</v>
      </c>
    </row>
    <row r="1163" spans="1:4" x14ac:dyDescent="0.25">
      <c r="A1163" t="s">
        <v>57</v>
      </c>
      <c r="B1163" t="s">
        <v>387</v>
      </c>
      <c r="C1163">
        <v>72</v>
      </c>
      <c r="D1163" t="s">
        <v>388</v>
      </c>
    </row>
    <row r="1164" spans="1:4" x14ac:dyDescent="0.25">
      <c r="A1164" t="s">
        <v>61</v>
      </c>
      <c r="B1164" t="s">
        <v>387</v>
      </c>
      <c r="C1164">
        <v>63</v>
      </c>
      <c r="D1164" t="s">
        <v>388</v>
      </c>
    </row>
    <row r="1165" spans="1:4" x14ac:dyDescent="0.25">
      <c r="A1165" t="s">
        <v>88</v>
      </c>
      <c r="B1165" t="s">
        <v>387</v>
      </c>
      <c r="C1165">
        <v>8</v>
      </c>
      <c r="D1165" t="s">
        <v>388</v>
      </c>
    </row>
    <row r="1166" spans="1:4" x14ac:dyDescent="0.25">
      <c r="A1166" t="s">
        <v>23</v>
      </c>
      <c r="B1166" t="s">
        <v>389</v>
      </c>
      <c r="C1166">
        <v>11</v>
      </c>
      <c r="D1166" t="s">
        <v>390</v>
      </c>
    </row>
    <row r="1167" spans="1:4" x14ac:dyDescent="0.25">
      <c r="A1167" t="s">
        <v>30</v>
      </c>
      <c r="B1167" t="s">
        <v>389</v>
      </c>
      <c r="C1167">
        <v>11</v>
      </c>
      <c r="D1167" t="s">
        <v>390</v>
      </c>
    </row>
    <row r="1168" spans="1:4" x14ac:dyDescent="0.25">
      <c r="A1168" t="s">
        <v>31</v>
      </c>
      <c r="B1168" t="s">
        <v>389</v>
      </c>
      <c r="C1168">
        <v>20</v>
      </c>
      <c r="D1168" t="s">
        <v>390</v>
      </c>
    </row>
    <row r="1169" spans="1:4" x14ac:dyDescent="0.25">
      <c r="A1169" t="s">
        <v>35</v>
      </c>
      <c r="B1169" t="s">
        <v>391</v>
      </c>
      <c r="C1169">
        <v>27</v>
      </c>
      <c r="D1169" t="s">
        <v>392</v>
      </c>
    </row>
    <row r="1170" spans="1:4" x14ac:dyDescent="0.25">
      <c r="A1170" t="s">
        <v>86</v>
      </c>
      <c r="B1170" t="s">
        <v>391</v>
      </c>
      <c r="C1170">
        <v>9</v>
      </c>
      <c r="D1170" t="s">
        <v>392</v>
      </c>
    </row>
    <row r="1171" spans="1:4" x14ac:dyDescent="0.25">
      <c r="A1171" t="s">
        <v>50</v>
      </c>
      <c r="B1171" t="s">
        <v>393</v>
      </c>
      <c r="C1171">
        <v>56</v>
      </c>
      <c r="D1171" t="s">
        <v>394</v>
      </c>
    </row>
    <row r="1172" spans="1:4" x14ac:dyDescent="0.25">
      <c r="A1172" t="s">
        <v>71</v>
      </c>
      <c r="B1172" t="s">
        <v>393</v>
      </c>
      <c r="C1172">
        <v>6</v>
      </c>
      <c r="D1172" t="s">
        <v>394</v>
      </c>
    </row>
    <row r="1173" spans="1:4" x14ac:dyDescent="0.25">
      <c r="A1173" t="s">
        <v>74</v>
      </c>
      <c r="B1173" t="s">
        <v>393</v>
      </c>
      <c r="C1173">
        <v>3</v>
      </c>
      <c r="D1173" t="s">
        <v>394</v>
      </c>
    </row>
    <row r="1174" spans="1:4" x14ac:dyDescent="0.25">
      <c r="A1174" t="s">
        <v>6</v>
      </c>
      <c r="B1174" t="s">
        <v>395</v>
      </c>
      <c r="C1174">
        <v>107</v>
      </c>
      <c r="D1174" t="s">
        <v>396</v>
      </c>
    </row>
    <row r="1175" spans="1:4" x14ac:dyDescent="0.25">
      <c r="A1175" t="s">
        <v>7</v>
      </c>
      <c r="B1175" t="s">
        <v>395</v>
      </c>
      <c r="C1175">
        <v>11</v>
      </c>
      <c r="D1175" t="s">
        <v>396</v>
      </c>
    </row>
    <row r="1176" spans="1:4" x14ac:dyDescent="0.25">
      <c r="A1176" t="s">
        <v>11</v>
      </c>
      <c r="B1176" t="s">
        <v>397</v>
      </c>
      <c r="C1176">
        <v>22</v>
      </c>
      <c r="D1176" t="s">
        <v>396</v>
      </c>
    </row>
    <row r="1177" spans="1:4" x14ac:dyDescent="0.25">
      <c r="A1177" t="s">
        <v>11</v>
      </c>
      <c r="B1177" t="s">
        <v>395</v>
      </c>
      <c r="C1177">
        <v>16</v>
      </c>
      <c r="D1177" t="s">
        <v>396</v>
      </c>
    </row>
    <row r="1178" spans="1:4" x14ac:dyDescent="0.25">
      <c r="A1178" t="s">
        <v>16</v>
      </c>
      <c r="B1178" t="s">
        <v>395</v>
      </c>
      <c r="C1178">
        <v>8</v>
      </c>
      <c r="D1178" t="s">
        <v>396</v>
      </c>
    </row>
    <row r="1179" spans="1:4" x14ac:dyDescent="0.25">
      <c r="A1179" t="s">
        <v>40</v>
      </c>
      <c r="B1179" t="s">
        <v>395</v>
      </c>
      <c r="C1179">
        <v>6</v>
      </c>
      <c r="D1179" t="s">
        <v>396</v>
      </c>
    </row>
    <row r="1180" spans="1:4" x14ac:dyDescent="0.25">
      <c r="A1180" t="s">
        <v>45</v>
      </c>
      <c r="B1180" t="s">
        <v>395</v>
      </c>
      <c r="C1180">
        <v>9</v>
      </c>
      <c r="D1180" t="s">
        <v>396</v>
      </c>
    </row>
    <row r="1181" spans="1:4" x14ac:dyDescent="0.25">
      <c r="A1181" t="s">
        <v>53</v>
      </c>
      <c r="B1181" t="s">
        <v>395</v>
      </c>
      <c r="C1181">
        <v>21</v>
      </c>
      <c r="D1181" t="s">
        <v>396</v>
      </c>
    </row>
    <row r="1182" spans="1:4" x14ac:dyDescent="0.25">
      <c r="A1182" t="s">
        <v>57</v>
      </c>
      <c r="B1182" t="s">
        <v>395</v>
      </c>
      <c r="C1182">
        <v>57</v>
      </c>
      <c r="D1182" t="s">
        <v>396</v>
      </c>
    </row>
    <row r="1183" spans="1:4" x14ac:dyDescent="0.25">
      <c r="A1183" t="s">
        <v>65</v>
      </c>
      <c r="B1183" t="s">
        <v>397</v>
      </c>
      <c r="C1183">
        <v>3</v>
      </c>
      <c r="D1183" t="s">
        <v>396</v>
      </c>
    </row>
    <row r="1184" spans="1:4" x14ac:dyDescent="0.25">
      <c r="A1184" t="s">
        <v>66</v>
      </c>
      <c r="B1184" t="s">
        <v>395</v>
      </c>
      <c r="C1184">
        <v>6</v>
      </c>
      <c r="D1184" t="s">
        <v>396</v>
      </c>
    </row>
    <row r="1185" spans="1:4" x14ac:dyDescent="0.25">
      <c r="A1185" t="s">
        <v>68</v>
      </c>
      <c r="B1185" t="s">
        <v>395</v>
      </c>
      <c r="C1185">
        <v>91</v>
      </c>
      <c r="D1185" t="s">
        <v>396</v>
      </c>
    </row>
    <row r="1186" spans="1:4" x14ac:dyDescent="0.25">
      <c r="A1186" t="s">
        <v>69</v>
      </c>
      <c r="B1186" t="s">
        <v>395</v>
      </c>
      <c r="C1186">
        <v>18</v>
      </c>
      <c r="D1186" t="s">
        <v>396</v>
      </c>
    </row>
    <row r="1187" spans="1:4" x14ac:dyDescent="0.25">
      <c r="A1187" t="s">
        <v>76</v>
      </c>
      <c r="B1187" t="s">
        <v>395</v>
      </c>
      <c r="C1187">
        <v>10</v>
      </c>
      <c r="D1187" t="s">
        <v>396</v>
      </c>
    </row>
    <row r="1188" spans="1:4" x14ac:dyDescent="0.25">
      <c r="A1188" t="s">
        <v>77</v>
      </c>
      <c r="B1188" t="s">
        <v>395</v>
      </c>
      <c r="C1188">
        <v>4</v>
      </c>
      <c r="D1188" t="s">
        <v>396</v>
      </c>
    </row>
    <row r="1189" spans="1:4" x14ac:dyDescent="0.25">
      <c r="A1189" t="s">
        <v>78</v>
      </c>
      <c r="B1189" t="s">
        <v>395</v>
      </c>
      <c r="C1189">
        <v>105</v>
      </c>
      <c r="D1189" t="s">
        <v>396</v>
      </c>
    </row>
    <row r="1190" spans="1:4" x14ac:dyDescent="0.25">
      <c r="A1190" t="s">
        <v>84</v>
      </c>
      <c r="B1190" t="s">
        <v>395</v>
      </c>
      <c r="C1190">
        <v>5</v>
      </c>
      <c r="D1190" t="s">
        <v>396</v>
      </c>
    </row>
    <row r="1191" spans="1:4" x14ac:dyDescent="0.25">
      <c r="A1191" t="s">
        <v>90</v>
      </c>
      <c r="B1191" t="s">
        <v>395</v>
      </c>
      <c r="C1191">
        <v>19</v>
      </c>
      <c r="D1191" t="s">
        <v>396</v>
      </c>
    </row>
    <row r="1192" spans="1:4" x14ac:dyDescent="0.25">
      <c r="A1192" t="s">
        <v>26</v>
      </c>
      <c r="B1192" t="s">
        <v>398</v>
      </c>
      <c r="C1192">
        <v>2</v>
      </c>
      <c r="D1192" t="s">
        <v>399</v>
      </c>
    </row>
    <row r="1193" spans="1:4" x14ac:dyDescent="0.25">
      <c r="A1193" t="s">
        <v>34</v>
      </c>
      <c r="B1193" t="s">
        <v>398</v>
      </c>
      <c r="C1193">
        <v>5</v>
      </c>
      <c r="D1193" t="s">
        <v>399</v>
      </c>
    </row>
    <row r="1194" spans="1:4" x14ac:dyDescent="0.25">
      <c r="A1194" t="s">
        <v>42</v>
      </c>
      <c r="B1194" t="s">
        <v>398</v>
      </c>
      <c r="C1194">
        <v>531</v>
      </c>
      <c r="D1194" t="s">
        <v>399</v>
      </c>
    </row>
    <row r="1195" spans="1:4" x14ac:dyDescent="0.25">
      <c r="A1195" t="s">
        <v>6</v>
      </c>
      <c r="B1195" t="s">
        <v>400</v>
      </c>
      <c r="C1195">
        <v>178</v>
      </c>
      <c r="D1195" t="s">
        <v>401</v>
      </c>
    </row>
    <row r="1196" spans="1:4" x14ac:dyDescent="0.25">
      <c r="A1196" t="s">
        <v>6</v>
      </c>
      <c r="B1196" t="s">
        <v>402</v>
      </c>
      <c r="C1196">
        <v>152</v>
      </c>
      <c r="D1196" t="s">
        <v>401</v>
      </c>
    </row>
    <row r="1197" spans="1:4" x14ac:dyDescent="0.25">
      <c r="A1197" t="s">
        <v>6</v>
      </c>
      <c r="B1197" t="s">
        <v>403</v>
      </c>
      <c r="C1197">
        <v>124</v>
      </c>
      <c r="D1197" t="s">
        <v>401</v>
      </c>
    </row>
    <row r="1198" spans="1:4" x14ac:dyDescent="0.25">
      <c r="A1198" t="s">
        <v>6</v>
      </c>
      <c r="B1198" t="s">
        <v>404</v>
      </c>
      <c r="C1198">
        <v>112</v>
      </c>
      <c r="D1198" t="s">
        <v>401</v>
      </c>
    </row>
    <row r="1199" spans="1:4" x14ac:dyDescent="0.25">
      <c r="A1199" t="s">
        <v>6</v>
      </c>
      <c r="B1199" t="s">
        <v>405</v>
      </c>
      <c r="C1199">
        <v>87</v>
      </c>
      <c r="D1199" t="s">
        <v>401</v>
      </c>
    </row>
    <row r="1200" spans="1:4" x14ac:dyDescent="0.25">
      <c r="A1200" t="s">
        <v>6</v>
      </c>
      <c r="B1200" t="s">
        <v>406</v>
      </c>
      <c r="C1200">
        <v>66</v>
      </c>
      <c r="D1200" t="s">
        <v>401</v>
      </c>
    </row>
    <row r="1201" spans="1:4" x14ac:dyDescent="0.25">
      <c r="A1201" t="s">
        <v>6</v>
      </c>
      <c r="B1201" t="s">
        <v>407</v>
      </c>
      <c r="C1201">
        <v>24</v>
      </c>
      <c r="D1201" t="s">
        <v>401</v>
      </c>
    </row>
    <row r="1202" spans="1:4" x14ac:dyDescent="0.25">
      <c r="A1202" t="s">
        <v>7</v>
      </c>
      <c r="B1202" t="s">
        <v>408</v>
      </c>
      <c r="C1202">
        <v>31</v>
      </c>
      <c r="D1202" t="s">
        <v>401</v>
      </c>
    </row>
    <row r="1203" spans="1:4" x14ac:dyDescent="0.25">
      <c r="A1203" t="s">
        <v>7</v>
      </c>
      <c r="B1203" t="s">
        <v>409</v>
      </c>
      <c r="C1203">
        <v>23</v>
      </c>
      <c r="D1203" t="s">
        <v>401</v>
      </c>
    </row>
    <row r="1204" spans="1:4" x14ac:dyDescent="0.25">
      <c r="A1204" t="s">
        <v>7</v>
      </c>
      <c r="B1204" t="s">
        <v>400</v>
      </c>
      <c r="C1204">
        <v>17</v>
      </c>
      <c r="D1204" t="s">
        <v>401</v>
      </c>
    </row>
    <row r="1205" spans="1:4" x14ac:dyDescent="0.25">
      <c r="A1205" t="s">
        <v>7</v>
      </c>
      <c r="B1205" t="s">
        <v>403</v>
      </c>
      <c r="C1205">
        <v>13</v>
      </c>
      <c r="D1205" t="s">
        <v>401</v>
      </c>
    </row>
    <row r="1206" spans="1:4" x14ac:dyDescent="0.25">
      <c r="A1206" t="s">
        <v>7</v>
      </c>
      <c r="B1206" t="s">
        <v>410</v>
      </c>
      <c r="C1206">
        <v>8</v>
      </c>
      <c r="D1206" t="s">
        <v>401</v>
      </c>
    </row>
    <row r="1207" spans="1:4" x14ac:dyDescent="0.25">
      <c r="A1207" t="s">
        <v>10</v>
      </c>
      <c r="B1207" t="s">
        <v>400</v>
      </c>
      <c r="C1207">
        <v>102</v>
      </c>
      <c r="D1207" t="s">
        <v>401</v>
      </c>
    </row>
    <row r="1208" spans="1:4" x14ac:dyDescent="0.25">
      <c r="A1208" t="s">
        <v>10</v>
      </c>
      <c r="B1208" t="s">
        <v>408</v>
      </c>
      <c r="C1208">
        <v>89</v>
      </c>
      <c r="D1208" t="s">
        <v>401</v>
      </c>
    </row>
    <row r="1209" spans="1:4" x14ac:dyDescent="0.25">
      <c r="A1209" t="s">
        <v>10</v>
      </c>
      <c r="B1209" t="s">
        <v>411</v>
      </c>
      <c r="C1209">
        <v>75</v>
      </c>
      <c r="D1209" t="s">
        <v>401</v>
      </c>
    </row>
    <row r="1210" spans="1:4" x14ac:dyDescent="0.25">
      <c r="A1210" t="s">
        <v>11</v>
      </c>
      <c r="B1210" t="s">
        <v>412</v>
      </c>
      <c r="C1210">
        <v>274</v>
      </c>
      <c r="D1210" t="s">
        <v>401</v>
      </c>
    </row>
    <row r="1211" spans="1:4" x14ac:dyDescent="0.25">
      <c r="A1211" t="s">
        <v>11</v>
      </c>
      <c r="B1211" t="s">
        <v>413</v>
      </c>
      <c r="C1211">
        <v>15</v>
      </c>
      <c r="D1211" t="s">
        <v>401</v>
      </c>
    </row>
    <row r="1212" spans="1:4" x14ac:dyDescent="0.25">
      <c r="A1212" t="s">
        <v>11</v>
      </c>
      <c r="B1212" t="s">
        <v>400</v>
      </c>
      <c r="C1212">
        <v>9</v>
      </c>
      <c r="D1212" t="s">
        <v>401</v>
      </c>
    </row>
    <row r="1213" spans="1:4" x14ac:dyDescent="0.25">
      <c r="A1213" t="s">
        <v>11</v>
      </c>
      <c r="B1213" t="s">
        <v>414</v>
      </c>
      <c r="C1213">
        <v>7</v>
      </c>
      <c r="D1213" t="s">
        <v>401</v>
      </c>
    </row>
    <row r="1214" spans="1:4" x14ac:dyDescent="0.25">
      <c r="A1214" t="s">
        <v>12</v>
      </c>
      <c r="B1214" t="s">
        <v>400</v>
      </c>
      <c r="C1214">
        <v>253</v>
      </c>
      <c r="D1214" t="s">
        <v>401</v>
      </c>
    </row>
    <row r="1215" spans="1:4" x14ac:dyDescent="0.25">
      <c r="A1215" t="s">
        <v>12</v>
      </c>
      <c r="B1215" t="s">
        <v>411</v>
      </c>
      <c r="C1215">
        <v>156</v>
      </c>
      <c r="D1215" t="s">
        <v>401</v>
      </c>
    </row>
    <row r="1216" spans="1:4" x14ac:dyDescent="0.25">
      <c r="A1216" t="s">
        <v>12</v>
      </c>
      <c r="B1216" t="s">
        <v>415</v>
      </c>
      <c r="C1216">
        <v>131</v>
      </c>
      <c r="D1216" t="s">
        <v>401</v>
      </c>
    </row>
    <row r="1217" spans="1:4" x14ac:dyDescent="0.25">
      <c r="A1217" t="s">
        <v>12</v>
      </c>
      <c r="B1217" t="s">
        <v>405</v>
      </c>
      <c r="C1217">
        <v>83</v>
      </c>
      <c r="D1217" t="s">
        <v>401</v>
      </c>
    </row>
    <row r="1218" spans="1:4" x14ac:dyDescent="0.25">
      <c r="A1218" t="s">
        <v>12</v>
      </c>
      <c r="B1218" t="s">
        <v>406</v>
      </c>
      <c r="C1218">
        <v>66</v>
      </c>
      <c r="D1218" t="s">
        <v>401</v>
      </c>
    </row>
    <row r="1219" spans="1:4" x14ac:dyDescent="0.25">
      <c r="A1219" t="s">
        <v>12</v>
      </c>
      <c r="B1219" t="s">
        <v>416</v>
      </c>
      <c r="C1219">
        <v>47</v>
      </c>
      <c r="D1219" t="s">
        <v>401</v>
      </c>
    </row>
    <row r="1220" spans="1:4" x14ac:dyDescent="0.25">
      <c r="A1220" t="s">
        <v>14</v>
      </c>
      <c r="B1220" t="s">
        <v>417</v>
      </c>
      <c r="C1220">
        <v>17</v>
      </c>
      <c r="D1220" t="s">
        <v>401</v>
      </c>
    </row>
    <row r="1221" spans="1:4" x14ac:dyDescent="0.25">
      <c r="A1221" t="s">
        <v>14</v>
      </c>
      <c r="B1221" t="s">
        <v>418</v>
      </c>
      <c r="C1221">
        <v>6</v>
      </c>
      <c r="D1221" t="s">
        <v>401</v>
      </c>
    </row>
    <row r="1222" spans="1:4" x14ac:dyDescent="0.25">
      <c r="A1222" t="s">
        <v>15</v>
      </c>
      <c r="B1222" t="s">
        <v>419</v>
      </c>
      <c r="C1222">
        <v>134</v>
      </c>
      <c r="D1222" t="s">
        <v>401</v>
      </c>
    </row>
    <row r="1223" spans="1:4" x14ac:dyDescent="0.25">
      <c r="A1223" t="s">
        <v>15</v>
      </c>
      <c r="B1223" t="s">
        <v>420</v>
      </c>
      <c r="C1223">
        <v>47</v>
      </c>
      <c r="D1223" t="s">
        <v>401</v>
      </c>
    </row>
    <row r="1224" spans="1:4" x14ac:dyDescent="0.25">
      <c r="A1224" t="s">
        <v>15</v>
      </c>
      <c r="B1224" t="s">
        <v>421</v>
      </c>
      <c r="C1224">
        <v>15</v>
      </c>
      <c r="D1224" t="s">
        <v>401</v>
      </c>
    </row>
    <row r="1225" spans="1:4" x14ac:dyDescent="0.25">
      <c r="A1225" t="s">
        <v>16</v>
      </c>
      <c r="B1225" t="s">
        <v>422</v>
      </c>
      <c r="C1225">
        <v>68</v>
      </c>
      <c r="D1225" t="s">
        <v>401</v>
      </c>
    </row>
    <row r="1226" spans="1:4" x14ac:dyDescent="0.25">
      <c r="A1226" t="s">
        <v>16</v>
      </c>
      <c r="B1226" t="s">
        <v>420</v>
      </c>
      <c r="C1226">
        <v>39</v>
      </c>
      <c r="D1226" t="s">
        <v>401</v>
      </c>
    </row>
    <row r="1227" spans="1:4" x14ac:dyDescent="0.25">
      <c r="A1227" t="s">
        <v>16</v>
      </c>
      <c r="B1227" t="s">
        <v>419</v>
      </c>
      <c r="C1227">
        <v>36</v>
      </c>
      <c r="D1227" t="s">
        <v>401</v>
      </c>
    </row>
    <row r="1228" spans="1:4" x14ac:dyDescent="0.25">
      <c r="A1228" t="s">
        <v>16</v>
      </c>
      <c r="B1228" t="s">
        <v>421</v>
      </c>
      <c r="C1228">
        <v>11</v>
      </c>
      <c r="D1228" t="s">
        <v>401</v>
      </c>
    </row>
    <row r="1229" spans="1:4" x14ac:dyDescent="0.25">
      <c r="A1229" t="s">
        <v>16</v>
      </c>
      <c r="B1229" t="s">
        <v>423</v>
      </c>
      <c r="C1229">
        <v>6</v>
      </c>
      <c r="D1229" t="s">
        <v>401</v>
      </c>
    </row>
    <row r="1230" spans="1:4" x14ac:dyDescent="0.25">
      <c r="A1230" t="s">
        <v>16</v>
      </c>
      <c r="B1230" t="s">
        <v>402</v>
      </c>
      <c r="C1230">
        <v>3</v>
      </c>
      <c r="D1230" t="s">
        <v>401</v>
      </c>
    </row>
    <row r="1231" spans="1:4" x14ac:dyDescent="0.25">
      <c r="A1231" t="s">
        <v>18</v>
      </c>
      <c r="B1231" t="s">
        <v>419</v>
      </c>
      <c r="C1231">
        <v>165</v>
      </c>
      <c r="D1231" t="s">
        <v>401</v>
      </c>
    </row>
    <row r="1232" spans="1:4" x14ac:dyDescent="0.25">
      <c r="A1232" t="s">
        <v>18</v>
      </c>
      <c r="B1232" t="s">
        <v>421</v>
      </c>
      <c r="C1232">
        <v>3</v>
      </c>
      <c r="D1232" t="s">
        <v>401</v>
      </c>
    </row>
    <row r="1233" spans="1:4" x14ac:dyDescent="0.25">
      <c r="A1233" t="s">
        <v>19</v>
      </c>
      <c r="B1233" t="s">
        <v>419</v>
      </c>
      <c r="C1233">
        <v>19</v>
      </c>
      <c r="D1233" t="s">
        <v>401</v>
      </c>
    </row>
    <row r="1234" spans="1:4" x14ac:dyDescent="0.25">
      <c r="A1234" t="s">
        <v>20</v>
      </c>
      <c r="B1234" t="s">
        <v>424</v>
      </c>
      <c r="C1234">
        <v>2032</v>
      </c>
      <c r="D1234" t="s">
        <v>401</v>
      </c>
    </row>
    <row r="1235" spans="1:4" x14ac:dyDescent="0.25">
      <c r="A1235" t="s">
        <v>20</v>
      </c>
      <c r="B1235" t="s">
        <v>425</v>
      </c>
      <c r="C1235">
        <v>147</v>
      </c>
      <c r="D1235" t="s">
        <v>401</v>
      </c>
    </row>
    <row r="1236" spans="1:4" x14ac:dyDescent="0.25">
      <c r="A1236" t="s">
        <v>20</v>
      </c>
      <c r="B1236" t="s">
        <v>426</v>
      </c>
      <c r="C1236">
        <v>15</v>
      </c>
      <c r="D1236" t="s">
        <v>401</v>
      </c>
    </row>
    <row r="1237" spans="1:4" x14ac:dyDescent="0.25">
      <c r="A1237" t="s">
        <v>23</v>
      </c>
      <c r="B1237" t="s">
        <v>422</v>
      </c>
      <c r="C1237">
        <v>25</v>
      </c>
      <c r="D1237" t="s">
        <v>401</v>
      </c>
    </row>
    <row r="1238" spans="1:4" x14ac:dyDescent="0.25">
      <c r="A1238" t="s">
        <v>24</v>
      </c>
      <c r="B1238" t="s">
        <v>420</v>
      </c>
      <c r="C1238">
        <v>51</v>
      </c>
      <c r="D1238" t="s">
        <v>401</v>
      </c>
    </row>
    <row r="1239" spans="1:4" x14ac:dyDescent="0.25">
      <c r="A1239" t="s">
        <v>24</v>
      </c>
      <c r="B1239" t="s">
        <v>421</v>
      </c>
      <c r="C1239">
        <v>3</v>
      </c>
      <c r="D1239" t="s">
        <v>401</v>
      </c>
    </row>
    <row r="1240" spans="1:4" x14ac:dyDescent="0.25">
      <c r="A1240" t="s">
        <v>25</v>
      </c>
      <c r="B1240" t="s">
        <v>421</v>
      </c>
      <c r="C1240">
        <v>23</v>
      </c>
      <c r="D1240" t="s">
        <v>401</v>
      </c>
    </row>
    <row r="1241" spans="1:4" x14ac:dyDescent="0.25">
      <c r="A1241" t="s">
        <v>25</v>
      </c>
      <c r="B1241" t="s">
        <v>418</v>
      </c>
      <c r="C1241">
        <v>3</v>
      </c>
      <c r="D1241" t="s">
        <v>401</v>
      </c>
    </row>
    <row r="1242" spans="1:4" x14ac:dyDescent="0.25">
      <c r="A1242" t="s">
        <v>27</v>
      </c>
      <c r="B1242" t="s">
        <v>427</v>
      </c>
      <c r="C1242">
        <v>1484</v>
      </c>
      <c r="D1242" t="s">
        <v>401</v>
      </c>
    </row>
    <row r="1243" spans="1:4" x14ac:dyDescent="0.25">
      <c r="A1243" t="s">
        <v>27</v>
      </c>
      <c r="B1243" t="s">
        <v>410</v>
      </c>
      <c r="C1243">
        <v>139</v>
      </c>
      <c r="D1243" t="s">
        <v>401</v>
      </c>
    </row>
    <row r="1244" spans="1:4" x14ac:dyDescent="0.25">
      <c r="A1244" t="s">
        <v>27</v>
      </c>
      <c r="B1244" t="s">
        <v>403</v>
      </c>
      <c r="C1244">
        <v>57</v>
      </c>
      <c r="D1244" t="s">
        <v>401</v>
      </c>
    </row>
    <row r="1245" spans="1:4" x14ac:dyDescent="0.25">
      <c r="A1245" t="s">
        <v>27</v>
      </c>
      <c r="B1245" t="s">
        <v>405</v>
      </c>
      <c r="C1245">
        <v>56</v>
      </c>
      <c r="D1245" t="s">
        <v>401</v>
      </c>
    </row>
    <row r="1246" spans="1:4" x14ac:dyDescent="0.25">
      <c r="A1246" t="s">
        <v>28</v>
      </c>
      <c r="B1246" t="s">
        <v>428</v>
      </c>
      <c r="C1246">
        <v>59</v>
      </c>
      <c r="D1246" t="s">
        <v>401</v>
      </c>
    </row>
    <row r="1247" spans="1:4" x14ac:dyDescent="0.25">
      <c r="A1247" t="s">
        <v>28</v>
      </c>
      <c r="B1247" t="s">
        <v>421</v>
      </c>
      <c r="C1247">
        <v>7</v>
      </c>
      <c r="D1247" t="s">
        <v>401</v>
      </c>
    </row>
    <row r="1248" spans="1:4" x14ac:dyDescent="0.25">
      <c r="A1248" t="s">
        <v>28</v>
      </c>
      <c r="B1248" t="s">
        <v>412</v>
      </c>
      <c r="C1248">
        <v>2</v>
      </c>
      <c r="D1248" t="s">
        <v>401</v>
      </c>
    </row>
    <row r="1249" spans="1:4" x14ac:dyDescent="0.25">
      <c r="A1249" t="s">
        <v>29</v>
      </c>
      <c r="B1249" t="s">
        <v>419</v>
      </c>
      <c r="C1249">
        <v>16</v>
      </c>
      <c r="D1249" t="s">
        <v>401</v>
      </c>
    </row>
    <row r="1250" spans="1:4" x14ac:dyDescent="0.25">
      <c r="A1250" t="s">
        <v>29</v>
      </c>
      <c r="B1250" t="s">
        <v>411</v>
      </c>
      <c r="C1250">
        <v>6</v>
      </c>
      <c r="D1250" t="s">
        <v>401</v>
      </c>
    </row>
    <row r="1251" spans="1:4" x14ac:dyDescent="0.25">
      <c r="A1251" t="s">
        <v>29</v>
      </c>
      <c r="B1251" t="s">
        <v>421</v>
      </c>
      <c r="C1251">
        <v>3</v>
      </c>
      <c r="D1251" t="s">
        <v>401</v>
      </c>
    </row>
    <row r="1252" spans="1:4" x14ac:dyDescent="0.25">
      <c r="A1252" t="s">
        <v>30</v>
      </c>
      <c r="B1252" t="s">
        <v>422</v>
      </c>
      <c r="C1252">
        <v>158</v>
      </c>
      <c r="D1252" t="s">
        <v>401</v>
      </c>
    </row>
    <row r="1253" spans="1:4" x14ac:dyDescent="0.25">
      <c r="A1253" t="s">
        <v>30</v>
      </c>
      <c r="B1253" t="s">
        <v>405</v>
      </c>
      <c r="C1253">
        <v>4</v>
      </c>
      <c r="D1253" t="s">
        <v>401</v>
      </c>
    </row>
    <row r="1254" spans="1:4" x14ac:dyDescent="0.25">
      <c r="A1254" t="s">
        <v>33</v>
      </c>
      <c r="B1254" t="s">
        <v>420</v>
      </c>
      <c r="C1254">
        <v>33</v>
      </c>
      <c r="D1254" t="s">
        <v>401</v>
      </c>
    </row>
    <row r="1255" spans="1:4" x14ac:dyDescent="0.25">
      <c r="A1255" t="s">
        <v>34</v>
      </c>
      <c r="B1255" t="s">
        <v>427</v>
      </c>
      <c r="C1255">
        <v>265</v>
      </c>
      <c r="D1255" t="s">
        <v>401</v>
      </c>
    </row>
    <row r="1256" spans="1:4" x14ac:dyDescent="0.25">
      <c r="A1256" t="s">
        <v>34</v>
      </c>
      <c r="B1256" t="s">
        <v>421</v>
      </c>
      <c r="C1256">
        <v>7</v>
      </c>
      <c r="D1256" t="s">
        <v>401</v>
      </c>
    </row>
    <row r="1257" spans="1:4" x14ac:dyDescent="0.25">
      <c r="A1257" t="s">
        <v>34</v>
      </c>
      <c r="B1257" t="s">
        <v>412</v>
      </c>
      <c r="C1257">
        <v>3</v>
      </c>
      <c r="D1257" t="s">
        <v>401</v>
      </c>
    </row>
    <row r="1258" spans="1:4" x14ac:dyDescent="0.25">
      <c r="A1258" t="s">
        <v>35</v>
      </c>
      <c r="B1258" t="s">
        <v>429</v>
      </c>
      <c r="C1258">
        <v>71</v>
      </c>
      <c r="D1258" t="s">
        <v>401</v>
      </c>
    </row>
    <row r="1259" spans="1:4" x14ac:dyDescent="0.25">
      <c r="A1259" t="s">
        <v>35</v>
      </c>
      <c r="B1259" t="s">
        <v>430</v>
      </c>
      <c r="C1259">
        <v>70</v>
      </c>
      <c r="D1259" t="s">
        <v>401</v>
      </c>
    </row>
    <row r="1260" spans="1:4" x14ac:dyDescent="0.25">
      <c r="A1260" t="s">
        <v>35</v>
      </c>
      <c r="B1260" t="s">
        <v>431</v>
      </c>
      <c r="C1260">
        <v>32</v>
      </c>
      <c r="D1260" t="s">
        <v>401</v>
      </c>
    </row>
    <row r="1261" spans="1:4" x14ac:dyDescent="0.25">
      <c r="A1261" t="s">
        <v>35</v>
      </c>
      <c r="B1261" t="s">
        <v>411</v>
      </c>
      <c r="C1261">
        <v>31</v>
      </c>
      <c r="D1261" t="s">
        <v>401</v>
      </c>
    </row>
    <row r="1262" spans="1:4" x14ac:dyDescent="0.25">
      <c r="A1262" t="s">
        <v>37</v>
      </c>
      <c r="B1262" t="s">
        <v>421</v>
      </c>
      <c r="C1262">
        <v>3</v>
      </c>
      <c r="D1262" t="s">
        <v>401</v>
      </c>
    </row>
    <row r="1263" spans="1:4" x14ac:dyDescent="0.25">
      <c r="A1263" t="s">
        <v>37</v>
      </c>
      <c r="B1263" t="s">
        <v>418</v>
      </c>
      <c r="C1263">
        <v>2</v>
      </c>
      <c r="D1263" t="s">
        <v>401</v>
      </c>
    </row>
    <row r="1264" spans="1:4" x14ac:dyDescent="0.25">
      <c r="A1264" t="s">
        <v>38</v>
      </c>
      <c r="B1264" t="s">
        <v>419</v>
      </c>
      <c r="C1264">
        <v>72</v>
      </c>
      <c r="D1264" t="s">
        <v>401</v>
      </c>
    </row>
    <row r="1265" spans="1:4" x14ac:dyDescent="0.25">
      <c r="A1265" t="s">
        <v>38</v>
      </c>
      <c r="B1265" t="s">
        <v>417</v>
      </c>
      <c r="C1265">
        <v>5</v>
      </c>
      <c r="D1265" t="s">
        <v>401</v>
      </c>
    </row>
    <row r="1266" spans="1:4" x14ac:dyDescent="0.25">
      <c r="A1266" t="s">
        <v>38</v>
      </c>
      <c r="B1266" t="s">
        <v>430</v>
      </c>
      <c r="C1266">
        <v>3</v>
      </c>
      <c r="D1266" t="s">
        <v>401</v>
      </c>
    </row>
    <row r="1267" spans="1:4" x14ac:dyDescent="0.25">
      <c r="A1267" t="s">
        <v>39</v>
      </c>
      <c r="B1267" t="s">
        <v>424</v>
      </c>
      <c r="C1267">
        <v>55</v>
      </c>
      <c r="D1267" t="s">
        <v>401</v>
      </c>
    </row>
    <row r="1268" spans="1:4" x14ac:dyDescent="0.25">
      <c r="A1268" t="s">
        <v>39</v>
      </c>
      <c r="B1268" t="s">
        <v>432</v>
      </c>
      <c r="C1268">
        <v>19</v>
      </c>
      <c r="D1268" t="s">
        <v>401</v>
      </c>
    </row>
    <row r="1269" spans="1:4" x14ac:dyDescent="0.25">
      <c r="A1269" t="s">
        <v>40</v>
      </c>
      <c r="B1269" t="s">
        <v>427</v>
      </c>
      <c r="C1269">
        <v>17</v>
      </c>
      <c r="D1269" t="s">
        <v>401</v>
      </c>
    </row>
    <row r="1270" spans="1:4" x14ac:dyDescent="0.25">
      <c r="A1270" t="s">
        <v>40</v>
      </c>
      <c r="B1270" t="s">
        <v>423</v>
      </c>
      <c r="C1270">
        <v>16</v>
      </c>
      <c r="D1270" t="s">
        <v>401</v>
      </c>
    </row>
    <row r="1271" spans="1:4" x14ac:dyDescent="0.25">
      <c r="A1271" t="s">
        <v>40</v>
      </c>
      <c r="B1271" t="s">
        <v>421</v>
      </c>
      <c r="C1271">
        <v>10</v>
      </c>
      <c r="D1271" t="s">
        <v>401</v>
      </c>
    </row>
    <row r="1272" spans="1:4" x14ac:dyDescent="0.25">
      <c r="A1272" t="s">
        <v>40</v>
      </c>
      <c r="B1272" t="s">
        <v>433</v>
      </c>
      <c r="C1272">
        <v>6</v>
      </c>
      <c r="D1272" t="s">
        <v>401</v>
      </c>
    </row>
    <row r="1273" spans="1:4" x14ac:dyDescent="0.25">
      <c r="A1273" t="s">
        <v>40</v>
      </c>
      <c r="B1273" t="s">
        <v>434</v>
      </c>
      <c r="C1273">
        <v>5</v>
      </c>
      <c r="D1273" t="s">
        <v>401</v>
      </c>
    </row>
    <row r="1274" spans="1:4" x14ac:dyDescent="0.25">
      <c r="A1274" t="s">
        <v>41</v>
      </c>
      <c r="B1274" t="s">
        <v>425</v>
      </c>
      <c r="C1274">
        <v>797</v>
      </c>
      <c r="D1274" t="s">
        <v>401</v>
      </c>
    </row>
    <row r="1275" spans="1:4" x14ac:dyDescent="0.25">
      <c r="A1275" t="s">
        <v>41</v>
      </c>
      <c r="B1275" t="s">
        <v>405</v>
      </c>
      <c r="C1275">
        <v>2</v>
      </c>
      <c r="D1275" t="s">
        <v>401</v>
      </c>
    </row>
    <row r="1276" spans="1:4" x14ac:dyDescent="0.25">
      <c r="A1276" t="s">
        <v>42</v>
      </c>
      <c r="B1276" t="s">
        <v>419</v>
      </c>
      <c r="C1276">
        <v>33</v>
      </c>
      <c r="D1276" t="s">
        <v>401</v>
      </c>
    </row>
    <row r="1277" spans="1:4" x14ac:dyDescent="0.25">
      <c r="A1277" t="s">
        <v>42</v>
      </c>
      <c r="B1277" t="s">
        <v>435</v>
      </c>
      <c r="C1277">
        <v>14</v>
      </c>
      <c r="D1277" t="s">
        <v>401</v>
      </c>
    </row>
    <row r="1278" spans="1:4" x14ac:dyDescent="0.25">
      <c r="A1278" t="s">
        <v>42</v>
      </c>
      <c r="B1278" t="s">
        <v>434</v>
      </c>
      <c r="C1278">
        <v>6</v>
      </c>
      <c r="D1278" t="s">
        <v>401</v>
      </c>
    </row>
    <row r="1279" spans="1:4" x14ac:dyDescent="0.25">
      <c r="A1279" t="s">
        <v>42</v>
      </c>
      <c r="B1279" t="s">
        <v>404</v>
      </c>
      <c r="C1279">
        <v>3</v>
      </c>
      <c r="D1279" t="s">
        <v>401</v>
      </c>
    </row>
    <row r="1280" spans="1:4" x14ac:dyDescent="0.25">
      <c r="A1280" t="s">
        <v>42</v>
      </c>
      <c r="B1280" t="s">
        <v>409</v>
      </c>
      <c r="C1280">
        <v>2</v>
      </c>
      <c r="D1280" t="s">
        <v>401</v>
      </c>
    </row>
    <row r="1281" spans="1:4" x14ac:dyDescent="0.25">
      <c r="A1281" t="s">
        <v>44</v>
      </c>
      <c r="B1281" t="s">
        <v>436</v>
      </c>
      <c r="C1281">
        <v>65</v>
      </c>
      <c r="D1281" t="s">
        <v>401</v>
      </c>
    </row>
    <row r="1282" spans="1:4" x14ac:dyDescent="0.25">
      <c r="A1282" t="s">
        <v>44</v>
      </c>
      <c r="B1282" t="s">
        <v>405</v>
      </c>
      <c r="C1282">
        <v>7</v>
      </c>
      <c r="D1282" t="s">
        <v>401</v>
      </c>
    </row>
    <row r="1283" spans="1:4" x14ac:dyDescent="0.25">
      <c r="A1283" t="s">
        <v>45</v>
      </c>
      <c r="B1283" t="s">
        <v>419</v>
      </c>
      <c r="C1283">
        <v>123</v>
      </c>
      <c r="D1283" t="s">
        <v>401</v>
      </c>
    </row>
    <row r="1284" spans="1:4" x14ac:dyDescent="0.25">
      <c r="A1284" t="s">
        <v>46</v>
      </c>
      <c r="B1284" t="s">
        <v>425</v>
      </c>
      <c r="C1284">
        <v>264</v>
      </c>
      <c r="D1284" t="s">
        <v>401</v>
      </c>
    </row>
    <row r="1285" spans="1:4" x14ac:dyDescent="0.25">
      <c r="A1285" t="s">
        <v>46</v>
      </c>
      <c r="B1285" t="s">
        <v>424</v>
      </c>
      <c r="C1285">
        <v>57</v>
      </c>
      <c r="D1285" t="s">
        <v>401</v>
      </c>
    </row>
    <row r="1286" spans="1:4" x14ac:dyDescent="0.25">
      <c r="A1286" t="s">
        <v>46</v>
      </c>
      <c r="B1286" t="s">
        <v>426</v>
      </c>
      <c r="C1286">
        <v>10</v>
      </c>
      <c r="D1286" t="s">
        <v>401</v>
      </c>
    </row>
    <row r="1287" spans="1:4" x14ac:dyDescent="0.25">
      <c r="A1287" t="s">
        <v>46</v>
      </c>
      <c r="B1287" t="s">
        <v>437</v>
      </c>
      <c r="C1287">
        <v>4</v>
      </c>
      <c r="D1287" t="s">
        <v>401</v>
      </c>
    </row>
    <row r="1288" spans="1:4" x14ac:dyDescent="0.25">
      <c r="A1288" t="s">
        <v>47</v>
      </c>
      <c r="B1288" t="s">
        <v>405</v>
      </c>
      <c r="C1288">
        <v>11</v>
      </c>
      <c r="D1288" t="s">
        <v>401</v>
      </c>
    </row>
    <row r="1289" spans="1:4" x14ac:dyDescent="0.25">
      <c r="A1289" t="s">
        <v>48</v>
      </c>
      <c r="B1289" t="s">
        <v>421</v>
      </c>
      <c r="C1289">
        <v>18</v>
      </c>
      <c r="D1289" t="s">
        <v>401</v>
      </c>
    </row>
    <row r="1290" spans="1:4" x14ac:dyDescent="0.25">
      <c r="A1290" t="s">
        <v>49</v>
      </c>
      <c r="B1290" t="s">
        <v>415</v>
      </c>
      <c r="C1290">
        <v>62</v>
      </c>
      <c r="D1290" t="s">
        <v>401</v>
      </c>
    </row>
    <row r="1291" spans="1:4" x14ac:dyDescent="0.25">
      <c r="A1291" t="s">
        <v>49</v>
      </c>
      <c r="B1291" t="s">
        <v>431</v>
      </c>
      <c r="C1291">
        <v>38</v>
      </c>
      <c r="D1291" t="s">
        <v>401</v>
      </c>
    </row>
    <row r="1292" spans="1:4" x14ac:dyDescent="0.25">
      <c r="A1292" t="s">
        <v>50</v>
      </c>
      <c r="B1292" t="s">
        <v>421</v>
      </c>
      <c r="C1292">
        <v>4</v>
      </c>
      <c r="D1292" t="s">
        <v>401</v>
      </c>
    </row>
    <row r="1293" spans="1:4" x14ac:dyDescent="0.25">
      <c r="A1293" t="s">
        <v>51</v>
      </c>
      <c r="B1293" t="s">
        <v>437</v>
      </c>
      <c r="C1293">
        <v>14</v>
      </c>
      <c r="D1293" t="s">
        <v>401</v>
      </c>
    </row>
    <row r="1294" spans="1:4" x14ac:dyDescent="0.25">
      <c r="A1294" t="s">
        <v>52</v>
      </c>
      <c r="B1294" t="s">
        <v>421</v>
      </c>
      <c r="C1294">
        <v>3</v>
      </c>
      <c r="D1294" t="s">
        <v>401</v>
      </c>
    </row>
    <row r="1295" spans="1:4" x14ac:dyDescent="0.25">
      <c r="A1295" t="s">
        <v>53</v>
      </c>
      <c r="B1295" t="s">
        <v>438</v>
      </c>
      <c r="C1295">
        <v>15</v>
      </c>
      <c r="D1295" t="s">
        <v>401</v>
      </c>
    </row>
    <row r="1296" spans="1:4" x14ac:dyDescent="0.25">
      <c r="A1296" t="s">
        <v>53</v>
      </c>
      <c r="B1296" t="s">
        <v>427</v>
      </c>
      <c r="C1296">
        <v>13</v>
      </c>
      <c r="D1296" t="s">
        <v>401</v>
      </c>
    </row>
    <row r="1297" spans="1:4" x14ac:dyDescent="0.25">
      <c r="A1297" t="s">
        <v>53</v>
      </c>
      <c r="B1297" t="s">
        <v>434</v>
      </c>
      <c r="C1297">
        <v>5</v>
      </c>
      <c r="D1297" t="s">
        <v>401</v>
      </c>
    </row>
    <row r="1298" spans="1:4" x14ac:dyDescent="0.25">
      <c r="A1298" t="s">
        <v>53</v>
      </c>
      <c r="B1298" t="s">
        <v>421</v>
      </c>
      <c r="C1298">
        <v>4</v>
      </c>
      <c r="D1298" t="s">
        <v>401</v>
      </c>
    </row>
    <row r="1299" spans="1:4" x14ac:dyDescent="0.25">
      <c r="A1299" t="s">
        <v>54</v>
      </c>
      <c r="B1299" t="s">
        <v>439</v>
      </c>
      <c r="C1299">
        <v>193</v>
      </c>
      <c r="D1299" t="s">
        <v>401</v>
      </c>
    </row>
    <row r="1300" spans="1:4" x14ac:dyDescent="0.25">
      <c r="A1300" t="s">
        <v>54</v>
      </c>
      <c r="B1300" t="s">
        <v>405</v>
      </c>
      <c r="C1300">
        <v>179</v>
      </c>
      <c r="D1300" t="s">
        <v>401</v>
      </c>
    </row>
    <row r="1301" spans="1:4" x14ac:dyDescent="0.25">
      <c r="A1301" t="s">
        <v>54</v>
      </c>
      <c r="B1301" t="s">
        <v>415</v>
      </c>
      <c r="C1301">
        <v>162</v>
      </c>
      <c r="D1301" t="s">
        <v>401</v>
      </c>
    </row>
    <row r="1302" spans="1:4" x14ac:dyDescent="0.25">
      <c r="A1302" t="s">
        <v>54</v>
      </c>
      <c r="B1302" t="s">
        <v>403</v>
      </c>
      <c r="C1302">
        <v>98</v>
      </c>
      <c r="D1302" t="s">
        <v>401</v>
      </c>
    </row>
    <row r="1303" spans="1:4" x14ac:dyDescent="0.25">
      <c r="A1303" t="s">
        <v>54</v>
      </c>
      <c r="B1303" t="s">
        <v>436</v>
      </c>
      <c r="C1303">
        <v>68</v>
      </c>
      <c r="D1303" t="s">
        <v>401</v>
      </c>
    </row>
    <row r="1304" spans="1:4" x14ac:dyDescent="0.25">
      <c r="A1304" t="s">
        <v>55</v>
      </c>
      <c r="B1304" t="s">
        <v>435</v>
      </c>
      <c r="C1304">
        <v>39</v>
      </c>
      <c r="D1304" t="s">
        <v>401</v>
      </c>
    </row>
    <row r="1305" spans="1:4" x14ac:dyDescent="0.25">
      <c r="A1305" t="s">
        <v>55</v>
      </c>
      <c r="B1305" t="s">
        <v>433</v>
      </c>
      <c r="C1305">
        <v>23</v>
      </c>
      <c r="D1305" t="s">
        <v>401</v>
      </c>
    </row>
    <row r="1306" spans="1:4" x14ac:dyDescent="0.25">
      <c r="A1306" t="s">
        <v>57</v>
      </c>
      <c r="B1306" t="s">
        <v>403</v>
      </c>
      <c r="C1306">
        <v>131</v>
      </c>
      <c r="D1306" t="s">
        <v>401</v>
      </c>
    </row>
    <row r="1307" spans="1:4" x14ac:dyDescent="0.25">
      <c r="A1307" t="s">
        <v>57</v>
      </c>
      <c r="B1307" t="s">
        <v>408</v>
      </c>
      <c r="C1307">
        <v>114</v>
      </c>
      <c r="D1307" t="s">
        <v>401</v>
      </c>
    </row>
    <row r="1308" spans="1:4" x14ac:dyDescent="0.25">
      <c r="A1308" t="s">
        <v>57</v>
      </c>
      <c r="B1308" t="s">
        <v>436</v>
      </c>
      <c r="C1308">
        <v>108</v>
      </c>
      <c r="D1308" t="s">
        <v>401</v>
      </c>
    </row>
    <row r="1309" spans="1:4" x14ac:dyDescent="0.25">
      <c r="A1309" t="s">
        <v>57</v>
      </c>
      <c r="B1309" t="s">
        <v>405</v>
      </c>
      <c r="C1309">
        <v>105</v>
      </c>
      <c r="D1309" t="s">
        <v>401</v>
      </c>
    </row>
    <row r="1310" spans="1:4" x14ac:dyDescent="0.25">
      <c r="A1310" t="s">
        <v>57</v>
      </c>
      <c r="B1310" t="s">
        <v>431</v>
      </c>
      <c r="C1310">
        <v>90</v>
      </c>
      <c r="D1310" t="s">
        <v>401</v>
      </c>
    </row>
    <row r="1311" spans="1:4" x14ac:dyDescent="0.25">
      <c r="A1311" t="s">
        <v>57</v>
      </c>
      <c r="B1311" t="s">
        <v>410</v>
      </c>
      <c r="C1311">
        <v>87</v>
      </c>
      <c r="D1311" t="s">
        <v>401</v>
      </c>
    </row>
    <row r="1312" spans="1:4" x14ac:dyDescent="0.25">
      <c r="A1312" t="s">
        <v>58</v>
      </c>
      <c r="B1312" t="s">
        <v>435</v>
      </c>
      <c r="C1312">
        <v>14</v>
      </c>
      <c r="D1312" t="s">
        <v>401</v>
      </c>
    </row>
    <row r="1313" spans="1:4" x14ac:dyDescent="0.25">
      <c r="A1313" t="s">
        <v>60</v>
      </c>
      <c r="B1313" t="s">
        <v>419</v>
      </c>
      <c r="C1313">
        <v>49</v>
      </c>
      <c r="D1313" t="s">
        <v>401</v>
      </c>
    </row>
    <row r="1314" spans="1:4" x14ac:dyDescent="0.25">
      <c r="A1314" t="s">
        <v>61</v>
      </c>
      <c r="B1314" t="s">
        <v>429</v>
      </c>
      <c r="C1314">
        <v>136</v>
      </c>
      <c r="D1314" t="s">
        <v>401</v>
      </c>
    </row>
    <row r="1315" spans="1:4" x14ac:dyDescent="0.25">
      <c r="A1315" t="s">
        <v>62</v>
      </c>
      <c r="B1315" t="s">
        <v>404</v>
      </c>
      <c r="C1315">
        <v>218</v>
      </c>
      <c r="D1315" t="s">
        <v>401</v>
      </c>
    </row>
    <row r="1316" spans="1:4" x14ac:dyDescent="0.25">
      <c r="A1316" t="s">
        <v>62</v>
      </c>
      <c r="B1316" t="s">
        <v>403</v>
      </c>
      <c r="C1316">
        <v>150</v>
      </c>
      <c r="D1316" t="s">
        <v>401</v>
      </c>
    </row>
    <row r="1317" spans="1:4" x14ac:dyDescent="0.25">
      <c r="A1317" t="s">
        <v>62</v>
      </c>
      <c r="B1317" t="s">
        <v>407</v>
      </c>
      <c r="C1317">
        <v>121</v>
      </c>
      <c r="D1317" t="s">
        <v>401</v>
      </c>
    </row>
    <row r="1318" spans="1:4" x14ac:dyDescent="0.25">
      <c r="A1318" t="s">
        <v>62</v>
      </c>
      <c r="B1318" t="s">
        <v>400</v>
      </c>
      <c r="C1318">
        <v>97</v>
      </c>
      <c r="D1318" t="s">
        <v>401</v>
      </c>
    </row>
    <row r="1319" spans="1:4" x14ac:dyDescent="0.25">
      <c r="A1319" t="s">
        <v>62</v>
      </c>
      <c r="B1319" t="s">
        <v>402</v>
      </c>
      <c r="C1319">
        <v>95</v>
      </c>
      <c r="D1319" t="s">
        <v>401</v>
      </c>
    </row>
    <row r="1320" spans="1:4" x14ac:dyDescent="0.25">
      <c r="A1320" t="s">
        <v>62</v>
      </c>
      <c r="B1320" t="s">
        <v>440</v>
      </c>
      <c r="C1320">
        <v>46</v>
      </c>
      <c r="D1320" t="s">
        <v>401</v>
      </c>
    </row>
    <row r="1321" spans="1:4" x14ac:dyDescent="0.25">
      <c r="A1321" t="s">
        <v>62</v>
      </c>
      <c r="B1321" t="s">
        <v>415</v>
      </c>
      <c r="C1321">
        <v>27</v>
      </c>
      <c r="D1321" t="s">
        <v>401</v>
      </c>
    </row>
    <row r="1322" spans="1:4" x14ac:dyDescent="0.25">
      <c r="A1322" t="s">
        <v>64</v>
      </c>
      <c r="B1322" t="s">
        <v>403</v>
      </c>
      <c r="C1322">
        <v>20</v>
      </c>
      <c r="D1322" t="s">
        <v>401</v>
      </c>
    </row>
    <row r="1323" spans="1:4" x14ac:dyDescent="0.25">
      <c r="A1323" t="s">
        <v>64</v>
      </c>
      <c r="B1323" t="s">
        <v>402</v>
      </c>
      <c r="C1323">
        <v>11</v>
      </c>
      <c r="D1323" t="s">
        <v>401</v>
      </c>
    </row>
    <row r="1324" spans="1:4" x14ac:dyDescent="0.25">
      <c r="A1324" t="s">
        <v>64</v>
      </c>
      <c r="B1324" t="s">
        <v>404</v>
      </c>
      <c r="C1324">
        <v>8</v>
      </c>
      <c r="D1324" t="s">
        <v>401</v>
      </c>
    </row>
    <row r="1325" spans="1:4" x14ac:dyDescent="0.25">
      <c r="A1325" t="s">
        <v>65</v>
      </c>
      <c r="B1325" t="s">
        <v>418</v>
      </c>
      <c r="C1325">
        <v>2</v>
      </c>
      <c r="D1325" t="s">
        <v>401</v>
      </c>
    </row>
    <row r="1326" spans="1:4" x14ac:dyDescent="0.25">
      <c r="A1326" t="s">
        <v>67</v>
      </c>
      <c r="B1326" t="s">
        <v>420</v>
      </c>
      <c r="C1326">
        <v>54</v>
      </c>
      <c r="D1326" t="s">
        <v>401</v>
      </c>
    </row>
    <row r="1327" spans="1:4" x14ac:dyDescent="0.25">
      <c r="A1327" t="s">
        <v>68</v>
      </c>
      <c r="B1327" t="s">
        <v>440</v>
      </c>
      <c r="C1327">
        <v>51</v>
      </c>
      <c r="D1327" t="s">
        <v>401</v>
      </c>
    </row>
    <row r="1328" spans="1:4" x14ac:dyDescent="0.25">
      <c r="A1328" t="s">
        <v>68</v>
      </c>
      <c r="B1328" t="s">
        <v>429</v>
      </c>
      <c r="C1328">
        <v>40</v>
      </c>
      <c r="D1328" t="s">
        <v>401</v>
      </c>
    </row>
    <row r="1329" spans="1:4" x14ac:dyDescent="0.25">
      <c r="A1329" t="s">
        <v>68</v>
      </c>
      <c r="B1329" t="s">
        <v>431</v>
      </c>
      <c r="C1329">
        <v>38</v>
      </c>
      <c r="D1329" t="s">
        <v>401</v>
      </c>
    </row>
    <row r="1330" spans="1:4" x14ac:dyDescent="0.25">
      <c r="A1330" t="s">
        <v>69</v>
      </c>
      <c r="B1330" t="s">
        <v>403</v>
      </c>
      <c r="C1330">
        <v>6</v>
      </c>
      <c r="D1330" t="s">
        <v>401</v>
      </c>
    </row>
    <row r="1331" spans="1:4" x14ac:dyDescent="0.25">
      <c r="A1331" t="s">
        <v>70</v>
      </c>
      <c r="B1331" t="s">
        <v>420</v>
      </c>
      <c r="C1331">
        <v>29</v>
      </c>
      <c r="D1331" t="s">
        <v>401</v>
      </c>
    </row>
    <row r="1332" spans="1:4" x14ac:dyDescent="0.25">
      <c r="A1332" t="s">
        <v>70</v>
      </c>
      <c r="B1332" t="s">
        <v>418</v>
      </c>
      <c r="C1332">
        <v>2</v>
      </c>
      <c r="D1332" t="s">
        <v>401</v>
      </c>
    </row>
    <row r="1333" spans="1:4" x14ac:dyDescent="0.25">
      <c r="A1333" t="s">
        <v>72</v>
      </c>
      <c r="B1333" t="s">
        <v>421</v>
      </c>
      <c r="C1333">
        <v>8</v>
      </c>
      <c r="D1333" t="s">
        <v>401</v>
      </c>
    </row>
    <row r="1334" spans="1:4" x14ac:dyDescent="0.25">
      <c r="A1334" t="s">
        <v>74</v>
      </c>
      <c r="B1334" t="s">
        <v>432</v>
      </c>
      <c r="C1334">
        <v>9</v>
      </c>
      <c r="D1334" t="s">
        <v>401</v>
      </c>
    </row>
    <row r="1335" spans="1:4" x14ac:dyDescent="0.25">
      <c r="A1335" t="s">
        <v>75</v>
      </c>
      <c r="B1335" t="s">
        <v>435</v>
      </c>
      <c r="C1335">
        <v>22</v>
      </c>
      <c r="D1335" t="s">
        <v>401</v>
      </c>
    </row>
    <row r="1336" spans="1:4" x14ac:dyDescent="0.25">
      <c r="A1336" t="s">
        <v>75</v>
      </c>
      <c r="B1336" t="s">
        <v>412</v>
      </c>
      <c r="C1336">
        <v>6</v>
      </c>
      <c r="D1336" t="s">
        <v>401</v>
      </c>
    </row>
    <row r="1337" spans="1:4" x14ac:dyDescent="0.25">
      <c r="A1337" t="s">
        <v>75</v>
      </c>
      <c r="B1337" t="s">
        <v>432</v>
      </c>
      <c r="C1337">
        <v>4</v>
      </c>
      <c r="D1337" t="s">
        <v>401</v>
      </c>
    </row>
    <row r="1338" spans="1:4" x14ac:dyDescent="0.25">
      <c r="A1338" t="s">
        <v>75</v>
      </c>
      <c r="B1338" t="s">
        <v>425</v>
      </c>
      <c r="C1338">
        <v>4</v>
      </c>
      <c r="D1338" t="s">
        <v>401</v>
      </c>
    </row>
    <row r="1339" spans="1:4" x14ac:dyDescent="0.25">
      <c r="A1339" t="s">
        <v>76</v>
      </c>
      <c r="B1339" t="s">
        <v>438</v>
      </c>
      <c r="C1339">
        <v>30</v>
      </c>
      <c r="D1339" t="s">
        <v>401</v>
      </c>
    </row>
    <row r="1340" spans="1:4" x14ac:dyDescent="0.25">
      <c r="A1340" t="s">
        <v>76</v>
      </c>
      <c r="B1340" t="s">
        <v>434</v>
      </c>
      <c r="C1340">
        <v>10</v>
      </c>
      <c r="D1340" t="s">
        <v>401</v>
      </c>
    </row>
    <row r="1341" spans="1:4" x14ac:dyDescent="0.25">
      <c r="A1341" t="s">
        <v>76</v>
      </c>
      <c r="B1341" t="s">
        <v>423</v>
      </c>
      <c r="C1341">
        <v>8</v>
      </c>
      <c r="D1341" t="s">
        <v>401</v>
      </c>
    </row>
    <row r="1342" spans="1:4" x14ac:dyDescent="0.25">
      <c r="A1342" t="s">
        <v>76</v>
      </c>
      <c r="B1342" t="s">
        <v>421</v>
      </c>
      <c r="C1342">
        <v>5</v>
      </c>
      <c r="D1342" t="s">
        <v>401</v>
      </c>
    </row>
    <row r="1343" spans="1:4" x14ac:dyDescent="0.25">
      <c r="A1343" t="s">
        <v>76</v>
      </c>
      <c r="B1343" t="s">
        <v>433</v>
      </c>
      <c r="C1343">
        <v>5</v>
      </c>
      <c r="D1343" t="s">
        <v>401</v>
      </c>
    </row>
    <row r="1344" spans="1:4" x14ac:dyDescent="0.25">
      <c r="A1344" t="s">
        <v>76</v>
      </c>
      <c r="B1344" t="s">
        <v>418</v>
      </c>
      <c r="C1344">
        <v>4</v>
      </c>
      <c r="D1344" t="s">
        <v>401</v>
      </c>
    </row>
    <row r="1345" spans="1:4" x14ac:dyDescent="0.25">
      <c r="A1345" t="s">
        <v>76</v>
      </c>
      <c r="B1345" t="s">
        <v>437</v>
      </c>
      <c r="C1345">
        <v>2</v>
      </c>
      <c r="D1345" t="s">
        <v>401</v>
      </c>
    </row>
    <row r="1346" spans="1:4" x14ac:dyDescent="0.25">
      <c r="A1346" t="s">
        <v>77</v>
      </c>
      <c r="B1346" t="s">
        <v>400</v>
      </c>
      <c r="C1346">
        <v>2</v>
      </c>
      <c r="D1346" t="s">
        <v>401</v>
      </c>
    </row>
    <row r="1347" spans="1:4" x14ac:dyDescent="0.25">
      <c r="A1347" t="s">
        <v>78</v>
      </c>
      <c r="B1347" t="s">
        <v>408</v>
      </c>
      <c r="C1347">
        <v>201</v>
      </c>
      <c r="D1347" t="s">
        <v>401</v>
      </c>
    </row>
    <row r="1348" spans="1:4" x14ac:dyDescent="0.25">
      <c r="A1348" t="s">
        <v>78</v>
      </c>
      <c r="B1348" t="s">
        <v>402</v>
      </c>
      <c r="C1348">
        <v>153</v>
      </c>
      <c r="D1348" t="s">
        <v>401</v>
      </c>
    </row>
    <row r="1349" spans="1:4" x14ac:dyDescent="0.25">
      <c r="A1349" t="s">
        <v>78</v>
      </c>
      <c r="B1349" t="s">
        <v>400</v>
      </c>
      <c r="C1349">
        <v>132</v>
      </c>
      <c r="D1349" t="s">
        <v>401</v>
      </c>
    </row>
    <row r="1350" spans="1:4" x14ac:dyDescent="0.25">
      <c r="A1350" t="s">
        <v>78</v>
      </c>
      <c r="B1350" t="s">
        <v>403</v>
      </c>
      <c r="C1350">
        <v>41</v>
      </c>
      <c r="D1350" t="s">
        <v>401</v>
      </c>
    </row>
    <row r="1351" spans="1:4" x14ac:dyDescent="0.25">
      <c r="A1351" t="s">
        <v>81</v>
      </c>
      <c r="B1351" t="s">
        <v>405</v>
      </c>
      <c r="C1351">
        <v>27</v>
      </c>
      <c r="D1351" t="s">
        <v>401</v>
      </c>
    </row>
    <row r="1352" spans="1:4" x14ac:dyDescent="0.25">
      <c r="A1352" t="s">
        <v>81</v>
      </c>
      <c r="B1352" t="s">
        <v>426</v>
      </c>
      <c r="C1352">
        <v>3</v>
      </c>
      <c r="D1352" t="s">
        <v>401</v>
      </c>
    </row>
    <row r="1353" spans="1:4" x14ac:dyDescent="0.25">
      <c r="A1353" t="s">
        <v>82</v>
      </c>
      <c r="B1353" t="s">
        <v>418</v>
      </c>
      <c r="C1353">
        <v>3</v>
      </c>
      <c r="D1353" t="s">
        <v>401</v>
      </c>
    </row>
    <row r="1354" spans="1:4" x14ac:dyDescent="0.25">
      <c r="A1354" t="s">
        <v>84</v>
      </c>
      <c r="B1354" t="s">
        <v>438</v>
      </c>
      <c r="C1354">
        <v>4</v>
      </c>
      <c r="D1354" t="s">
        <v>401</v>
      </c>
    </row>
    <row r="1355" spans="1:4" x14ac:dyDescent="0.25">
      <c r="A1355" t="s">
        <v>85</v>
      </c>
      <c r="B1355" t="s">
        <v>419</v>
      </c>
      <c r="C1355">
        <v>53</v>
      </c>
      <c r="D1355" t="s">
        <v>401</v>
      </c>
    </row>
    <row r="1356" spans="1:4" x14ac:dyDescent="0.25">
      <c r="A1356" t="s">
        <v>85</v>
      </c>
      <c r="B1356" t="s">
        <v>421</v>
      </c>
      <c r="C1356">
        <v>3</v>
      </c>
      <c r="D1356" t="s">
        <v>401</v>
      </c>
    </row>
    <row r="1357" spans="1:4" x14ac:dyDescent="0.25">
      <c r="A1357" t="s">
        <v>86</v>
      </c>
      <c r="B1357" t="s">
        <v>400</v>
      </c>
      <c r="C1357">
        <v>54</v>
      </c>
      <c r="D1357" t="s">
        <v>401</v>
      </c>
    </row>
    <row r="1358" spans="1:4" x14ac:dyDescent="0.25">
      <c r="A1358" t="s">
        <v>86</v>
      </c>
      <c r="B1358" t="s">
        <v>415</v>
      </c>
      <c r="C1358">
        <v>36</v>
      </c>
      <c r="D1358" t="s">
        <v>401</v>
      </c>
    </row>
    <row r="1359" spans="1:4" x14ac:dyDescent="0.25">
      <c r="A1359" t="s">
        <v>86</v>
      </c>
      <c r="B1359" t="s">
        <v>405</v>
      </c>
      <c r="C1359">
        <v>30</v>
      </c>
      <c r="D1359" t="s">
        <v>401</v>
      </c>
    </row>
    <row r="1360" spans="1:4" x14ac:dyDescent="0.25">
      <c r="A1360" t="s">
        <v>86</v>
      </c>
      <c r="B1360" t="s">
        <v>414</v>
      </c>
      <c r="C1360">
        <v>17</v>
      </c>
      <c r="D1360" t="s">
        <v>401</v>
      </c>
    </row>
    <row r="1361" spans="1:4" x14ac:dyDescent="0.25">
      <c r="A1361" t="s">
        <v>86</v>
      </c>
      <c r="B1361" t="s">
        <v>413</v>
      </c>
      <c r="C1361">
        <v>17</v>
      </c>
      <c r="D1361" t="s">
        <v>401</v>
      </c>
    </row>
    <row r="1362" spans="1:4" x14ac:dyDescent="0.25">
      <c r="A1362" t="s">
        <v>86</v>
      </c>
      <c r="B1362" t="s">
        <v>403</v>
      </c>
      <c r="C1362">
        <v>11</v>
      </c>
      <c r="D1362" t="s">
        <v>401</v>
      </c>
    </row>
    <row r="1363" spans="1:4" x14ac:dyDescent="0.25">
      <c r="A1363" t="s">
        <v>87</v>
      </c>
      <c r="B1363" t="s">
        <v>400</v>
      </c>
      <c r="C1363">
        <v>19</v>
      </c>
      <c r="D1363" t="s">
        <v>401</v>
      </c>
    </row>
    <row r="1364" spans="1:4" x14ac:dyDescent="0.25">
      <c r="A1364" t="s">
        <v>87</v>
      </c>
      <c r="B1364" t="s">
        <v>431</v>
      </c>
      <c r="C1364">
        <v>16</v>
      </c>
      <c r="D1364" t="s">
        <v>401</v>
      </c>
    </row>
    <row r="1365" spans="1:4" x14ac:dyDescent="0.25">
      <c r="A1365" t="s">
        <v>87</v>
      </c>
      <c r="B1365" t="s">
        <v>403</v>
      </c>
      <c r="C1365">
        <v>10</v>
      </c>
      <c r="D1365" t="s">
        <v>401</v>
      </c>
    </row>
    <row r="1366" spans="1:4" x14ac:dyDescent="0.25">
      <c r="A1366" t="s">
        <v>87</v>
      </c>
      <c r="B1366" t="s">
        <v>428</v>
      </c>
      <c r="C1366">
        <v>9</v>
      </c>
      <c r="D1366" t="s">
        <v>401</v>
      </c>
    </row>
    <row r="1367" spans="1:4" x14ac:dyDescent="0.25">
      <c r="A1367" t="s">
        <v>87</v>
      </c>
      <c r="B1367" t="s">
        <v>421</v>
      </c>
      <c r="C1367">
        <v>4</v>
      </c>
      <c r="D1367" t="s">
        <v>401</v>
      </c>
    </row>
    <row r="1368" spans="1:4" x14ac:dyDescent="0.25">
      <c r="A1368" t="s">
        <v>88</v>
      </c>
      <c r="B1368" t="s">
        <v>403</v>
      </c>
      <c r="C1368">
        <v>76</v>
      </c>
      <c r="D1368" t="s">
        <v>401</v>
      </c>
    </row>
    <row r="1369" spans="1:4" x14ac:dyDescent="0.25">
      <c r="A1369" t="s">
        <v>88</v>
      </c>
      <c r="B1369" t="s">
        <v>439</v>
      </c>
      <c r="C1369">
        <v>44</v>
      </c>
      <c r="D1369" t="s">
        <v>401</v>
      </c>
    </row>
    <row r="1370" spans="1:4" x14ac:dyDescent="0.25">
      <c r="A1370" t="s">
        <v>88</v>
      </c>
      <c r="B1370" t="s">
        <v>416</v>
      </c>
      <c r="C1370">
        <v>22</v>
      </c>
      <c r="D1370" t="s">
        <v>401</v>
      </c>
    </row>
    <row r="1371" spans="1:4" x14ac:dyDescent="0.25">
      <c r="A1371" t="s">
        <v>89</v>
      </c>
      <c r="B1371" t="s">
        <v>419</v>
      </c>
      <c r="C1371">
        <v>56</v>
      </c>
      <c r="D1371" t="s">
        <v>401</v>
      </c>
    </row>
    <row r="1372" spans="1:4" x14ac:dyDescent="0.25">
      <c r="A1372" t="s">
        <v>89</v>
      </c>
      <c r="B1372" t="s">
        <v>420</v>
      </c>
      <c r="C1372">
        <v>51</v>
      </c>
      <c r="D1372" t="s">
        <v>401</v>
      </c>
    </row>
    <row r="1373" spans="1:4" x14ac:dyDescent="0.25">
      <c r="A1373" t="s">
        <v>89</v>
      </c>
      <c r="B1373" t="s">
        <v>421</v>
      </c>
      <c r="C1373">
        <v>7</v>
      </c>
      <c r="D1373" t="s">
        <v>401</v>
      </c>
    </row>
    <row r="1374" spans="1:4" x14ac:dyDescent="0.25">
      <c r="A1374" t="s">
        <v>90</v>
      </c>
      <c r="B1374" t="s">
        <v>419</v>
      </c>
      <c r="C1374">
        <v>58</v>
      </c>
      <c r="D1374" t="s">
        <v>401</v>
      </c>
    </row>
    <row r="1375" spans="1:4" x14ac:dyDescent="0.25">
      <c r="A1375" t="s">
        <v>90</v>
      </c>
      <c r="B1375" t="s">
        <v>423</v>
      </c>
      <c r="C1375">
        <v>15</v>
      </c>
      <c r="D1375" t="s">
        <v>401</v>
      </c>
    </row>
    <row r="1376" spans="1:4" x14ac:dyDescent="0.25">
      <c r="A1376" t="s">
        <v>90</v>
      </c>
      <c r="B1376" t="s">
        <v>421</v>
      </c>
      <c r="C1376">
        <v>13</v>
      </c>
      <c r="D1376" t="s">
        <v>401</v>
      </c>
    </row>
    <row r="1377" spans="1:4" x14ac:dyDescent="0.25">
      <c r="A1377" t="s">
        <v>90</v>
      </c>
      <c r="B1377" t="s">
        <v>404</v>
      </c>
      <c r="C1377">
        <v>6</v>
      </c>
      <c r="D1377" t="s">
        <v>401</v>
      </c>
    </row>
    <row r="1378" spans="1:4" x14ac:dyDescent="0.25">
      <c r="A1378" t="s">
        <v>90</v>
      </c>
      <c r="B1378" t="s">
        <v>427</v>
      </c>
      <c r="C1378">
        <v>4</v>
      </c>
      <c r="D1378" t="s">
        <v>401</v>
      </c>
    </row>
    <row r="1379" spans="1:4" x14ac:dyDescent="0.25">
      <c r="A1379" t="s">
        <v>91</v>
      </c>
      <c r="B1379" t="s">
        <v>419</v>
      </c>
      <c r="C1379">
        <v>74</v>
      </c>
      <c r="D1379" t="s">
        <v>401</v>
      </c>
    </row>
    <row r="1380" spans="1:4" x14ac:dyDescent="0.25">
      <c r="A1380" t="s">
        <v>91</v>
      </c>
      <c r="B1380" t="s">
        <v>435</v>
      </c>
      <c r="C1380">
        <v>4</v>
      </c>
      <c r="D1380" t="s">
        <v>401</v>
      </c>
    </row>
    <row r="1381" spans="1:4" x14ac:dyDescent="0.25">
      <c r="A1381" t="s">
        <v>92</v>
      </c>
      <c r="B1381" t="s">
        <v>405</v>
      </c>
      <c r="C1381">
        <v>137</v>
      </c>
      <c r="D1381" t="s">
        <v>401</v>
      </c>
    </row>
    <row r="1382" spans="1:4" x14ac:dyDescent="0.25">
      <c r="A1382" t="s">
        <v>92</v>
      </c>
      <c r="B1382" t="s">
        <v>403</v>
      </c>
      <c r="C1382">
        <v>51</v>
      </c>
      <c r="D1382" t="s">
        <v>401</v>
      </c>
    </row>
    <row r="1383" spans="1:4" x14ac:dyDescent="0.25">
      <c r="A1383" t="s">
        <v>92</v>
      </c>
      <c r="B1383" t="s">
        <v>400</v>
      </c>
      <c r="C1383">
        <v>31</v>
      </c>
      <c r="D1383" t="s">
        <v>401</v>
      </c>
    </row>
    <row r="1384" spans="1:4" x14ac:dyDescent="0.25">
      <c r="A1384" t="s">
        <v>92</v>
      </c>
      <c r="B1384" t="s">
        <v>421</v>
      </c>
      <c r="C1384">
        <v>26</v>
      </c>
      <c r="D1384" t="s">
        <v>401</v>
      </c>
    </row>
    <row r="1385" spans="1:4" x14ac:dyDescent="0.25">
      <c r="A1385" t="s">
        <v>93</v>
      </c>
      <c r="B1385" t="s">
        <v>403</v>
      </c>
      <c r="C1385">
        <v>11</v>
      </c>
      <c r="D1385" t="s">
        <v>401</v>
      </c>
    </row>
    <row r="1386" spans="1:4" x14ac:dyDescent="0.25">
      <c r="A1386" t="s">
        <v>93</v>
      </c>
      <c r="B1386" t="s">
        <v>405</v>
      </c>
      <c r="C1386">
        <v>9</v>
      </c>
      <c r="D1386" t="s">
        <v>401</v>
      </c>
    </row>
    <row r="1387" spans="1:4" x14ac:dyDescent="0.25">
      <c r="A1387" t="s">
        <v>6</v>
      </c>
      <c r="B1387" t="s">
        <v>441</v>
      </c>
      <c r="C1387">
        <v>245</v>
      </c>
      <c r="D1387" t="s">
        <v>442</v>
      </c>
    </row>
    <row r="1388" spans="1:4" x14ac:dyDescent="0.25">
      <c r="A1388" t="s">
        <v>6</v>
      </c>
      <c r="B1388" t="s">
        <v>443</v>
      </c>
      <c r="C1388">
        <v>176</v>
      </c>
      <c r="D1388" t="s">
        <v>442</v>
      </c>
    </row>
    <row r="1389" spans="1:4" x14ac:dyDescent="0.25">
      <c r="A1389" t="s">
        <v>6</v>
      </c>
      <c r="B1389" t="s">
        <v>444</v>
      </c>
      <c r="C1389">
        <v>123</v>
      </c>
      <c r="D1389" t="s">
        <v>442</v>
      </c>
    </row>
    <row r="1390" spans="1:4" x14ac:dyDescent="0.25">
      <c r="A1390" t="s">
        <v>7</v>
      </c>
      <c r="B1390" t="s">
        <v>441</v>
      </c>
      <c r="C1390">
        <v>30</v>
      </c>
      <c r="D1390" t="s">
        <v>442</v>
      </c>
    </row>
    <row r="1391" spans="1:4" x14ac:dyDescent="0.25">
      <c r="A1391" t="s">
        <v>8</v>
      </c>
      <c r="B1391" t="s">
        <v>445</v>
      </c>
      <c r="C1391">
        <v>37</v>
      </c>
      <c r="D1391" t="s">
        <v>442</v>
      </c>
    </row>
    <row r="1392" spans="1:4" x14ac:dyDescent="0.25">
      <c r="A1392" t="s">
        <v>9</v>
      </c>
      <c r="B1392" t="s">
        <v>446</v>
      </c>
      <c r="C1392">
        <v>29</v>
      </c>
      <c r="D1392" t="s">
        <v>442</v>
      </c>
    </row>
    <row r="1393" spans="1:4" x14ac:dyDescent="0.25">
      <c r="A1393" t="s">
        <v>9</v>
      </c>
      <c r="B1393" t="s">
        <v>447</v>
      </c>
      <c r="C1393">
        <v>24</v>
      </c>
      <c r="D1393" t="s">
        <v>442</v>
      </c>
    </row>
    <row r="1394" spans="1:4" x14ac:dyDescent="0.25">
      <c r="A1394" t="s">
        <v>9</v>
      </c>
      <c r="B1394" t="s">
        <v>448</v>
      </c>
      <c r="C1394">
        <v>22</v>
      </c>
      <c r="D1394" t="s">
        <v>442</v>
      </c>
    </row>
    <row r="1395" spans="1:4" x14ac:dyDescent="0.25">
      <c r="A1395" t="s">
        <v>9</v>
      </c>
      <c r="B1395" t="s">
        <v>449</v>
      </c>
      <c r="C1395">
        <v>17</v>
      </c>
      <c r="D1395" t="s">
        <v>442</v>
      </c>
    </row>
    <row r="1396" spans="1:4" x14ac:dyDescent="0.25">
      <c r="A1396" t="s">
        <v>10</v>
      </c>
      <c r="B1396" t="s">
        <v>450</v>
      </c>
      <c r="C1396">
        <v>61</v>
      </c>
      <c r="D1396" t="s">
        <v>442</v>
      </c>
    </row>
    <row r="1397" spans="1:4" x14ac:dyDescent="0.25">
      <c r="A1397" t="s">
        <v>10</v>
      </c>
      <c r="B1397" t="s">
        <v>451</v>
      </c>
      <c r="C1397">
        <v>29</v>
      </c>
      <c r="D1397" t="s">
        <v>442</v>
      </c>
    </row>
    <row r="1398" spans="1:4" x14ac:dyDescent="0.25">
      <c r="A1398" t="s">
        <v>11</v>
      </c>
      <c r="B1398" t="s">
        <v>441</v>
      </c>
      <c r="C1398">
        <v>10</v>
      </c>
      <c r="D1398" t="s">
        <v>442</v>
      </c>
    </row>
    <row r="1399" spans="1:4" x14ac:dyDescent="0.25">
      <c r="A1399" t="s">
        <v>12</v>
      </c>
      <c r="B1399" t="s">
        <v>452</v>
      </c>
      <c r="C1399">
        <v>299</v>
      </c>
      <c r="D1399" t="s">
        <v>442</v>
      </c>
    </row>
    <row r="1400" spans="1:4" x14ac:dyDescent="0.25">
      <c r="A1400" t="s">
        <v>14</v>
      </c>
      <c r="B1400" t="s">
        <v>446</v>
      </c>
      <c r="C1400">
        <v>32</v>
      </c>
      <c r="D1400" t="s">
        <v>442</v>
      </c>
    </row>
    <row r="1401" spans="1:4" x14ac:dyDescent="0.25">
      <c r="A1401" t="s">
        <v>15</v>
      </c>
      <c r="B1401" t="s">
        <v>446</v>
      </c>
      <c r="C1401">
        <v>55</v>
      </c>
      <c r="D1401" t="s">
        <v>442</v>
      </c>
    </row>
    <row r="1402" spans="1:4" x14ac:dyDescent="0.25">
      <c r="A1402" t="s">
        <v>15</v>
      </c>
      <c r="B1402" t="s">
        <v>453</v>
      </c>
      <c r="C1402">
        <v>8</v>
      </c>
      <c r="D1402" t="s">
        <v>442</v>
      </c>
    </row>
    <row r="1403" spans="1:4" x14ac:dyDescent="0.25">
      <c r="A1403" t="s">
        <v>15</v>
      </c>
      <c r="B1403" t="s">
        <v>454</v>
      </c>
      <c r="C1403">
        <v>8</v>
      </c>
      <c r="D1403" t="s">
        <v>442</v>
      </c>
    </row>
    <row r="1404" spans="1:4" x14ac:dyDescent="0.25">
      <c r="A1404" t="s">
        <v>16</v>
      </c>
      <c r="B1404" t="s">
        <v>446</v>
      </c>
      <c r="C1404">
        <v>67</v>
      </c>
      <c r="D1404" t="s">
        <v>442</v>
      </c>
    </row>
    <row r="1405" spans="1:4" x14ac:dyDescent="0.25">
      <c r="A1405" t="s">
        <v>16</v>
      </c>
      <c r="B1405" t="s">
        <v>448</v>
      </c>
      <c r="C1405">
        <v>9</v>
      </c>
      <c r="D1405" t="s">
        <v>442</v>
      </c>
    </row>
    <row r="1406" spans="1:4" x14ac:dyDescent="0.25">
      <c r="A1406" t="s">
        <v>17</v>
      </c>
      <c r="B1406" t="s">
        <v>446</v>
      </c>
      <c r="C1406">
        <v>18</v>
      </c>
      <c r="D1406" t="s">
        <v>442</v>
      </c>
    </row>
    <row r="1407" spans="1:4" x14ac:dyDescent="0.25">
      <c r="A1407" t="s">
        <v>18</v>
      </c>
      <c r="B1407" t="s">
        <v>446</v>
      </c>
      <c r="C1407">
        <v>51</v>
      </c>
      <c r="D1407" t="s">
        <v>442</v>
      </c>
    </row>
    <row r="1408" spans="1:4" x14ac:dyDescent="0.25">
      <c r="A1408" t="s">
        <v>18</v>
      </c>
      <c r="B1408" t="s">
        <v>453</v>
      </c>
      <c r="C1408">
        <v>8</v>
      </c>
      <c r="D1408" t="s">
        <v>442</v>
      </c>
    </row>
    <row r="1409" spans="1:4" x14ac:dyDescent="0.25">
      <c r="A1409" t="s">
        <v>19</v>
      </c>
      <c r="B1409" t="s">
        <v>446</v>
      </c>
      <c r="C1409">
        <v>33</v>
      </c>
      <c r="D1409" t="s">
        <v>442</v>
      </c>
    </row>
    <row r="1410" spans="1:4" x14ac:dyDescent="0.25">
      <c r="A1410" t="s">
        <v>19</v>
      </c>
      <c r="B1410" t="s">
        <v>455</v>
      </c>
      <c r="C1410">
        <v>10</v>
      </c>
      <c r="D1410" t="s">
        <v>442</v>
      </c>
    </row>
    <row r="1411" spans="1:4" x14ac:dyDescent="0.25">
      <c r="A1411" t="s">
        <v>19</v>
      </c>
      <c r="B1411" t="s">
        <v>447</v>
      </c>
      <c r="C1411">
        <v>3</v>
      </c>
      <c r="D1411" t="s">
        <v>442</v>
      </c>
    </row>
    <row r="1412" spans="1:4" x14ac:dyDescent="0.25">
      <c r="A1412" t="s">
        <v>19</v>
      </c>
      <c r="B1412" t="s">
        <v>454</v>
      </c>
      <c r="C1412">
        <v>3</v>
      </c>
      <c r="D1412" t="s">
        <v>442</v>
      </c>
    </row>
    <row r="1413" spans="1:4" x14ac:dyDescent="0.25">
      <c r="A1413" t="s">
        <v>21</v>
      </c>
      <c r="B1413" t="s">
        <v>446</v>
      </c>
      <c r="C1413">
        <v>14</v>
      </c>
      <c r="D1413" t="s">
        <v>442</v>
      </c>
    </row>
    <row r="1414" spans="1:4" x14ac:dyDescent="0.25">
      <c r="A1414" t="s">
        <v>22</v>
      </c>
      <c r="B1414" t="s">
        <v>446</v>
      </c>
      <c r="C1414">
        <v>49</v>
      </c>
      <c r="D1414" t="s">
        <v>442</v>
      </c>
    </row>
    <row r="1415" spans="1:4" x14ac:dyDescent="0.25">
      <c r="A1415" t="s">
        <v>22</v>
      </c>
      <c r="B1415" t="s">
        <v>445</v>
      </c>
      <c r="C1415">
        <v>6</v>
      </c>
      <c r="D1415" t="s">
        <v>442</v>
      </c>
    </row>
    <row r="1416" spans="1:4" x14ac:dyDescent="0.25">
      <c r="A1416" t="s">
        <v>23</v>
      </c>
      <c r="B1416" t="s">
        <v>441</v>
      </c>
      <c r="C1416">
        <v>5</v>
      </c>
      <c r="D1416" t="s">
        <v>442</v>
      </c>
    </row>
    <row r="1417" spans="1:4" x14ac:dyDescent="0.25">
      <c r="A1417" t="s">
        <v>23</v>
      </c>
      <c r="B1417" t="s">
        <v>450</v>
      </c>
      <c r="C1417">
        <v>4</v>
      </c>
      <c r="D1417" t="s">
        <v>442</v>
      </c>
    </row>
    <row r="1418" spans="1:4" x14ac:dyDescent="0.25">
      <c r="A1418" t="s">
        <v>24</v>
      </c>
      <c r="B1418" t="s">
        <v>446</v>
      </c>
      <c r="C1418">
        <v>35</v>
      </c>
      <c r="D1418" t="s">
        <v>442</v>
      </c>
    </row>
    <row r="1419" spans="1:4" x14ac:dyDescent="0.25">
      <c r="A1419" t="s">
        <v>24</v>
      </c>
      <c r="B1419" t="s">
        <v>453</v>
      </c>
      <c r="C1419">
        <v>6</v>
      </c>
      <c r="D1419" t="s">
        <v>442</v>
      </c>
    </row>
    <row r="1420" spans="1:4" x14ac:dyDescent="0.25">
      <c r="A1420" t="s">
        <v>24</v>
      </c>
      <c r="B1420" t="s">
        <v>454</v>
      </c>
      <c r="C1420">
        <v>2</v>
      </c>
      <c r="D1420" t="s">
        <v>442</v>
      </c>
    </row>
    <row r="1421" spans="1:4" x14ac:dyDescent="0.25">
      <c r="A1421" t="s">
        <v>25</v>
      </c>
      <c r="B1421" t="s">
        <v>446</v>
      </c>
      <c r="C1421">
        <v>157</v>
      </c>
      <c r="D1421" t="s">
        <v>442</v>
      </c>
    </row>
    <row r="1422" spans="1:4" x14ac:dyDescent="0.25">
      <c r="A1422" t="s">
        <v>25</v>
      </c>
      <c r="B1422" t="s">
        <v>454</v>
      </c>
      <c r="C1422">
        <v>13</v>
      </c>
      <c r="D1422" t="s">
        <v>442</v>
      </c>
    </row>
    <row r="1423" spans="1:4" x14ac:dyDescent="0.25">
      <c r="A1423" t="s">
        <v>25</v>
      </c>
      <c r="B1423" t="s">
        <v>453</v>
      </c>
      <c r="C1423">
        <v>12</v>
      </c>
      <c r="D1423" t="s">
        <v>442</v>
      </c>
    </row>
    <row r="1424" spans="1:4" x14ac:dyDescent="0.25">
      <c r="A1424" t="s">
        <v>26</v>
      </c>
      <c r="B1424" t="s">
        <v>446</v>
      </c>
      <c r="C1424">
        <v>58</v>
      </c>
      <c r="D1424" t="s">
        <v>442</v>
      </c>
    </row>
    <row r="1425" spans="1:4" x14ac:dyDescent="0.25">
      <c r="A1425" t="s">
        <v>26</v>
      </c>
      <c r="B1425" t="s">
        <v>445</v>
      </c>
      <c r="C1425">
        <v>7</v>
      </c>
      <c r="D1425" t="s">
        <v>442</v>
      </c>
    </row>
    <row r="1426" spans="1:4" x14ac:dyDescent="0.25">
      <c r="A1426" t="s">
        <v>27</v>
      </c>
      <c r="B1426" t="s">
        <v>441</v>
      </c>
      <c r="C1426">
        <v>614</v>
      </c>
      <c r="D1426" t="s">
        <v>442</v>
      </c>
    </row>
    <row r="1427" spans="1:4" x14ac:dyDescent="0.25">
      <c r="A1427" t="s">
        <v>28</v>
      </c>
      <c r="B1427" t="s">
        <v>446</v>
      </c>
      <c r="C1427">
        <v>22</v>
      </c>
      <c r="D1427" t="s">
        <v>442</v>
      </c>
    </row>
    <row r="1428" spans="1:4" x14ac:dyDescent="0.25">
      <c r="A1428" t="s">
        <v>28</v>
      </c>
      <c r="B1428" t="s">
        <v>448</v>
      </c>
      <c r="C1428">
        <v>15</v>
      </c>
      <c r="D1428" t="s">
        <v>442</v>
      </c>
    </row>
    <row r="1429" spans="1:4" x14ac:dyDescent="0.25">
      <c r="A1429" t="s">
        <v>28</v>
      </c>
      <c r="B1429" t="s">
        <v>447</v>
      </c>
      <c r="C1429">
        <v>10</v>
      </c>
      <c r="D1429" t="s">
        <v>442</v>
      </c>
    </row>
    <row r="1430" spans="1:4" x14ac:dyDescent="0.25">
      <c r="A1430" t="s">
        <v>29</v>
      </c>
      <c r="B1430" t="s">
        <v>446</v>
      </c>
      <c r="C1430">
        <v>50</v>
      </c>
      <c r="D1430" t="s">
        <v>442</v>
      </c>
    </row>
    <row r="1431" spans="1:4" x14ac:dyDescent="0.25">
      <c r="A1431" t="s">
        <v>29</v>
      </c>
      <c r="B1431" t="s">
        <v>445</v>
      </c>
      <c r="C1431">
        <v>10</v>
      </c>
      <c r="D1431" t="s">
        <v>442</v>
      </c>
    </row>
    <row r="1432" spans="1:4" x14ac:dyDescent="0.25">
      <c r="A1432" t="s">
        <v>32</v>
      </c>
      <c r="B1432" t="s">
        <v>446</v>
      </c>
      <c r="C1432">
        <v>80</v>
      </c>
      <c r="D1432" t="s">
        <v>442</v>
      </c>
    </row>
    <row r="1433" spans="1:4" x14ac:dyDescent="0.25">
      <c r="A1433" t="s">
        <v>32</v>
      </c>
      <c r="B1433" t="s">
        <v>449</v>
      </c>
      <c r="C1433">
        <v>21</v>
      </c>
      <c r="D1433" t="s">
        <v>442</v>
      </c>
    </row>
    <row r="1434" spans="1:4" x14ac:dyDescent="0.25">
      <c r="A1434" t="s">
        <v>32</v>
      </c>
      <c r="B1434" t="s">
        <v>447</v>
      </c>
      <c r="C1434">
        <v>9</v>
      </c>
      <c r="D1434" t="s">
        <v>442</v>
      </c>
    </row>
    <row r="1435" spans="1:4" x14ac:dyDescent="0.25">
      <c r="A1435" t="s">
        <v>32</v>
      </c>
      <c r="B1435" t="s">
        <v>456</v>
      </c>
      <c r="C1435">
        <v>5</v>
      </c>
      <c r="D1435" t="s">
        <v>442</v>
      </c>
    </row>
    <row r="1436" spans="1:4" x14ac:dyDescent="0.25">
      <c r="A1436" t="s">
        <v>33</v>
      </c>
      <c r="B1436" t="s">
        <v>455</v>
      </c>
      <c r="C1436">
        <v>4</v>
      </c>
      <c r="D1436" t="s">
        <v>442</v>
      </c>
    </row>
    <row r="1437" spans="1:4" x14ac:dyDescent="0.25">
      <c r="A1437" t="s">
        <v>34</v>
      </c>
      <c r="B1437" t="s">
        <v>446</v>
      </c>
      <c r="C1437">
        <v>109</v>
      </c>
      <c r="D1437" t="s">
        <v>442</v>
      </c>
    </row>
    <row r="1438" spans="1:4" x14ac:dyDescent="0.25">
      <c r="A1438" t="s">
        <v>34</v>
      </c>
      <c r="B1438" t="s">
        <v>457</v>
      </c>
      <c r="C1438">
        <v>20</v>
      </c>
      <c r="D1438" t="s">
        <v>442</v>
      </c>
    </row>
    <row r="1439" spans="1:4" x14ac:dyDescent="0.25">
      <c r="A1439" t="s">
        <v>34</v>
      </c>
      <c r="B1439" t="s">
        <v>454</v>
      </c>
      <c r="C1439">
        <v>14</v>
      </c>
      <c r="D1439" t="s">
        <v>442</v>
      </c>
    </row>
    <row r="1440" spans="1:4" x14ac:dyDescent="0.25">
      <c r="A1440" t="s">
        <v>34</v>
      </c>
      <c r="B1440" t="s">
        <v>453</v>
      </c>
      <c r="C1440">
        <v>10</v>
      </c>
      <c r="D1440" t="s">
        <v>442</v>
      </c>
    </row>
    <row r="1441" spans="1:4" x14ac:dyDescent="0.25">
      <c r="A1441" t="s">
        <v>34</v>
      </c>
      <c r="B1441" t="s">
        <v>456</v>
      </c>
      <c r="C1441">
        <v>7</v>
      </c>
      <c r="D1441" t="s">
        <v>442</v>
      </c>
    </row>
    <row r="1442" spans="1:4" x14ac:dyDescent="0.25">
      <c r="A1442" t="s">
        <v>35</v>
      </c>
      <c r="B1442" t="s">
        <v>441</v>
      </c>
      <c r="C1442">
        <v>151</v>
      </c>
      <c r="D1442" t="s">
        <v>442</v>
      </c>
    </row>
    <row r="1443" spans="1:4" x14ac:dyDescent="0.25">
      <c r="A1443" t="s">
        <v>36</v>
      </c>
      <c r="B1443" t="s">
        <v>446</v>
      </c>
      <c r="C1443">
        <v>38</v>
      </c>
      <c r="D1443" t="s">
        <v>442</v>
      </c>
    </row>
    <row r="1444" spans="1:4" x14ac:dyDescent="0.25">
      <c r="A1444" t="s">
        <v>36</v>
      </c>
      <c r="B1444" t="s">
        <v>449</v>
      </c>
      <c r="C1444">
        <v>18</v>
      </c>
      <c r="D1444" t="s">
        <v>442</v>
      </c>
    </row>
    <row r="1445" spans="1:4" x14ac:dyDescent="0.25">
      <c r="A1445" t="s">
        <v>36</v>
      </c>
      <c r="B1445" t="s">
        <v>454</v>
      </c>
      <c r="C1445">
        <v>5</v>
      </c>
      <c r="D1445" t="s">
        <v>442</v>
      </c>
    </row>
    <row r="1446" spans="1:4" x14ac:dyDescent="0.25">
      <c r="A1446" t="s">
        <v>37</v>
      </c>
      <c r="B1446" t="s">
        <v>446</v>
      </c>
      <c r="C1446">
        <v>77</v>
      </c>
      <c r="D1446" t="s">
        <v>442</v>
      </c>
    </row>
    <row r="1447" spans="1:4" x14ac:dyDescent="0.25">
      <c r="A1447" t="s">
        <v>37</v>
      </c>
      <c r="B1447" t="s">
        <v>454</v>
      </c>
      <c r="C1447">
        <v>12</v>
      </c>
      <c r="D1447" t="s">
        <v>442</v>
      </c>
    </row>
    <row r="1448" spans="1:4" x14ac:dyDescent="0.25">
      <c r="A1448" t="s">
        <v>37</v>
      </c>
      <c r="B1448" t="s">
        <v>447</v>
      </c>
      <c r="C1448">
        <v>5</v>
      </c>
      <c r="D1448" t="s">
        <v>442</v>
      </c>
    </row>
    <row r="1449" spans="1:4" x14ac:dyDescent="0.25">
      <c r="A1449" t="s">
        <v>38</v>
      </c>
      <c r="B1449" t="s">
        <v>446</v>
      </c>
      <c r="C1449">
        <v>41</v>
      </c>
      <c r="D1449" t="s">
        <v>442</v>
      </c>
    </row>
    <row r="1450" spans="1:4" x14ac:dyDescent="0.25">
      <c r="A1450" t="s">
        <v>38</v>
      </c>
      <c r="B1450" t="s">
        <v>458</v>
      </c>
      <c r="C1450">
        <v>10</v>
      </c>
      <c r="D1450" t="s">
        <v>442</v>
      </c>
    </row>
    <row r="1451" spans="1:4" x14ac:dyDescent="0.25">
      <c r="A1451" t="s">
        <v>39</v>
      </c>
      <c r="B1451" t="s">
        <v>446</v>
      </c>
      <c r="C1451">
        <v>52</v>
      </c>
      <c r="D1451" t="s">
        <v>442</v>
      </c>
    </row>
    <row r="1452" spans="1:4" x14ac:dyDescent="0.25">
      <c r="A1452" t="s">
        <v>39</v>
      </c>
      <c r="B1452" t="s">
        <v>448</v>
      </c>
      <c r="C1452">
        <v>7</v>
      </c>
      <c r="D1452" t="s">
        <v>442</v>
      </c>
    </row>
    <row r="1453" spans="1:4" x14ac:dyDescent="0.25">
      <c r="A1453" t="s">
        <v>39</v>
      </c>
      <c r="B1453" t="s">
        <v>451</v>
      </c>
      <c r="C1453">
        <v>7</v>
      </c>
      <c r="D1453" t="s">
        <v>442</v>
      </c>
    </row>
    <row r="1454" spans="1:4" x14ac:dyDescent="0.25">
      <c r="A1454" t="s">
        <v>40</v>
      </c>
      <c r="B1454" t="s">
        <v>446</v>
      </c>
      <c r="C1454">
        <v>529</v>
      </c>
      <c r="D1454" t="s">
        <v>442</v>
      </c>
    </row>
    <row r="1455" spans="1:4" x14ac:dyDescent="0.25">
      <c r="A1455" t="s">
        <v>40</v>
      </c>
      <c r="B1455" t="s">
        <v>454</v>
      </c>
      <c r="C1455">
        <v>61</v>
      </c>
      <c r="D1455" t="s">
        <v>442</v>
      </c>
    </row>
    <row r="1456" spans="1:4" x14ac:dyDescent="0.25">
      <c r="A1456" t="s">
        <v>40</v>
      </c>
      <c r="B1456" t="s">
        <v>445</v>
      </c>
      <c r="C1456">
        <v>52</v>
      </c>
      <c r="D1456" t="s">
        <v>442</v>
      </c>
    </row>
    <row r="1457" spans="1:4" x14ac:dyDescent="0.25">
      <c r="A1457" t="s">
        <v>40</v>
      </c>
      <c r="B1457" t="s">
        <v>457</v>
      </c>
      <c r="C1457">
        <v>18</v>
      </c>
      <c r="D1457" t="s">
        <v>442</v>
      </c>
    </row>
    <row r="1458" spans="1:4" x14ac:dyDescent="0.25">
      <c r="A1458" t="s">
        <v>40</v>
      </c>
      <c r="B1458" t="s">
        <v>447</v>
      </c>
      <c r="C1458">
        <v>10</v>
      </c>
      <c r="D1458" t="s">
        <v>442</v>
      </c>
    </row>
    <row r="1459" spans="1:4" x14ac:dyDescent="0.25">
      <c r="A1459" t="s">
        <v>40</v>
      </c>
      <c r="B1459" t="s">
        <v>452</v>
      </c>
      <c r="C1459">
        <v>5</v>
      </c>
      <c r="D1459" t="s">
        <v>442</v>
      </c>
    </row>
    <row r="1460" spans="1:4" x14ac:dyDescent="0.25">
      <c r="A1460" t="s">
        <v>41</v>
      </c>
      <c r="B1460" t="s">
        <v>450</v>
      </c>
      <c r="C1460">
        <v>22</v>
      </c>
      <c r="D1460" t="s">
        <v>442</v>
      </c>
    </row>
    <row r="1461" spans="1:4" x14ac:dyDescent="0.25">
      <c r="A1461" t="s">
        <v>41</v>
      </c>
      <c r="B1461" t="s">
        <v>446</v>
      </c>
      <c r="C1461">
        <v>3</v>
      </c>
      <c r="D1461" t="s">
        <v>442</v>
      </c>
    </row>
    <row r="1462" spans="1:4" x14ac:dyDescent="0.25">
      <c r="A1462" t="s">
        <v>42</v>
      </c>
      <c r="B1462" t="s">
        <v>446</v>
      </c>
      <c r="C1462">
        <v>229</v>
      </c>
      <c r="D1462" t="s">
        <v>442</v>
      </c>
    </row>
    <row r="1463" spans="1:4" x14ac:dyDescent="0.25">
      <c r="A1463" t="s">
        <v>42</v>
      </c>
      <c r="B1463" t="s">
        <v>445</v>
      </c>
      <c r="C1463">
        <v>26</v>
      </c>
      <c r="D1463" t="s">
        <v>442</v>
      </c>
    </row>
    <row r="1464" spans="1:4" x14ac:dyDescent="0.25">
      <c r="A1464" t="s">
        <v>42</v>
      </c>
      <c r="B1464" t="s">
        <v>454</v>
      </c>
      <c r="C1464">
        <v>25</v>
      </c>
      <c r="D1464" t="s">
        <v>442</v>
      </c>
    </row>
    <row r="1465" spans="1:4" x14ac:dyDescent="0.25">
      <c r="A1465" t="s">
        <v>42</v>
      </c>
      <c r="B1465" t="s">
        <v>453</v>
      </c>
      <c r="C1465">
        <v>14</v>
      </c>
      <c r="D1465" t="s">
        <v>442</v>
      </c>
    </row>
    <row r="1466" spans="1:4" x14ac:dyDescent="0.25">
      <c r="A1466" t="s">
        <v>42</v>
      </c>
      <c r="B1466" t="s">
        <v>457</v>
      </c>
      <c r="C1466">
        <v>5</v>
      </c>
      <c r="D1466" t="s">
        <v>442</v>
      </c>
    </row>
    <row r="1467" spans="1:4" x14ac:dyDescent="0.25">
      <c r="A1467" t="s">
        <v>43</v>
      </c>
      <c r="B1467" t="s">
        <v>446</v>
      </c>
      <c r="C1467">
        <v>37</v>
      </c>
      <c r="D1467" t="s">
        <v>442</v>
      </c>
    </row>
    <row r="1468" spans="1:4" x14ac:dyDescent="0.25">
      <c r="A1468" t="s">
        <v>44</v>
      </c>
      <c r="B1468" t="s">
        <v>441</v>
      </c>
      <c r="C1468">
        <v>122</v>
      </c>
      <c r="D1468" t="s">
        <v>442</v>
      </c>
    </row>
    <row r="1469" spans="1:4" x14ac:dyDescent="0.25">
      <c r="A1469" t="s">
        <v>44</v>
      </c>
      <c r="B1469" t="s">
        <v>452</v>
      </c>
      <c r="C1469">
        <v>40</v>
      </c>
      <c r="D1469" t="s">
        <v>442</v>
      </c>
    </row>
    <row r="1470" spans="1:4" x14ac:dyDescent="0.25">
      <c r="A1470" t="s">
        <v>45</v>
      </c>
      <c r="B1470" t="s">
        <v>446</v>
      </c>
      <c r="C1470">
        <v>42</v>
      </c>
      <c r="D1470" t="s">
        <v>442</v>
      </c>
    </row>
    <row r="1471" spans="1:4" x14ac:dyDescent="0.25">
      <c r="A1471" t="s">
        <v>45</v>
      </c>
      <c r="B1471" t="s">
        <v>453</v>
      </c>
      <c r="C1471">
        <v>9</v>
      </c>
      <c r="D1471" t="s">
        <v>442</v>
      </c>
    </row>
    <row r="1472" spans="1:4" x14ac:dyDescent="0.25">
      <c r="A1472" t="s">
        <v>48</v>
      </c>
      <c r="B1472" t="s">
        <v>446</v>
      </c>
      <c r="C1472">
        <v>71</v>
      </c>
      <c r="D1472" t="s">
        <v>442</v>
      </c>
    </row>
    <row r="1473" spans="1:4" x14ac:dyDescent="0.25">
      <c r="A1473" t="s">
        <v>48</v>
      </c>
      <c r="B1473" t="s">
        <v>454</v>
      </c>
      <c r="C1473">
        <v>6</v>
      </c>
      <c r="D1473" t="s">
        <v>442</v>
      </c>
    </row>
    <row r="1474" spans="1:4" x14ac:dyDescent="0.25">
      <c r="A1474" t="s">
        <v>49</v>
      </c>
      <c r="B1474" t="s">
        <v>441</v>
      </c>
      <c r="C1474">
        <v>192</v>
      </c>
      <c r="D1474" t="s">
        <v>442</v>
      </c>
    </row>
    <row r="1475" spans="1:4" x14ac:dyDescent="0.25">
      <c r="A1475" t="s">
        <v>52</v>
      </c>
      <c r="B1475" t="s">
        <v>446</v>
      </c>
      <c r="C1475">
        <v>32</v>
      </c>
      <c r="D1475" t="s">
        <v>442</v>
      </c>
    </row>
    <row r="1476" spans="1:4" x14ac:dyDescent="0.25">
      <c r="A1476" t="s">
        <v>53</v>
      </c>
      <c r="B1476" t="s">
        <v>446</v>
      </c>
      <c r="C1476">
        <v>291</v>
      </c>
      <c r="D1476" t="s">
        <v>442</v>
      </c>
    </row>
    <row r="1477" spans="1:4" x14ac:dyDescent="0.25">
      <c r="A1477" t="s">
        <v>53</v>
      </c>
      <c r="B1477" t="s">
        <v>454</v>
      </c>
      <c r="C1477">
        <v>21</v>
      </c>
      <c r="D1477" t="s">
        <v>442</v>
      </c>
    </row>
    <row r="1478" spans="1:4" x14ac:dyDescent="0.25">
      <c r="A1478" t="s">
        <v>53</v>
      </c>
      <c r="B1478" t="s">
        <v>449</v>
      </c>
      <c r="C1478">
        <v>17</v>
      </c>
      <c r="D1478" t="s">
        <v>442</v>
      </c>
    </row>
    <row r="1479" spans="1:4" x14ac:dyDescent="0.25">
      <c r="A1479" t="s">
        <v>53</v>
      </c>
      <c r="B1479" t="s">
        <v>445</v>
      </c>
      <c r="C1479">
        <v>15</v>
      </c>
      <c r="D1479" t="s">
        <v>442</v>
      </c>
    </row>
    <row r="1480" spans="1:4" x14ac:dyDescent="0.25">
      <c r="A1480" t="s">
        <v>53</v>
      </c>
      <c r="B1480" t="s">
        <v>456</v>
      </c>
      <c r="C1480">
        <v>12</v>
      </c>
      <c r="D1480" t="s">
        <v>442</v>
      </c>
    </row>
    <row r="1481" spans="1:4" x14ac:dyDescent="0.25">
      <c r="A1481" t="s">
        <v>53</v>
      </c>
      <c r="B1481" t="s">
        <v>453</v>
      </c>
      <c r="C1481">
        <v>10</v>
      </c>
      <c r="D1481" t="s">
        <v>442</v>
      </c>
    </row>
    <row r="1482" spans="1:4" x14ac:dyDescent="0.25">
      <c r="A1482" t="s">
        <v>53</v>
      </c>
      <c r="B1482" t="s">
        <v>457</v>
      </c>
      <c r="C1482">
        <v>10</v>
      </c>
      <c r="D1482" t="s">
        <v>442</v>
      </c>
    </row>
    <row r="1483" spans="1:4" x14ac:dyDescent="0.25">
      <c r="A1483" t="s">
        <v>53</v>
      </c>
      <c r="B1483" t="s">
        <v>458</v>
      </c>
      <c r="C1483">
        <v>7</v>
      </c>
      <c r="D1483" t="s">
        <v>442</v>
      </c>
    </row>
    <row r="1484" spans="1:4" x14ac:dyDescent="0.25">
      <c r="A1484" t="s">
        <v>55</v>
      </c>
      <c r="B1484" t="s">
        <v>446</v>
      </c>
      <c r="C1484">
        <v>40</v>
      </c>
      <c r="D1484" t="s">
        <v>442</v>
      </c>
    </row>
    <row r="1485" spans="1:4" x14ac:dyDescent="0.25">
      <c r="A1485" t="s">
        <v>57</v>
      </c>
      <c r="B1485" t="s">
        <v>441</v>
      </c>
      <c r="C1485">
        <v>614</v>
      </c>
      <c r="D1485" t="s">
        <v>442</v>
      </c>
    </row>
    <row r="1486" spans="1:4" x14ac:dyDescent="0.25">
      <c r="A1486" t="s">
        <v>57</v>
      </c>
      <c r="B1486" t="s">
        <v>443</v>
      </c>
      <c r="C1486">
        <v>127</v>
      </c>
      <c r="D1486" t="s">
        <v>442</v>
      </c>
    </row>
    <row r="1487" spans="1:4" x14ac:dyDescent="0.25">
      <c r="A1487" t="s">
        <v>58</v>
      </c>
      <c r="B1487" t="s">
        <v>446</v>
      </c>
      <c r="C1487">
        <v>57</v>
      </c>
      <c r="D1487" t="s">
        <v>442</v>
      </c>
    </row>
    <row r="1488" spans="1:4" x14ac:dyDescent="0.25">
      <c r="A1488" t="s">
        <v>58</v>
      </c>
      <c r="B1488" t="s">
        <v>447</v>
      </c>
      <c r="C1488">
        <v>14</v>
      </c>
      <c r="D1488" t="s">
        <v>442</v>
      </c>
    </row>
    <row r="1489" spans="1:4" x14ac:dyDescent="0.25">
      <c r="A1489" t="s">
        <v>59</v>
      </c>
      <c r="B1489" t="s">
        <v>446</v>
      </c>
      <c r="C1489">
        <v>21</v>
      </c>
      <c r="D1489" t="s">
        <v>442</v>
      </c>
    </row>
    <row r="1490" spans="1:4" x14ac:dyDescent="0.25">
      <c r="A1490" t="s">
        <v>59</v>
      </c>
      <c r="B1490" t="s">
        <v>449</v>
      </c>
      <c r="C1490">
        <v>18</v>
      </c>
      <c r="D1490" t="s">
        <v>442</v>
      </c>
    </row>
    <row r="1491" spans="1:4" x14ac:dyDescent="0.25">
      <c r="A1491" t="s">
        <v>60</v>
      </c>
      <c r="B1491" t="s">
        <v>446</v>
      </c>
      <c r="C1491">
        <v>21</v>
      </c>
      <c r="D1491" t="s">
        <v>442</v>
      </c>
    </row>
    <row r="1492" spans="1:4" x14ac:dyDescent="0.25">
      <c r="A1492" t="s">
        <v>60</v>
      </c>
      <c r="B1492" t="s">
        <v>453</v>
      </c>
      <c r="C1492">
        <v>7</v>
      </c>
      <c r="D1492" t="s">
        <v>442</v>
      </c>
    </row>
    <row r="1493" spans="1:4" x14ac:dyDescent="0.25">
      <c r="A1493" t="s">
        <v>61</v>
      </c>
      <c r="B1493" t="s">
        <v>441</v>
      </c>
      <c r="C1493">
        <v>253</v>
      </c>
      <c r="D1493" t="s">
        <v>442</v>
      </c>
    </row>
    <row r="1494" spans="1:4" x14ac:dyDescent="0.25">
      <c r="A1494" t="s">
        <v>62</v>
      </c>
      <c r="B1494" t="s">
        <v>445</v>
      </c>
      <c r="C1494">
        <v>51</v>
      </c>
      <c r="D1494" t="s">
        <v>442</v>
      </c>
    </row>
    <row r="1495" spans="1:4" x14ac:dyDescent="0.25">
      <c r="A1495" t="s">
        <v>63</v>
      </c>
      <c r="B1495" t="s">
        <v>449</v>
      </c>
      <c r="C1495">
        <v>5</v>
      </c>
      <c r="D1495" t="s">
        <v>442</v>
      </c>
    </row>
    <row r="1496" spans="1:4" x14ac:dyDescent="0.25">
      <c r="A1496" t="s">
        <v>65</v>
      </c>
      <c r="B1496" t="s">
        <v>446</v>
      </c>
      <c r="C1496">
        <v>194</v>
      </c>
      <c r="D1496" t="s">
        <v>442</v>
      </c>
    </row>
    <row r="1497" spans="1:4" x14ac:dyDescent="0.25">
      <c r="A1497" t="s">
        <v>65</v>
      </c>
      <c r="B1497" t="s">
        <v>449</v>
      </c>
      <c r="C1497">
        <v>28</v>
      </c>
      <c r="D1497" t="s">
        <v>442</v>
      </c>
    </row>
    <row r="1498" spans="1:4" x14ac:dyDescent="0.25">
      <c r="A1498" t="s">
        <v>65</v>
      </c>
      <c r="B1498" t="s">
        <v>458</v>
      </c>
      <c r="C1498">
        <v>25</v>
      </c>
      <c r="D1498" t="s">
        <v>442</v>
      </c>
    </row>
    <row r="1499" spans="1:4" x14ac:dyDescent="0.25">
      <c r="A1499" t="s">
        <v>65</v>
      </c>
      <c r="B1499" t="s">
        <v>445</v>
      </c>
      <c r="C1499">
        <v>19</v>
      </c>
      <c r="D1499" t="s">
        <v>442</v>
      </c>
    </row>
    <row r="1500" spans="1:4" x14ac:dyDescent="0.25">
      <c r="A1500" t="s">
        <v>65</v>
      </c>
      <c r="B1500" t="s">
        <v>447</v>
      </c>
      <c r="C1500">
        <v>12</v>
      </c>
      <c r="D1500" t="s">
        <v>442</v>
      </c>
    </row>
    <row r="1501" spans="1:4" x14ac:dyDescent="0.25">
      <c r="A1501" t="s">
        <v>65</v>
      </c>
      <c r="B1501" t="s">
        <v>454</v>
      </c>
      <c r="C1501">
        <v>12</v>
      </c>
      <c r="D1501" t="s">
        <v>442</v>
      </c>
    </row>
    <row r="1502" spans="1:4" x14ac:dyDescent="0.25">
      <c r="A1502" t="s">
        <v>65</v>
      </c>
      <c r="B1502" t="s">
        <v>453</v>
      </c>
      <c r="C1502">
        <v>5</v>
      </c>
      <c r="D1502" t="s">
        <v>442</v>
      </c>
    </row>
    <row r="1503" spans="1:4" x14ac:dyDescent="0.25">
      <c r="A1503" t="s">
        <v>66</v>
      </c>
      <c r="B1503" t="s">
        <v>446</v>
      </c>
      <c r="C1503">
        <v>86</v>
      </c>
      <c r="D1503" t="s">
        <v>442</v>
      </c>
    </row>
    <row r="1504" spans="1:4" x14ac:dyDescent="0.25">
      <c r="A1504" t="s">
        <v>66</v>
      </c>
      <c r="B1504" t="s">
        <v>447</v>
      </c>
      <c r="C1504">
        <v>13</v>
      </c>
      <c r="D1504" t="s">
        <v>442</v>
      </c>
    </row>
    <row r="1505" spans="1:4" x14ac:dyDescent="0.25">
      <c r="A1505" t="s">
        <v>66</v>
      </c>
      <c r="B1505" t="s">
        <v>449</v>
      </c>
      <c r="C1505">
        <v>4</v>
      </c>
      <c r="D1505" t="s">
        <v>442</v>
      </c>
    </row>
    <row r="1506" spans="1:4" x14ac:dyDescent="0.25">
      <c r="A1506" t="s">
        <v>67</v>
      </c>
      <c r="B1506" t="s">
        <v>446</v>
      </c>
      <c r="C1506">
        <v>68</v>
      </c>
      <c r="D1506" t="s">
        <v>442</v>
      </c>
    </row>
    <row r="1507" spans="1:4" x14ac:dyDescent="0.25">
      <c r="A1507" t="s">
        <v>67</v>
      </c>
      <c r="B1507" t="s">
        <v>451</v>
      </c>
      <c r="C1507">
        <v>10</v>
      </c>
      <c r="D1507" t="s">
        <v>442</v>
      </c>
    </row>
    <row r="1508" spans="1:4" x14ac:dyDescent="0.25">
      <c r="A1508" t="s">
        <v>67</v>
      </c>
      <c r="B1508" t="s">
        <v>454</v>
      </c>
      <c r="C1508">
        <v>8</v>
      </c>
      <c r="D1508" t="s">
        <v>442</v>
      </c>
    </row>
    <row r="1509" spans="1:4" x14ac:dyDescent="0.25">
      <c r="A1509" t="s">
        <v>67</v>
      </c>
      <c r="B1509" t="s">
        <v>455</v>
      </c>
      <c r="C1509">
        <v>5</v>
      </c>
      <c r="D1509" t="s">
        <v>442</v>
      </c>
    </row>
    <row r="1510" spans="1:4" x14ac:dyDescent="0.25">
      <c r="A1510" t="s">
        <v>68</v>
      </c>
      <c r="B1510" t="s">
        <v>450</v>
      </c>
      <c r="C1510">
        <v>45</v>
      </c>
      <c r="D1510" t="s">
        <v>442</v>
      </c>
    </row>
    <row r="1511" spans="1:4" x14ac:dyDescent="0.25">
      <c r="A1511" t="s">
        <v>68</v>
      </c>
      <c r="B1511" t="s">
        <v>441</v>
      </c>
      <c r="C1511">
        <v>43</v>
      </c>
      <c r="D1511" t="s">
        <v>442</v>
      </c>
    </row>
    <row r="1512" spans="1:4" x14ac:dyDescent="0.25">
      <c r="A1512" t="s">
        <v>69</v>
      </c>
      <c r="B1512" t="s">
        <v>441</v>
      </c>
      <c r="C1512">
        <v>11</v>
      </c>
      <c r="D1512" t="s">
        <v>442</v>
      </c>
    </row>
    <row r="1513" spans="1:4" x14ac:dyDescent="0.25">
      <c r="A1513" t="s">
        <v>69</v>
      </c>
      <c r="B1513" t="s">
        <v>445</v>
      </c>
      <c r="C1513">
        <v>4</v>
      </c>
      <c r="D1513" t="s">
        <v>442</v>
      </c>
    </row>
    <row r="1514" spans="1:4" x14ac:dyDescent="0.25">
      <c r="A1514" t="s">
        <v>70</v>
      </c>
      <c r="B1514" t="s">
        <v>446</v>
      </c>
      <c r="C1514">
        <v>54</v>
      </c>
      <c r="D1514" t="s">
        <v>442</v>
      </c>
    </row>
    <row r="1515" spans="1:4" x14ac:dyDescent="0.25">
      <c r="A1515" t="s">
        <v>70</v>
      </c>
      <c r="B1515" t="s">
        <v>454</v>
      </c>
      <c r="C1515">
        <v>5</v>
      </c>
      <c r="D1515" t="s">
        <v>442</v>
      </c>
    </row>
    <row r="1516" spans="1:4" x14ac:dyDescent="0.25">
      <c r="A1516" t="s">
        <v>72</v>
      </c>
      <c r="B1516" t="s">
        <v>446</v>
      </c>
      <c r="C1516">
        <v>99</v>
      </c>
      <c r="D1516" t="s">
        <v>442</v>
      </c>
    </row>
    <row r="1517" spans="1:4" x14ac:dyDescent="0.25">
      <c r="A1517" t="s">
        <v>72</v>
      </c>
      <c r="B1517" t="s">
        <v>452</v>
      </c>
      <c r="C1517">
        <v>47</v>
      </c>
      <c r="D1517" t="s">
        <v>442</v>
      </c>
    </row>
    <row r="1518" spans="1:4" x14ac:dyDescent="0.25">
      <c r="A1518" t="s">
        <v>72</v>
      </c>
      <c r="B1518" t="s">
        <v>454</v>
      </c>
      <c r="C1518">
        <v>33</v>
      </c>
      <c r="D1518" t="s">
        <v>442</v>
      </c>
    </row>
    <row r="1519" spans="1:4" x14ac:dyDescent="0.25">
      <c r="A1519" t="s">
        <v>72</v>
      </c>
      <c r="B1519" t="s">
        <v>445</v>
      </c>
      <c r="C1519">
        <v>24</v>
      </c>
      <c r="D1519" t="s">
        <v>442</v>
      </c>
    </row>
    <row r="1520" spans="1:4" x14ac:dyDescent="0.25">
      <c r="A1520" t="s">
        <v>74</v>
      </c>
      <c r="B1520" t="s">
        <v>446</v>
      </c>
      <c r="C1520">
        <v>18</v>
      </c>
      <c r="D1520" t="s">
        <v>442</v>
      </c>
    </row>
    <row r="1521" spans="1:4" x14ac:dyDescent="0.25">
      <c r="A1521" t="s">
        <v>75</v>
      </c>
      <c r="B1521" t="s">
        <v>446</v>
      </c>
      <c r="C1521">
        <v>34</v>
      </c>
      <c r="D1521" t="s">
        <v>442</v>
      </c>
    </row>
    <row r="1522" spans="1:4" x14ac:dyDescent="0.25">
      <c r="A1522" t="s">
        <v>75</v>
      </c>
      <c r="B1522" t="s">
        <v>449</v>
      </c>
      <c r="C1522">
        <v>11</v>
      </c>
      <c r="D1522" t="s">
        <v>442</v>
      </c>
    </row>
    <row r="1523" spans="1:4" x14ac:dyDescent="0.25">
      <c r="A1523" t="s">
        <v>76</v>
      </c>
      <c r="B1523" t="s">
        <v>446</v>
      </c>
      <c r="C1523">
        <v>337</v>
      </c>
      <c r="D1523" t="s">
        <v>442</v>
      </c>
    </row>
    <row r="1524" spans="1:4" x14ac:dyDescent="0.25">
      <c r="A1524" t="s">
        <v>76</v>
      </c>
      <c r="B1524" t="s">
        <v>454</v>
      </c>
      <c r="C1524">
        <v>64</v>
      </c>
      <c r="D1524" t="s">
        <v>442</v>
      </c>
    </row>
    <row r="1525" spans="1:4" x14ac:dyDescent="0.25">
      <c r="A1525" t="s">
        <v>76</v>
      </c>
      <c r="B1525" t="s">
        <v>445</v>
      </c>
      <c r="C1525">
        <v>21</v>
      </c>
      <c r="D1525" t="s">
        <v>442</v>
      </c>
    </row>
    <row r="1526" spans="1:4" x14ac:dyDescent="0.25">
      <c r="A1526" t="s">
        <v>76</v>
      </c>
      <c r="B1526" t="s">
        <v>447</v>
      </c>
      <c r="C1526">
        <v>15</v>
      </c>
      <c r="D1526" t="s">
        <v>442</v>
      </c>
    </row>
    <row r="1527" spans="1:4" x14ac:dyDescent="0.25">
      <c r="A1527" t="s">
        <v>76</v>
      </c>
      <c r="B1527" t="s">
        <v>449</v>
      </c>
      <c r="C1527">
        <v>11</v>
      </c>
      <c r="D1527" t="s">
        <v>442</v>
      </c>
    </row>
    <row r="1528" spans="1:4" x14ac:dyDescent="0.25">
      <c r="A1528" t="s">
        <v>76</v>
      </c>
      <c r="B1528" t="s">
        <v>456</v>
      </c>
      <c r="C1528">
        <v>9</v>
      </c>
      <c r="D1528" t="s">
        <v>442</v>
      </c>
    </row>
    <row r="1529" spans="1:4" x14ac:dyDescent="0.25">
      <c r="A1529" t="s">
        <v>78</v>
      </c>
      <c r="B1529" t="s">
        <v>446</v>
      </c>
      <c r="C1529">
        <v>107</v>
      </c>
      <c r="D1529" t="s">
        <v>442</v>
      </c>
    </row>
    <row r="1530" spans="1:4" x14ac:dyDescent="0.25">
      <c r="A1530" t="s">
        <v>79</v>
      </c>
      <c r="B1530" t="s">
        <v>446</v>
      </c>
      <c r="C1530">
        <v>16</v>
      </c>
      <c r="D1530" t="s">
        <v>442</v>
      </c>
    </row>
    <row r="1531" spans="1:4" x14ac:dyDescent="0.25">
      <c r="A1531" t="s">
        <v>79</v>
      </c>
      <c r="B1531" t="s">
        <v>453</v>
      </c>
      <c r="C1531">
        <v>12</v>
      </c>
      <c r="D1531" t="s">
        <v>442</v>
      </c>
    </row>
    <row r="1532" spans="1:4" x14ac:dyDescent="0.25">
      <c r="A1532" t="s">
        <v>79</v>
      </c>
      <c r="B1532" t="s">
        <v>447</v>
      </c>
      <c r="C1532">
        <v>11</v>
      </c>
      <c r="D1532" t="s">
        <v>442</v>
      </c>
    </row>
    <row r="1533" spans="1:4" x14ac:dyDescent="0.25">
      <c r="A1533" t="s">
        <v>81</v>
      </c>
      <c r="B1533" t="s">
        <v>452</v>
      </c>
      <c r="C1533">
        <v>9</v>
      </c>
      <c r="D1533" t="s">
        <v>442</v>
      </c>
    </row>
    <row r="1534" spans="1:4" x14ac:dyDescent="0.25">
      <c r="A1534" t="s">
        <v>82</v>
      </c>
      <c r="B1534" t="s">
        <v>444</v>
      </c>
      <c r="C1534">
        <v>214</v>
      </c>
      <c r="D1534" t="s">
        <v>442</v>
      </c>
    </row>
    <row r="1535" spans="1:4" x14ac:dyDescent="0.25">
      <c r="A1535" t="s">
        <v>82</v>
      </c>
      <c r="B1535" t="s">
        <v>446</v>
      </c>
      <c r="C1535">
        <v>58</v>
      </c>
      <c r="D1535" t="s">
        <v>442</v>
      </c>
    </row>
    <row r="1536" spans="1:4" x14ac:dyDescent="0.25">
      <c r="A1536" t="s">
        <v>82</v>
      </c>
      <c r="B1536" t="s">
        <v>447</v>
      </c>
      <c r="C1536">
        <v>16</v>
      </c>
      <c r="D1536" t="s">
        <v>442</v>
      </c>
    </row>
    <row r="1537" spans="1:4" x14ac:dyDescent="0.25">
      <c r="A1537" t="s">
        <v>82</v>
      </c>
      <c r="B1537" t="s">
        <v>454</v>
      </c>
      <c r="C1537">
        <v>7</v>
      </c>
      <c r="D1537" t="s">
        <v>442</v>
      </c>
    </row>
    <row r="1538" spans="1:4" x14ac:dyDescent="0.25">
      <c r="A1538" t="s">
        <v>83</v>
      </c>
      <c r="B1538" t="s">
        <v>446</v>
      </c>
      <c r="C1538">
        <v>31</v>
      </c>
      <c r="D1538" t="s">
        <v>442</v>
      </c>
    </row>
    <row r="1539" spans="1:4" x14ac:dyDescent="0.25">
      <c r="A1539" t="s">
        <v>83</v>
      </c>
      <c r="B1539" t="s">
        <v>454</v>
      </c>
      <c r="C1539">
        <v>5</v>
      </c>
      <c r="D1539" t="s">
        <v>442</v>
      </c>
    </row>
    <row r="1540" spans="1:4" x14ac:dyDescent="0.25">
      <c r="A1540" t="s">
        <v>84</v>
      </c>
      <c r="B1540" t="s">
        <v>446</v>
      </c>
      <c r="C1540">
        <v>92</v>
      </c>
      <c r="D1540" t="s">
        <v>442</v>
      </c>
    </row>
    <row r="1541" spans="1:4" x14ac:dyDescent="0.25">
      <c r="A1541" t="s">
        <v>84</v>
      </c>
      <c r="B1541" t="s">
        <v>447</v>
      </c>
      <c r="C1541">
        <v>30</v>
      </c>
      <c r="D1541" t="s">
        <v>442</v>
      </c>
    </row>
    <row r="1542" spans="1:4" x14ac:dyDescent="0.25">
      <c r="A1542" t="s">
        <v>84</v>
      </c>
      <c r="B1542" t="s">
        <v>456</v>
      </c>
      <c r="C1542">
        <v>25</v>
      </c>
      <c r="D1542" t="s">
        <v>442</v>
      </c>
    </row>
    <row r="1543" spans="1:4" x14ac:dyDescent="0.25">
      <c r="A1543" t="s">
        <v>84</v>
      </c>
      <c r="B1543" t="s">
        <v>445</v>
      </c>
      <c r="C1543">
        <v>13</v>
      </c>
      <c r="D1543" t="s">
        <v>442</v>
      </c>
    </row>
    <row r="1544" spans="1:4" x14ac:dyDescent="0.25">
      <c r="A1544" t="s">
        <v>84</v>
      </c>
      <c r="B1544" t="s">
        <v>449</v>
      </c>
      <c r="C1544">
        <v>10</v>
      </c>
      <c r="D1544" t="s">
        <v>442</v>
      </c>
    </row>
    <row r="1545" spans="1:4" x14ac:dyDescent="0.25">
      <c r="A1545" t="s">
        <v>85</v>
      </c>
      <c r="B1545" t="s">
        <v>446</v>
      </c>
      <c r="C1545">
        <v>71</v>
      </c>
      <c r="D1545" t="s">
        <v>442</v>
      </c>
    </row>
    <row r="1546" spans="1:4" x14ac:dyDescent="0.25">
      <c r="A1546" t="s">
        <v>85</v>
      </c>
      <c r="B1546" t="s">
        <v>454</v>
      </c>
      <c r="C1546">
        <v>11</v>
      </c>
      <c r="D1546" t="s">
        <v>442</v>
      </c>
    </row>
    <row r="1547" spans="1:4" x14ac:dyDescent="0.25">
      <c r="A1547" t="s">
        <v>85</v>
      </c>
      <c r="B1547" t="s">
        <v>455</v>
      </c>
      <c r="C1547">
        <v>6</v>
      </c>
      <c r="D1547" t="s">
        <v>442</v>
      </c>
    </row>
    <row r="1548" spans="1:4" x14ac:dyDescent="0.25">
      <c r="A1548" t="s">
        <v>87</v>
      </c>
      <c r="B1548" t="s">
        <v>450</v>
      </c>
      <c r="C1548">
        <v>13</v>
      </c>
      <c r="D1548" t="s">
        <v>442</v>
      </c>
    </row>
    <row r="1549" spans="1:4" x14ac:dyDescent="0.25">
      <c r="A1549" t="s">
        <v>88</v>
      </c>
      <c r="B1549" t="s">
        <v>449</v>
      </c>
      <c r="C1549">
        <v>20</v>
      </c>
      <c r="D1549" t="s">
        <v>442</v>
      </c>
    </row>
    <row r="1550" spans="1:4" x14ac:dyDescent="0.25">
      <c r="A1550" t="s">
        <v>89</v>
      </c>
      <c r="B1550" t="s">
        <v>446</v>
      </c>
      <c r="C1550">
        <v>42</v>
      </c>
      <c r="D1550" t="s">
        <v>442</v>
      </c>
    </row>
    <row r="1551" spans="1:4" x14ac:dyDescent="0.25">
      <c r="A1551" t="s">
        <v>89</v>
      </c>
      <c r="B1551" t="s">
        <v>448</v>
      </c>
      <c r="C1551">
        <v>6</v>
      </c>
      <c r="D1551" t="s">
        <v>442</v>
      </c>
    </row>
    <row r="1552" spans="1:4" x14ac:dyDescent="0.25">
      <c r="A1552" t="s">
        <v>90</v>
      </c>
      <c r="B1552" t="s">
        <v>446</v>
      </c>
      <c r="C1552">
        <v>389</v>
      </c>
      <c r="D1552" t="s">
        <v>442</v>
      </c>
    </row>
    <row r="1553" spans="1:4" x14ac:dyDescent="0.25">
      <c r="A1553" t="s">
        <v>90</v>
      </c>
      <c r="B1553" t="s">
        <v>445</v>
      </c>
      <c r="C1553">
        <v>35</v>
      </c>
      <c r="D1553" t="s">
        <v>442</v>
      </c>
    </row>
    <row r="1554" spans="1:4" x14ac:dyDescent="0.25">
      <c r="A1554" t="s">
        <v>90</v>
      </c>
      <c r="B1554" t="s">
        <v>454</v>
      </c>
      <c r="C1554">
        <v>25</v>
      </c>
      <c r="D1554" t="s">
        <v>442</v>
      </c>
    </row>
    <row r="1555" spans="1:4" x14ac:dyDescent="0.25">
      <c r="A1555" t="s">
        <v>90</v>
      </c>
      <c r="B1555" t="s">
        <v>453</v>
      </c>
      <c r="C1555">
        <v>21</v>
      </c>
      <c r="D1555" t="s">
        <v>442</v>
      </c>
    </row>
    <row r="1556" spans="1:4" x14ac:dyDescent="0.25">
      <c r="A1556" t="s">
        <v>90</v>
      </c>
      <c r="B1556" t="s">
        <v>456</v>
      </c>
      <c r="C1556">
        <v>20</v>
      </c>
      <c r="D1556" t="s">
        <v>442</v>
      </c>
    </row>
    <row r="1557" spans="1:4" x14ac:dyDescent="0.25">
      <c r="A1557" t="s">
        <v>90</v>
      </c>
      <c r="B1557" t="s">
        <v>447</v>
      </c>
      <c r="C1557">
        <v>10</v>
      </c>
      <c r="D1557" t="s">
        <v>442</v>
      </c>
    </row>
    <row r="1558" spans="1:4" x14ac:dyDescent="0.25">
      <c r="A1558" t="s">
        <v>90</v>
      </c>
      <c r="B1558" t="s">
        <v>449</v>
      </c>
      <c r="C1558">
        <v>6</v>
      </c>
      <c r="D1558" t="s">
        <v>442</v>
      </c>
    </row>
    <row r="1559" spans="1:4" x14ac:dyDescent="0.25">
      <c r="A1559" t="s">
        <v>90</v>
      </c>
      <c r="B1559" t="s">
        <v>443</v>
      </c>
      <c r="C1559">
        <v>2</v>
      </c>
      <c r="D1559" t="s">
        <v>442</v>
      </c>
    </row>
    <row r="1560" spans="1:4" x14ac:dyDescent="0.25">
      <c r="A1560" t="s">
        <v>91</v>
      </c>
      <c r="B1560" t="s">
        <v>446</v>
      </c>
      <c r="C1560">
        <v>25</v>
      </c>
      <c r="D1560" t="s">
        <v>442</v>
      </c>
    </row>
    <row r="1561" spans="1:4" x14ac:dyDescent="0.25">
      <c r="A1561" t="s">
        <v>92</v>
      </c>
      <c r="B1561" t="s">
        <v>454</v>
      </c>
      <c r="C1561">
        <v>70</v>
      </c>
      <c r="D1561" t="s">
        <v>442</v>
      </c>
    </row>
    <row r="1562" spans="1:4" x14ac:dyDescent="0.25">
      <c r="A1562" t="s">
        <v>92</v>
      </c>
      <c r="B1562" t="s">
        <v>441</v>
      </c>
      <c r="C1562">
        <v>59</v>
      </c>
      <c r="D1562" t="s">
        <v>442</v>
      </c>
    </row>
    <row r="1563" spans="1:4" x14ac:dyDescent="0.25">
      <c r="A1563" t="s">
        <v>93</v>
      </c>
      <c r="B1563" t="s">
        <v>453</v>
      </c>
      <c r="C1563">
        <v>10</v>
      </c>
      <c r="D1563" t="s">
        <v>442</v>
      </c>
    </row>
    <row r="1564" spans="1:4" x14ac:dyDescent="0.25">
      <c r="A1564" t="s">
        <v>6</v>
      </c>
      <c r="B1564" t="s">
        <v>459</v>
      </c>
      <c r="C1564">
        <v>526</v>
      </c>
      <c r="D1564" t="s">
        <v>460</v>
      </c>
    </row>
    <row r="1565" spans="1:4" x14ac:dyDescent="0.25">
      <c r="A1565" t="s">
        <v>7</v>
      </c>
      <c r="B1565" t="s">
        <v>459</v>
      </c>
      <c r="C1565">
        <v>10</v>
      </c>
      <c r="D1565" t="s">
        <v>460</v>
      </c>
    </row>
    <row r="1566" spans="1:4" x14ac:dyDescent="0.25">
      <c r="A1566" t="s">
        <v>8</v>
      </c>
      <c r="B1566" t="s">
        <v>459</v>
      </c>
      <c r="C1566">
        <v>248</v>
      </c>
      <c r="D1566" t="s">
        <v>460</v>
      </c>
    </row>
    <row r="1567" spans="1:4" x14ac:dyDescent="0.25">
      <c r="A1567" t="s">
        <v>12</v>
      </c>
      <c r="B1567" t="s">
        <v>459</v>
      </c>
      <c r="C1567">
        <v>110</v>
      </c>
      <c r="D1567" t="s">
        <v>460</v>
      </c>
    </row>
    <row r="1568" spans="1:4" x14ac:dyDescent="0.25">
      <c r="A1568" t="s">
        <v>41</v>
      </c>
      <c r="B1568" t="s">
        <v>459</v>
      </c>
      <c r="C1568">
        <v>3</v>
      </c>
      <c r="D1568" t="s">
        <v>460</v>
      </c>
    </row>
    <row r="1569" spans="1:4" x14ac:dyDescent="0.25">
      <c r="A1569" t="s">
        <v>49</v>
      </c>
      <c r="B1569" t="s">
        <v>459</v>
      </c>
      <c r="C1569">
        <v>54</v>
      </c>
      <c r="D1569" t="s">
        <v>460</v>
      </c>
    </row>
    <row r="1570" spans="1:4" x14ac:dyDescent="0.25">
      <c r="A1570" t="s">
        <v>57</v>
      </c>
      <c r="B1570" t="s">
        <v>459</v>
      </c>
      <c r="C1570">
        <v>110</v>
      </c>
      <c r="D1570" t="s">
        <v>460</v>
      </c>
    </row>
    <row r="1571" spans="1:4" x14ac:dyDescent="0.25">
      <c r="A1571" t="s">
        <v>64</v>
      </c>
      <c r="B1571" t="s">
        <v>459</v>
      </c>
      <c r="C1571">
        <v>8</v>
      </c>
      <c r="D1571" t="s">
        <v>460</v>
      </c>
    </row>
    <row r="1572" spans="1:4" x14ac:dyDescent="0.25">
      <c r="A1572" t="s">
        <v>69</v>
      </c>
      <c r="B1572" t="s">
        <v>459</v>
      </c>
      <c r="C1572">
        <v>8</v>
      </c>
      <c r="D1572" t="s">
        <v>460</v>
      </c>
    </row>
    <row r="1573" spans="1:4" x14ac:dyDescent="0.25">
      <c r="A1573" t="s">
        <v>78</v>
      </c>
      <c r="B1573" t="s">
        <v>459</v>
      </c>
      <c r="C1573">
        <v>94</v>
      </c>
      <c r="D1573" t="s">
        <v>460</v>
      </c>
    </row>
    <row r="1574" spans="1:4" x14ac:dyDescent="0.25">
      <c r="A1574" t="s">
        <v>88</v>
      </c>
      <c r="B1574" t="s">
        <v>459</v>
      </c>
      <c r="C1574">
        <v>248</v>
      </c>
      <c r="D1574" t="s">
        <v>460</v>
      </c>
    </row>
    <row r="1575" spans="1:4" x14ac:dyDescent="0.25">
      <c r="A1575" t="s">
        <v>92</v>
      </c>
      <c r="B1575" t="s">
        <v>459</v>
      </c>
      <c r="C1575">
        <v>128</v>
      </c>
      <c r="D1575" t="s">
        <v>460</v>
      </c>
    </row>
    <row r="1576" spans="1:4" x14ac:dyDescent="0.25">
      <c r="A1576" t="s">
        <v>17</v>
      </c>
      <c r="B1576" t="s">
        <v>461</v>
      </c>
      <c r="C1576">
        <v>8</v>
      </c>
      <c r="D1576" t="s">
        <v>462</v>
      </c>
    </row>
    <row r="1577" spans="1:4" x14ac:dyDescent="0.25">
      <c r="A1577" t="s">
        <v>26</v>
      </c>
      <c r="B1577" t="s">
        <v>461</v>
      </c>
      <c r="C1577">
        <v>17</v>
      </c>
      <c r="D1577" t="s">
        <v>462</v>
      </c>
    </row>
    <row r="1578" spans="1:4" x14ac:dyDescent="0.25">
      <c r="A1578" t="s">
        <v>32</v>
      </c>
      <c r="B1578" t="s">
        <v>461</v>
      </c>
      <c r="C1578">
        <v>15</v>
      </c>
      <c r="D1578" t="s">
        <v>462</v>
      </c>
    </row>
    <row r="1579" spans="1:4" x14ac:dyDescent="0.25">
      <c r="A1579" t="s">
        <v>39</v>
      </c>
      <c r="B1579" t="s">
        <v>461</v>
      </c>
      <c r="C1579">
        <v>13</v>
      </c>
      <c r="D1579" t="s">
        <v>462</v>
      </c>
    </row>
    <row r="1580" spans="1:4" x14ac:dyDescent="0.25">
      <c r="A1580" t="s">
        <v>53</v>
      </c>
      <c r="B1580" t="s">
        <v>461</v>
      </c>
      <c r="C1580">
        <v>18</v>
      </c>
      <c r="D1580" t="s">
        <v>462</v>
      </c>
    </row>
    <row r="1581" spans="1:4" x14ac:dyDescent="0.25">
      <c r="A1581" t="s">
        <v>58</v>
      </c>
      <c r="B1581" t="s">
        <v>461</v>
      </c>
      <c r="C1581">
        <v>44</v>
      </c>
      <c r="D1581" t="s">
        <v>462</v>
      </c>
    </row>
    <row r="1582" spans="1:4" x14ac:dyDescent="0.25">
      <c r="A1582" t="s">
        <v>59</v>
      </c>
      <c r="B1582" t="s">
        <v>461</v>
      </c>
      <c r="C1582">
        <v>21</v>
      </c>
      <c r="D1582" t="s">
        <v>462</v>
      </c>
    </row>
    <row r="1583" spans="1:4" x14ac:dyDescent="0.25">
      <c r="A1583" t="s">
        <v>65</v>
      </c>
      <c r="B1583" t="s">
        <v>461</v>
      </c>
      <c r="C1583">
        <v>25</v>
      </c>
      <c r="D1583" t="s">
        <v>462</v>
      </c>
    </row>
    <row r="1584" spans="1:4" x14ac:dyDescent="0.25">
      <c r="A1584" t="s">
        <v>66</v>
      </c>
      <c r="B1584" t="s">
        <v>461</v>
      </c>
      <c r="C1584">
        <v>14</v>
      </c>
      <c r="D1584" t="s">
        <v>462</v>
      </c>
    </row>
    <row r="1585" spans="1:4" x14ac:dyDescent="0.25">
      <c r="A1585" t="s">
        <v>69</v>
      </c>
      <c r="B1585" t="s">
        <v>461</v>
      </c>
      <c r="C1585">
        <v>6</v>
      </c>
      <c r="D1585" t="s">
        <v>462</v>
      </c>
    </row>
    <row r="1586" spans="1:4" x14ac:dyDescent="0.25">
      <c r="A1586" t="s">
        <v>84</v>
      </c>
      <c r="B1586" t="s">
        <v>461</v>
      </c>
      <c r="C1586">
        <v>28</v>
      </c>
      <c r="D1586" t="s">
        <v>462</v>
      </c>
    </row>
    <row r="1587" spans="1:4" x14ac:dyDescent="0.25">
      <c r="A1587" t="s">
        <v>93</v>
      </c>
      <c r="B1587" t="s">
        <v>461</v>
      </c>
      <c r="C1587">
        <v>23</v>
      </c>
      <c r="D1587" t="s">
        <v>462</v>
      </c>
    </row>
    <row r="1588" spans="1:4" x14ac:dyDescent="0.25">
      <c r="A1588" t="s">
        <v>28</v>
      </c>
      <c r="B1588" t="s">
        <v>463</v>
      </c>
      <c r="C1588">
        <v>24</v>
      </c>
      <c r="D1588" t="s">
        <v>464</v>
      </c>
    </row>
    <row r="1589" spans="1:4" x14ac:dyDescent="0.25">
      <c r="A1589" t="s">
        <v>51</v>
      </c>
      <c r="B1589" t="s">
        <v>463</v>
      </c>
      <c r="C1589">
        <v>2</v>
      </c>
      <c r="D1589" t="s">
        <v>464</v>
      </c>
    </row>
    <row r="1590" spans="1:4" x14ac:dyDescent="0.25">
      <c r="A1590" t="s">
        <v>58</v>
      </c>
      <c r="B1590" t="s">
        <v>463</v>
      </c>
      <c r="C1590">
        <v>64</v>
      </c>
      <c r="D1590" t="s">
        <v>464</v>
      </c>
    </row>
    <row r="1591" spans="1:4" x14ac:dyDescent="0.25">
      <c r="A1591" t="s">
        <v>64</v>
      </c>
      <c r="B1591" t="s">
        <v>465</v>
      </c>
      <c r="C1591">
        <v>4</v>
      </c>
      <c r="D1591" t="s">
        <v>464</v>
      </c>
    </row>
    <row r="1592" spans="1:4" x14ac:dyDescent="0.25">
      <c r="A1592" t="s">
        <v>68</v>
      </c>
      <c r="B1592" t="s">
        <v>463</v>
      </c>
      <c r="C1592">
        <v>93</v>
      </c>
      <c r="D1592" t="s">
        <v>464</v>
      </c>
    </row>
    <row r="1593" spans="1:4" x14ac:dyDescent="0.25">
      <c r="A1593" t="s">
        <v>91</v>
      </c>
      <c r="B1593" t="s">
        <v>463</v>
      </c>
      <c r="C1593">
        <v>27</v>
      </c>
      <c r="D1593" t="s">
        <v>464</v>
      </c>
    </row>
    <row r="1594" spans="1:4" x14ac:dyDescent="0.25">
      <c r="A1594" t="s">
        <v>92</v>
      </c>
      <c r="B1594" t="s">
        <v>465</v>
      </c>
      <c r="C1594">
        <v>137</v>
      </c>
      <c r="D1594" t="s">
        <v>464</v>
      </c>
    </row>
    <row r="1595" spans="1:4" x14ac:dyDescent="0.25">
      <c r="A1595" t="s">
        <v>92</v>
      </c>
      <c r="B1595" t="s">
        <v>466</v>
      </c>
      <c r="C1595">
        <v>60</v>
      </c>
      <c r="D1595" t="s">
        <v>467</v>
      </c>
    </row>
    <row r="1596" spans="1:4" x14ac:dyDescent="0.25">
      <c r="A1596" t="s">
        <v>93</v>
      </c>
      <c r="B1596" t="s">
        <v>466</v>
      </c>
      <c r="C1596">
        <v>8</v>
      </c>
      <c r="D1596" t="s">
        <v>467</v>
      </c>
    </row>
    <row r="1597" spans="1:4" x14ac:dyDescent="0.25">
      <c r="A1597" t="s">
        <v>7</v>
      </c>
      <c r="B1597" t="s">
        <v>468</v>
      </c>
      <c r="C1597">
        <v>15</v>
      </c>
      <c r="D1597" t="s">
        <v>469</v>
      </c>
    </row>
    <row r="1598" spans="1:4" x14ac:dyDescent="0.25">
      <c r="A1598" t="s">
        <v>15</v>
      </c>
      <c r="B1598" t="s">
        <v>470</v>
      </c>
      <c r="C1598">
        <v>10</v>
      </c>
      <c r="D1598" t="s">
        <v>469</v>
      </c>
    </row>
    <row r="1599" spans="1:4" x14ac:dyDescent="0.25">
      <c r="A1599" t="s">
        <v>16</v>
      </c>
      <c r="B1599" t="s">
        <v>468</v>
      </c>
      <c r="C1599">
        <v>7</v>
      </c>
      <c r="D1599" t="s">
        <v>469</v>
      </c>
    </row>
    <row r="1600" spans="1:4" x14ac:dyDescent="0.25">
      <c r="A1600" t="s">
        <v>18</v>
      </c>
      <c r="B1600" t="s">
        <v>468</v>
      </c>
      <c r="C1600">
        <v>7</v>
      </c>
      <c r="D1600" t="s">
        <v>469</v>
      </c>
    </row>
    <row r="1601" spans="1:4" x14ac:dyDescent="0.25">
      <c r="A1601" t="s">
        <v>22</v>
      </c>
      <c r="B1601" t="s">
        <v>468</v>
      </c>
      <c r="C1601">
        <v>3</v>
      </c>
      <c r="D1601" t="s">
        <v>469</v>
      </c>
    </row>
    <row r="1602" spans="1:4" x14ac:dyDescent="0.25">
      <c r="A1602" t="s">
        <v>25</v>
      </c>
      <c r="B1602" t="s">
        <v>468</v>
      </c>
      <c r="C1602">
        <v>9</v>
      </c>
      <c r="D1602" t="s">
        <v>469</v>
      </c>
    </row>
    <row r="1603" spans="1:4" x14ac:dyDescent="0.25">
      <c r="A1603" t="s">
        <v>33</v>
      </c>
      <c r="B1603" t="s">
        <v>468</v>
      </c>
      <c r="C1603">
        <v>9</v>
      </c>
      <c r="D1603" t="s">
        <v>469</v>
      </c>
    </row>
    <row r="1604" spans="1:4" x14ac:dyDescent="0.25">
      <c r="A1604" t="s">
        <v>34</v>
      </c>
      <c r="B1604" t="s">
        <v>468</v>
      </c>
      <c r="C1604">
        <v>26</v>
      </c>
      <c r="D1604" t="s">
        <v>469</v>
      </c>
    </row>
    <row r="1605" spans="1:4" x14ac:dyDescent="0.25">
      <c r="A1605" t="s">
        <v>35</v>
      </c>
      <c r="B1605" t="s">
        <v>468</v>
      </c>
      <c r="C1605">
        <v>28</v>
      </c>
      <c r="D1605" t="s">
        <v>469</v>
      </c>
    </row>
    <row r="1606" spans="1:4" x14ac:dyDescent="0.25">
      <c r="A1606" t="s">
        <v>37</v>
      </c>
      <c r="B1606" t="s">
        <v>468</v>
      </c>
      <c r="C1606">
        <v>3</v>
      </c>
      <c r="D1606" t="s">
        <v>469</v>
      </c>
    </row>
    <row r="1607" spans="1:4" x14ac:dyDescent="0.25">
      <c r="A1607" t="s">
        <v>38</v>
      </c>
      <c r="B1607" t="s">
        <v>468</v>
      </c>
      <c r="C1607">
        <v>8</v>
      </c>
      <c r="D1607" t="s">
        <v>469</v>
      </c>
    </row>
    <row r="1608" spans="1:4" x14ac:dyDescent="0.25">
      <c r="A1608" t="s">
        <v>39</v>
      </c>
      <c r="B1608" t="s">
        <v>468</v>
      </c>
      <c r="C1608">
        <v>9</v>
      </c>
      <c r="D1608" t="s">
        <v>469</v>
      </c>
    </row>
    <row r="1609" spans="1:4" x14ac:dyDescent="0.25">
      <c r="A1609" t="s">
        <v>40</v>
      </c>
      <c r="B1609" t="s">
        <v>468</v>
      </c>
      <c r="C1609">
        <v>77</v>
      </c>
      <c r="D1609" t="s">
        <v>469</v>
      </c>
    </row>
    <row r="1610" spans="1:4" x14ac:dyDescent="0.25">
      <c r="A1610" t="s">
        <v>40</v>
      </c>
      <c r="B1610" t="s">
        <v>470</v>
      </c>
      <c r="C1610">
        <v>15</v>
      </c>
      <c r="D1610" t="s">
        <v>469</v>
      </c>
    </row>
    <row r="1611" spans="1:4" x14ac:dyDescent="0.25">
      <c r="A1611" t="s">
        <v>41</v>
      </c>
      <c r="B1611" t="s">
        <v>468</v>
      </c>
      <c r="C1611">
        <v>2</v>
      </c>
      <c r="D1611" t="s">
        <v>469</v>
      </c>
    </row>
    <row r="1612" spans="1:4" x14ac:dyDescent="0.25">
      <c r="A1612" t="s">
        <v>42</v>
      </c>
      <c r="B1612" t="s">
        <v>468</v>
      </c>
      <c r="C1612">
        <v>58</v>
      </c>
      <c r="D1612" t="s">
        <v>469</v>
      </c>
    </row>
    <row r="1613" spans="1:4" x14ac:dyDescent="0.25">
      <c r="A1613" t="s">
        <v>45</v>
      </c>
      <c r="B1613" t="s">
        <v>468</v>
      </c>
      <c r="C1613">
        <v>3</v>
      </c>
      <c r="D1613" t="s">
        <v>469</v>
      </c>
    </row>
    <row r="1614" spans="1:4" x14ac:dyDescent="0.25">
      <c r="A1614" t="s">
        <v>53</v>
      </c>
      <c r="B1614" t="s">
        <v>468</v>
      </c>
      <c r="C1614">
        <v>22</v>
      </c>
      <c r="D1614" t="s">
        <v>469</v>
      </c>
    </row>
    <row r="1615" spans="1:4" x14ac:dyDescent="0.25">
      <c r="A1615" t="s">
        <v>54</v>
      </c>
      <c r="B1615" t="s">
        <v>468</v>
      </c>
      <c r="C1615">
        <v>168</v>
      </c>
      <c r="D1615" t="s">
        <v>469</v>
      </c>
    </row>
    <row r="1616" spans="1:4" x14ac:dyDescent="0.25">
      <c r="A1616" t="s">
        <v>57</v>
      </c>
      <c r="B1616" t="s">
        <v>468</v>
      </c>
      <c r="C1616">
        <v>144</v>
      </c>
      <c r="D1616" t="s">
        <v>469</v>
      </c>
    </row>
    <row r="1617" spans="1:4" x14ac:dyDescent="0.25">
      <c r="A1617" t="s">
        <v>59</v>
      </c>
      <c r="B1617" t="s">
        <v>468</v>
      </c>
      <c r="C1617">
        <v>4</v>
      </c>
      <c r="D1617" t="s">
        <v>469</v>
      </c>
    </row>
    <row r="1618" spans="1:4" x14ac:dyDescent="0.25">
      <c r="A1618" t="s">
        <v>62</v>
      </c>
      <c r="B1618" t="s">
        <v>468</v>
      </c>
      <c r="C1618">
        <v>82</v>
      </c>
      <c r="D1618" t="s">
        <v>469</v>
      </c>
    </row>
    <row r="1619" spans="1:4" x14ac:dyDescent="0.25">
      <c r="A1619" t="s">
        <v>65</v>
      </c>
      <c r="B1619" t="s">
        <v>468</v>
      </c>
      <c r="C1619">
        <v>11</v>
      </c>
      <c r="D1619" t="s">
        <v>469</v>
      </c>
    </row>
    <row r="1620" spans="1:4" x14ac:dyDescent="0.25">
      <c r="A1620" t="s">
        <v>66</v>
      </c>
      <c r="B1620" t="s">
        <v>468</v>
      </c>
      <c r="C1620">
        <v>4</v>
      </c>
      <c r="D1620" t="s">
        <v>469</v>
      </c>
    </row>
    <row r="1621" spans="1:4" x14ac:dyDescent="0.25">
      <c r="A1621" t="s">
        <v>67</v>
      </c>
      <c r="B1621" t="s">
        <v>468</v>
      </c>
      <c r="C1621">
        <v>11</v>
      </c>
      <c r="D1621" t="s">
        <v>469</v>
      </c>
    </row>
    <row r="1622" spans="1:4" x14ac:dyDescent="0.25">
      <c r="A1622" t="s">
        <v>76</v>
      </c>
      <c r="B1622" t="s">
        <v>468</v>
      </c>
      <c r="C1622">
        <v>29</v>
      </c>
      <c r="D1622" t="s">
        <v>469</v>
      </c>
    </row>
    <row r="1623" spans="1:4" x14ac:dyDescent="0.25">
      <c r="A1623" t="s">
        <v>76</v>
      </c>
      <c r="B1623" t="s">
        <v>470</v>
      </c>
      <c r="C1623">
        <v>10</v>
      </c>
      <c r="D1623" t="s">
        <v>469</v>
      </c>
    </row>
    <row r="1624" spans="1:4" x14ac:dyDescent="0.25">
      <c r="A1624" t="s">
        <v>78</v>
      </c>
      <c r="B1624" t="s">
        <v>468</v>
      </c>
      <c r="C1624">
        <v>69</v>
      </c>
      <c r="D1624" t="s">
        <v>469</v>
      </c>
    </row>
    <row r="1625" spans="1:4" x14ac:dyDescent="0.25">
      <c r="A1625" t="s">
        <v>82</v>
      </c>
      <c r="B1625" t="s">
        <v>468</v>
      </c>
      <c r="C1625">
        <v>4</v>
      </c>
      <c r="D1625" t="s">
        <v>469</v>
      </c>
    </row>
    <row r="1626" spans="1:4" x14ac:dyDescent="0.25">
      <c r="A1626" t="s">
        <v>83</v>
      </c>
      <c r="B1626" t="s">
        <v>468</v>
      </c>
      <c r="C1626">
        <v>8</v>
      </c>
      <c r="D1626" t="s">
        <v>469</v>
      </c>
    </row>
    <row r="1627" spans="1:4" x14ac:dyDescent="0.25">
      <c r="A1627" t="s">
        <v>84</v>
      </c>
      <c r="B1627" t="s">
        <v>468</v>
      </c>
      <c r="C1627">
        <v>10</v>
      </c>
      <c r="D1627" t="s">
        <v>469</v>
      </c>
    </row>
    <row r="1628" spans="1:4" x14ac:dyDescent="0.25">
      <c r="A1628" t="s">
        <v>85</v>
      </c>
      <c r="B1628" t="s">
        <v>468</v>
      </c>
      <c r="C1628">
        <v>9</v>
      </c>
      <c r="D1628" t="s">
        <v>469</v>
      </c>
    </row>
    <row r="1629" spans="1:4" x14ac:dyDescent="0.25">
      <c r="A1629" t="s">
        <v>86</v>
      </c>
      <c r="B1629" t="s">
        <v>468</v>
      </c>
      <c r="C1629">
        <v>27</v>
      </c>
      <c r="D1629" t="s">
        <v>469</v>
      </c>
    </row>
    <row r="1630" spans="1:4" x14ac:dyDescent="0.25">
      <c r="A1630" t="s">
        <v>88</v>
      </c>
      <c r="B1630" t="s">
        <v>468</v>
      </c>
      <c r="C1630">
        <v>120</v>
      </c>
      <c r="D1630" t="s">
        <v>469</v>
      </c>
    </row>
    <row r="1631" spans="1:4" x14ac:dyDescent="0.25">
      <c r="A1631" t="s">
        <v>89</v>
      </c>
      <c r="B1631" t="s">
        <v>468</v>
      </c>
      <c r="C1631">
        <v>7</v>
      </c>
      <c r="D1631" t="s">
        <v>469</v>
      </c>
    </row>
    <row r="1632" spans="1:4" x14ac:dyDescent="0.25">
      <c r="A1632" t="s">
        <v>90</v>
      </c>
      <c r="B1632" t="s">
        <v>468</v>
      </c>
      <c r="C1632">
        <v>50</v>
      </c>
      <c r="D1632" t="s">
        <v>469</v>
      </c>
    </row>
    <row r="1633" spans="1:4" x14ac:dyDescent="0.25">
      <c r="A1633" t="s">
        <v>92</v>
      </c>
      <c r="B1633" t="s">
        <v>468</v>
      </c>
      <c r="C1633">
        <v>115</v>
      </c>
      <c r="D1633" t="s">
        <v>469</v>
      </c>
    </row>
    <row r="1634" spans="1:4" x14ac:dyDescent="0.25">
      <c r="A1634" t="s">
        <v>93</v>
      </c>
      <c r="B1634" t="s">
        <v>468</v>
      </c>
      <c r="C1634">
        <v>10</v>
      </c>
      <c r="D1634" t="s">
        <v>469</v>
      </c>
    </row>
    <row r="1635" spans="1:4" x14ac:dyDescent="0.25">
      <c r="A1635" t="s">
        <v>14</v>
      </c>
      <c r="B1635" t="s">
        <v>471</v>
      </c>
      <c r="C1635">
        <v>4</v>
      </c>
      <c r="D1635" t="s">
        <v>472</v>
      </c>
    </row>
    <row r="1636" spans="1:4" x14ac:dyDescent="0.25">
      <c r="A1636" t="s">
        <v>15</v>
      </c>
      <c r="B1636" t="s">
        <v>471</v>
      </c>
      <c r="C1636">
        <v>40</v>
      </c>
      <c r="D1636" t="s">
        <v>472</v>
      </c>
    </row>
    <row r="1637" spans="1:4" x14ac:dyDescent="0.25">
      <c r="A1637" t="s">
        <v>16</v>
      </c>
      <c r="B1637" t="s">
        <v>471</v>
      </c>
      <c r="C1637">
        <v>15</v>
      </c>
      <c r="D1637" t="s">
        <v>472</v>
      </c>
    </row>
    <row r="1638" spans="1:4" x14ac:dyDescent="0.25">
      <c r="A1638" t="s">
        <v>18</v>
      </c>
      <c r="B1638" t="s">
        <v>471</v>
      </c>
      <c r="C1638">
        <v>24</v>
      </c>
      <c r="D1638" t="s">
        <v>472</v>
      </c>
    </row>
    <row r="1639" spans="1:4" x14ac:dyDescent="0.25">
      <c r="A1639" t="s">
        <v>21</v>
      </c>
      <c r="B1639" t="s">
        <v>471</v>
      </c>
      <c r="C1639">
        <v>5</v>
      </c>
      <c r="D1639" t="s">
        <v>472</v>
      </c>
    </row>
    <row r="1640" spans="1:4" x14ac:dyDescent="0.25">
      <c r="A1640" t="s">
        <v>22</v>
      </c>
      <c r="B1640" t="s">
        <v>471</v>
      </c>
      <c r="C1640">
        <v>13</v>
      </c>
      <c r="D1640" t="s">
        <v>472</v>
      </c>
    </row>
    <row r="1641" spans="1:4" x14ac:dyDescent="0.25">
      <c r="A1641" t="s">
        <v>24</v>
      </c>
      <c r="B1641" t="s">
        <v>471</v>
      </c>
      <c r="C1641">
        <v>7</v>
      </c>
      <c r="D1641" t="s">
        <v>472</v>
      </c>
    </row>
    <row r="1642" spans="1:4" x14ac:dyDescent="0.25">
      <c r="A1642" t="s">
        <v>25</v>
      </c>
      <c r="B1642" t="s">
        <v>471</v>
      </c>
      <c r="C1642">
        <v>22</v>
      </c>
      <c r="D1642" t="s">
        <v>472</v>
      </c>
    </row>
    <row r="1643" spans="1:4" x14ac:dyDescent="0.25">
      <c r="A1643" t="s">
        <v>26</v>
      </c>
      <c r="B1643" t="s">
        <v>471</v>
      </c>
      <c r="C1643">
        <v>6</v>
      </c>
      <c r="D1643" t="s">
        <v>472</v>
      </c>
    </row>
    <row r="1644" spans="1:4" x14ac:dyDescent="0.25">
      <c r="A1644" t="s">
        <v>32</v>
      </c>
      <c r="B1644" t="s">
        <v>471</v>
      </c>
      <c r="C1644">
        <v>9</v>
      </c>
      <c r="D1644" t="s">
        <v>472</v>
      </c>
    </row>
    <row r="1645" spans="1:4" x14ac:dyDescent="0.25">
      <c r="A1645" t="s">
        <v>34</v>
      </c>
      <c r="B1645" t="s">
        <v>471</v>
      </c>
      <c r="C1645">
        <v>45</v>
      </c>
      <c r="D1645" t="s">
        <v>472</v>
      </c>
    </row>
    <row r="1646" spans="1:4" x14ac:dyDescent="0.25">
      <c r="A1646" t="s">
        <v>36</v>
      </c>
      <c r="B1646" t="s">
        <v>471</v>
      </c>
      <c r="C1646">
        <v>8</v>
      </c>
      <c r="D1646" t="s">
        <v>472</v>
      </c>
    </row>
    <row r="1647" spans="1:4" x14ac:dyDescent="0.25">
      <c r="A1647" t="s">
        <v>37</v>
      </c>
      <c r="B1647" t="s">
        <v>471</v>
      </c>
      <c r="C1647">
        <v>22</v>
      </c>
      <c r="D1647" t="s">
        <v>472</v>
      </c>
    </row>
    <row r="1648" spans="1:4" x14ac:dyDescent="0.25">
      <c r="A1648" t="s">
        <v>38</v>
      </c>
      <c r="B1648" t="s">
        <v>471</v>
      </c>
      <c r="C1648">
        <v>12</v>
      </c>
      <c r="D1648" t="s">
        <v>472</v>
      </c>
    </row>
    <row r="1649" spans="1:4" x14ac:dyDescent="0.25">
      <c r="A1649" t="s">
        <v>40</v>
      </c>
      <c r="B1649" t="s">
        <v>471</v>
      </c>
      <c r="C1649">
        <v>158</v>
      </c>
      <c r="D1649" t="s">
        <v>472</v>
      </c>
    </row>
    <row r="1650" spans="1:4" x14ac:dyDescent="0.25">
      <c r="A1650" t="s">
        <v>41</v>
      </c>
      <c r="B1650" t="s">
        <v>471</v>
      </c>
      <c r="C1650">
        <v>4</v>
      </c>
      <c r="D1650" t="s">
        <v>472</v>
      </c>
    </row>
    <row r="1651" spans="1:4" x14ac:dyDescent="0.25">
      <c r="A1651" t="s">
        <v>42</v>
      </c>
      <c r="B1651" t="s">
        <v>471</v>
      </c>
      <c r="C1651">
        <v>98</v>
      </c>
      <c r="D1651" t="s">
        <v>472</v>
      </c>
    </row>
    <row r="1652" spans="1:4" x14ac:dyDescent="0.25">
      <c r="A1652" t="s">
        <v>45</v>
      </c>
      <c r="B1652" t="s">
        <v>471</v>
      </c>
      <c r="C1652">
        <v>12</v>
      </c>
      <c r="D1652" t="s">
        <v>472</v>
      </c>
    </row>
    <row r="1653" spans="1:4" x14ac:dyDescent="0.25">
      <c r="A1653" t="s">
        <v>48</v>
      </c>
      <c r="B1653" t="s">
        <v>471</v>
      </c>
      <c r="C1653">
        <v>8</v>
      </c>
      <c r="D1653" t="s">
        <v>472</v>
      </c>
    </row>
    <row r="1654" spans="1:4" x14ac:dyDescent="0.25">
      <c r="A1654" t="s">
        <v>52</v>
      </c>
      <c r="B1654" t="s">
        <v>471</v>
      </c>
      <c r="C1654">
        <v>15</v>
      </c>
      <c r="D1654" t="s">
        <v>472</v>
      </c>
    </row>
    <row r="1655" spans="1:4" x14ac:dyDescent="0.25">
      <c r="A1655" t="s">
        <v>53</v>
      </c>
      <c r="B1655" t="s">
        <v>471</v>
      </c>
      <c r="C1655">
        <v>67</v>
      </c>
      <c r="D1655" t="s">
        <v>472</v>
      </c>
    </row>
    <row r="1656" spans="1:4" x14ac:dyDescent="0.25">
      <c r="A1656" t="s">
        <v>58</v>
      </c>
      <c r="B1656" t="s">
        <v>471</v>
      </c>
      <c r="C1656">
        <v>39</v>
      </c>
      <c r="D1656" t="s">
        <v>472</v>
      </c>
    </row>
    <row r="1657" spans="1:4" x14ac:dyDescent="0.25">
      <c r="A1657" t="s">
        <v>59</v>
      </c>
      <c r="B1657" t="s">
        <v>471</v>
      </c>
      <c r="C1657">
        <v>5</v>
      </c>
      <c r="D1657" t="s">
        <v>472</v>
      </c>
    </row>
    <row r="1658" spans="1:4" x14ac:dyDescent="0.25">
      <c r="A1658" t="s">
        <v>60</v>
      </c>
      <c r="B1658" t="s">
        <v>471</v>
      </c>
      <c r="C1658">
        <v>9</v>
      </c>
      <c r="D1658" t="s">
        <v>472</v>
      </c>
    </row>
    <row r="1659" spans="1:4" x14ac:dyDescent="0.25">
      <c r="A1659" t="s">
        <v>64</v>
      </c>
      <c r="B1659" t="s">
        <v>471</v>
      </c>
      <c r="C1659">
        <v>6</v>
      </c>
      <c r="D1659" t="s">
        <v>472</v>
      </c>
    </row>
    <row r="1660" spans="1:4" x14ac:dyDescent="0.25">
      <c r="A1660" t="s">
        <v>65</v>
      </c>
      <c r="B1660" t="s">
        <v>471</v>
      </c>
      <c r="C1660">
        <v>41</v>
      </c>
      <c r="D1660" t="s">
        <v>472</v>
      </c>
    </row>
    <row r="1661" spans="1:4" x14ac:dyDescent="0.25">
      <c r="A1661" t="s">
        <v>67</v>
      </c>
      <c r="B1661" t="s">
        <v>471</v>
      </c>
      <c r="C1661">
        <v>18</v>
      </c>
      <c r="D1661" t="s">
        <v>472</v>
      </c>
    </row>
    <row r="1662" spans="1:4" x14ac:dyDescent="0.25">
      <c r="A1662" t="s">
        <v>70</v>
      </c>
      <c r="B1662" t="s">
        <v>471</v>
      </c>
      <c r="C1662">
        <v>29</v>
      </c>
      <c r="D1662" t="s">
        <v>472</v>
      </c>
    </row>
    <row r="1663" spans="1:4" x14ac:dyDescent="0.25">
      <c r="A1663" t="s">
        <v>72</v>
      </c>
      <c r="B1663" t="s">
        <v>471</v>
      </c>
      <c r="C1663">
        <v>42</v>
      </c>
      <c r="D1663" t="s">
        <v>472</v>
      </c>
    </row>
    <row r="1664" spans="1:4" x14ac:dyDescent="0.25">
      <c r="A1664" t="s">
        <v>74</v>
      </c>
      <c r="B1664" t="s">
        <v>471</v>
      </c>
      <c r="C1664">
        <v>2</v>
      </c>
      <c r="D1664" t="s">
        <v>472</v>
      </c>
    </row>
    <row r="1665" spans="1:4" x14ac:dyDescent="0.25">
      <c r="A1665" t="s">
        <v>76</v>
      </c>
      <c r="B1665" t="s">
        <v>471</v>
      </c>
      <c r="C1665">
        <v>123</v>
      </c>
      <c r="D1665" t="s">
        <v>472</v>
      </c>
    </row>
    <row r="1666" spans="1:4" x14ac:dyDescent="0.25">
      <c r="A1666" t="s">
        <v>82</v>
      </c>
      <c r="B1666" t="s">
        <v>471</v>
      </c>
      <c r="C1666">
        <v>11</v>
      </c>
      <c r="D1666" t="s">
        <v>472</v>
      </c>
    </row>
    <row r="1667" spans="1:4" x14ac:dyDescent="0.25">
      <c r="A1667" t="s">
        <v>83</v>
      </c>
      <c r="B1667" t="s">
        <v>471</v>
      </c>
      <c r="C1667">
        <v>43</v>
      </c>
      <c r="D1667" t="s">
        <v>472</v>
      </c>
    </row>
    <row r="1668" spans="1:4" x14ac:dyDescent="0.25">
      <c r="A1668" t="s">
        <v>84</v>
      </c>
      <c r="B1668" t="s">
        <v>471</v>
      </c>
      <c r="C1668">
        <v>18</v>
      </c>
      <c r="D1668" t="s">
        <v>472</v>
      </c>
    </row>
    <row r="1669" spans="1:4" x14ac:dyDescent="0.25">
      <c r="A1669" t="s">
        <v>85</v>
      </c>
      <c r="B1669" t="s">
        <v>471</v>
      </c>
      <c r="C1669">
        <v>31</v>
      </c>
      <c r="D1669" t="s">
        <v>472</v>
      </c>
    </row>
    <row r="1670" spans="1:4" x14ac:dyDescent="0.25">
      <c r="A1670" t="s">
        <v>89</v>
      </c>
      <c r="B1670" t="s">
        <v>471</v>
      </c>
      <c r="C1670">
        <v>17</v>
      </c>
      <c r="D1670" t="s">
        <v>472</v>
      </c>
    </row>
    <row r="1671" spans="1:4" x14ac:dyDescent="0.25">
      <c r="A1671" t="s">
        <v>90</v>
      </c>
      <c r="B1671" t="s">
        <v>471</v>
      </c>
      <c r="C1671">
        <v>116</v>
      </c>
      <c r="D1671" t="s">
        <v>472</v>
      </c>
    </row>
    <row r="1672" spans="1:4" x14ac:dyDescent="0.25">
      <c r="A1672" t="s">
        <v>91</v>
      </c>
      <c r="B1672" t="s">
        <v>471</v>
      </c>
      <c r="C1672">
        <v>11</v>
      </c>
      <c r="D1672" t="s">
        <v>472</v>
      </c>
    </row>
    <row r="1673" spans="1:4" x14ac:dyDescent="0.25">
      <c r="A1673" t="s">
        <v>9</v>
      </c>
      <c r="B1673" t="s">
        <v>473</v>
      </c>
      <c r="C1673">
        <v>12</v>
      </c>
      <c r="D1673" t="s">
        <v>474</v>
      </c>
    </row>
    <row r="1674" spans="1:4" x14ac:dyDescent="0.25">
      <c r="A1674" t="s">
        <v>14</v>
      </c>
      <c r="B1674" t="s">
        <v>473</v>
      </c>
      <c r="C1674">
        <v>15</v>
      </c>
      <c r="D1674" t="s">
        <v>474</v>
      </c>
    </row>
    <row r="1675" spans="1:4" x14ac:dyDescent="0.25">
      <c r="A1675" t="s">
        <v>15</v>
      </c>
      <c r="B1675" t="s">
        <v>473</v>
      </c>
      <c r="C1675">
        <v>9</v>
      </c>
      <c r="D1675" t="s">
        <v>474</v>
      </c>
    </row>
    <row r="1676" spans="1:4" x14ac:dyDescent="0.25">
      <c r="A1676" t="s">
        <v>16</v>
      </c>
      <c r="B1676" t="s">
        <v>473</v>
      </c>
      <c r="C1676">
        <v>23</v>
      </c>
      <c r="D1676" t="s">
        <v>474</v>
      </c>
    </row>
    <row r="1677" spans="1:4" x14ac:dyDescent="0.25">
      <c r="A1677" t="s">
        <v>17</v>
      </c>
      <c r="B1677" t="s">
        <v>473</v>
      </c>
      <c r="C1677">
        <v>31</v>
      </c>
      <c r="D1677" t="s">
        <v>474</v>
      </c>
    </row>
    <row r="1678" spans="1:4" x14ac:dyDescent="0.25">
      <c r="A1678" t="s">
        <v>18</v>
      </c>
      <c r="B1678" t="s">
        <v>473</v>
      </c>
      <c r="C1678">
        <v>25</v>
      </c>
      <c r="D1678" t="s">
        <v>474</v>
      </c>
    </row>
    <row r="1679" spans="1:4" x14ac:dyDescent="0.25">
      <c r="A1679" t="s">
        <v>19</v>
      </c>
      <c r="B1679" t="s">
        <v>473</v>
      </c>
      <c r="C1679">
        <v>38</v>
      </c>
      <c r="D1679" t="s">
        <v>474</v>
      </c>
    </row>
    <row r="1680" spans="1:4" x14ac:dyDescent="0.25">
      <c r="A1680" t="s">
        <v>22</v>
      </c>
      <c r="B1680" t="s">
        <v>473</v>
      </c>
      <c r="C1680">
        <v>11</v>
      </c>
      <c r="D1680" t="s">
        <v>474</v>
      </c>
    </row>
    <row r="1681" spans="1:4" x14ac:dyDescent="0.25">
      <c r="A1681" t="s">
        <v>24</v>
      </c>
      <c r="B1681" t="s">
        <v>473</v>
      </c>
      <c r="C1681">
        <v>28</v>
      </c>
      <c r="D1681" t="s">
        <v>474</v>
      </c>
    </row>
    <row r="1682" spans="1:4" x14ac:dyDescent="0.25">
      <c r="A1682" t="s">
        <v>25</v>
      </c>
      <c r="B1682" t="s">
        <v>473</v>
      </c>
      <c r="C1682">
        <v>53</v>
      </c>
      <c r="D1682" t="s">
        <v>474</v>
      </c>
    </row>
    <row r="1683" spans="1:4" x14ac:dyDescent="0.25">
      <c r="A1683" t="s">
        <v>26</v>
      </c>
      <c r="B1683" t="s">
        <v>473</v>
      </c>
      <c r="C1683">
        <v>19</v>
      </c>
      <c r="D1683" t="s">
        <v>474</v>
      </c>
    </row>
    <row r="1684" spans="1:4" x14ac:dyDescent="0.25">
      <c r="A1684" t="s">
        <v>29</v>
      </c>
      <c r="B1684" t="s">
        <v>473</v>
      </c>
      <c r="C1684">
        <v>51</v>
      </c>
      <c r="D1684" t="s">
        <v>474</v>
      </c>
    </row>
    <row r="1685" spans="1:4" x14ac:dyDescent="0.25">
      <c r="A1685" t="s">
        <v>32</v>
      </c>
      <c r="B1685" t="s">
        <v>473</v>
      </c>
      <c r="C1685">
        <v>18</v>
      </c>
      <c r="D1685" t="s">
        <v>474</v>
      </c>
    </row>
    <row r="1686" spans="1:4" x14ac:dyDescent="0.25">
      <c r="A1686" t="s">
        <v>33</v>
      </c>
      <c r="B1686" t="s">
        <v>473</v>
      </c>
      <c r="C1686">
        <v>6</v>
      </c>
      <c r="D1686" t="s">
        <v>474</v>
      </c>
    </row>
    <row r="1687" spans="1:4" x14ac:dyDescent="0.25">
      <c r="A1687" t="s">
        <v>34</v>
      </c>
      <c r="B1687" t="s">
        <v>473</v>
      </c>
      <c r="C1687">
        <v>22</v>
      </c>
      <c r="D1687" t="s">
        <v>474</v>
      </c>
    </row>
    <row r="1688" spans="1:4" x14ac:dyDescent="0.25">
      <c r="A1688" t="s">
        <v>36</v>
      </c>
      <c r="B1688" t="s">
        <v>473</v>
      </c>
      <c r="C1688">
        <v>12</v>
      </c>
      <c r="D1688" t="s">
        <v>474</v>
      </c>
    </row>
    <row r="1689" spans="1:4" x14ac:dyDescent="0.25">
      <c r="A1689" t="s">
        <v>37</v>
      </c>
      <c r="B1689" t="s">
        <v>473</v>
      </c>
      <c r="C1689">
        <v>21</v>
      </c>
      <c r="D1689" t="s">
        <v>474</v>
      </c>
    </row>
    <row r="1690" spans="1:4" x14ac:dyDescent="0.25">
      <c r="A1690" t="s">
        <v>38</v>
      </c>
      <c r="B1690" t="s">
        <v>473</v>
      </c>
      <c r="C1690">
        <v>19</v>
      </c>
      <c r="D1690" t="s">
        <v>474</v>
      </c>
    </row>
    <row r="1691" spans="1:4" x14ac:dyDescent="0.25">
      <c r="A1691" t="s">
        <v>39</v>
      </c>
      <c r="B1691" t="s">
        <v>473</v>
      </c>
      <c r="C1691">
        <v>5</v>
      </c>
      <c r="D1691" t="s">
        <v>474</v>
      </c>
    </row>
    <row r="1692" spans="1:4" x14ac:dyDescent="0.25">
      <c r="A1692" t="s">
        <v>40</v>
      </c>
      <c r="B1692" t="s">
        <v>473</v>
      </c>
      <c r="C1692">
        <v>33</v>
      </c>
      <c r="D1692" t="s">
        <v>474</v>
      </c>
    </row>
    <row r="1693" spans="1:4" x14ac:dyDescent="0.25">
      <c r="A1693" t="s">
        <v>42</v>
      </c>
      <c r="B1693" t="s">
        <v>473</v>
      </c>
      <c r="C1693">
        <v>38</v>
      </c>
      <c r="D1693" t="s">
        <v>474</v>
      </c>
    </row>
    <row r="1694" spans="1:4" x14ac:dyDescent="0.25">
      <c r="A1694" t="s">
        <v>43</v>
      </c>
      <c r="B1694" t="s">
        <v>473</v>
      </c>
      <c r="C1694">
        <v>7</v>
      </c>
      <c r="D1694" t="s">
        <v>474</v>
      </c>
    </row>
    <row r="1695" spans="1:4" x14ac:dyDescent="0.25">
      <c r="A1695" t="s">
        <v>45</v>
      </c>
      <c r="B1695" t="s">
        <v>473</v>
      </c>
      <c r="C1695">
        <v>18</v>
      </c>
      <c r="D1695" t="s">
        <v>474</v>
      </c>
    </row>
    <row r="1696" spans="1:4" x14ac:dyDescent="0.25">
      <c r="A1696" t="s">
        <v>47</v>
      </c>
      <c r="B1696" t="s">
        <v>473</v>
      </c>
      <c r="C1696">
        <v>8</v>
      </c>
      <c r="D1696" t="s">
        <v>474</v>
      </c>
    </row>
    <row r="1697" spans="1:4" x14ac:dyDescent="0.25">
      <c r="A1697" t="s">
        <v>48</v>
      </c>
      <c r="B1697" t="s">
        <v>473</v>
      </c>
      <c r="C1697">
        <v>26</v>
      </c>
      <c r="D1697" t="s">
        <v>474</v>
      </c>
    </row>
    <row r="1698" spans="1:4" x14ac:dyDescent="0.25">
      <c r="A1698" t="s">
        <v>49</v>
      </c>
      <c r="B1698" t="s">
        <v>473</v>
      </c>
      <c r="C1698">
        <v>38</v>
      </c>
      <c r="D1698" t="s">
        <v>474</v>
      </c>
    </row>
    <row r="1699" spans="1:4" x14ac:dyDescent="0.25">
      <c r="A1699" t="s">
        <v>52</v>
      </c>
      <c r="B1699" t="s">
        <v>473</v>
      </c>
      <c r="C1699">
        <v>11</v>
      </c>
      <c r="D1699" t="s">
        <v>474</v>
      </c>
    </row>
    <row r="1700" spans="1:4" x14ac:dyDescent="0.25">
      <c r="A1700" t="s">
        <v>53</v>
      </c>
      <c r="B1700" t="s">
        <v>473</v>
      </c>
      <c r="C1700">
        <v>70</v>
      </c>
      <c r="D1700" t="s">
        <v>474</v>
      </c>
    </row>
    <row r="1701" spans="1:4" x14ac:dyDescent="0.25">
      <c r="A1701" t="s">
        <v>59</v>
      </c>
      <c r="B1701" t="s">
        <v>473</v>
      </c>
      <c r="C1701">
        <v>11</v>
      </c>
      <c r="D1701" t="s">
        <v>474</v>
      </c>
    </row>
    <row r="1702" spans="1:4" x14ac:dyDescent="0.25">
      <c r="A1702" t="s">
        <v>60</v>
      </c>
      <c r="B1702" t="s">
        <v>473</v>
      </c>
      <c r="C1702">
        <v>8</v>
      </c>
      <c r="D1702" t="s">
        <v>474</v>
      </c>
    </row>
    <row r="1703" spans="1:4" x14ac:dyDescent="0.25">
      <c r="A1703" t="s">
        <v>65</v>
      </c>
      <c r="B1703" t="s">
        <v>473</v>
      </c>
      <c r="C1703">
        <v>30</v>
      </c>
      <c r="D1703" t="s">
        <v>474</v>
      </c>
    </row>
    <row r="1704" spans="1:4" x14ac:dyDescent="0.25">
      <c r="A1704" t="s">
        <v>67</v>
      </c>
      <c r="B1704" t="s">
        <v>473</v>
      </c>
      <c r="C1704">
        <v>34</v>
      </c>
      <c r="D1704" t="s">
        <v>474</v>
      </c>
    </row>
    <row r="1705" spans="1:4" x14ac:dyDescent="0.25">
      <c r="A1705" t="s">
        <v>70</v>
      </c>
      <c r="B1705" t="s">
        <v>473</v>
      </c>
      <c r="C1705">
        <v>12</v>
      </c>
      <c r="D1705" t="s">
        <v>474</v>
      </c>
    </row>
    <row r="1706" spans="1:4" x14ac:dyDescent="0.25">
      <c r="A1706" t="s">
        <v>74</v>
      </c>
      <c r="B1706" t="s">
        <v>473</v>
      </c>
      <c r="C1706">
        <v>8</v>
      </c>
      <c r="D1706" t="s">
        <v>474</v>
      </c>
    </row>
    <row r="1707" spans="1:4" x14ac:dyDescent="0.25">
      <c r="A1707" t="s">
        <v>76</v>
      </c>
      <c r="B1707" t="s">
        <v>473</v>
      </c>
      <c r="C1707">
        <v>51</v>
      </c>
      <c r="D1707" t="s">
        <v>474</v>
      </c>
    </row>
    <row r="1708" spans="1:4" x14ac:dyDescent="0.25">
      <c r="A1708" t="s">
        <v>78</v>
      </c>
      <c r="B1708" t="s">
        <v>473</v>
      </c>
      <c r="C1708">
        <v>52</v>
      </c>
      <c r="D1708" t="s">
        <v>474</v>
      </c>
    </row>
    <row r="1709" spans="1:4" x14ac:dyDescent="0.25">
      <c r="A1709" t="s">
        <v>79</v>
      </c>
      <c r="B1709" t="s">
        <v>473</v>
      </c>
      <c r="C1709">
        <v>6</v>
      </c>
      <c r="D1709" t="s">
        <v>474</v>
      </c>
    </row>
    <row r="1710" spans="1:4" x14ac:dyDescent="0.25">
      <c r="A1710" t="s">
        <v>82</v>
      </c>
      <c r="B1710" t="s">
        <v>473</v>
      </c>
      <c r="C1710">
        <v>32</v>
      </c>
      <c r="D1710" t="s">
        <v>474</v>
      </c>
    </row>
    <row r="1711" spans="1:4" x14ac:dyDescent="0.25">
      <c r="A1711" t="s">
        <v>83</v>
      </c>
      <c r="B1711" t="s">
        <v>473</v>
      </c>
      <c r="C1711">
        <v>6</v>
      </c>
      <c r="D1711" t="s">
        <v>474</v>
      </c>
    </row>
    <row r="1712" spans="1:4" x14ac:dyDescent="0.25">
      <c r="A1712" t="s">
        <v>84</v>
      </c>
      <c r="B1712" t="s">
        <v>473</v>
      </c>
      <c r="C1712">
        <v>122</v>
      </c>
      <c r="D1712" t="s">
        <v>474</v>
      </c>
    </row>
    <row r="1713" spans="1:4" x14ac:dyDescent="0.25">
      <c r="A1713" t="s">
        <v>85</v>
      </c>
      <c r="B1713" t="s">
        <v>473</v>
      </c>
      <c r="C1713">
        <v>30</v>
      </c>
      <c r="D1713" t="s">
        <v>474</v>
      </c>
    </row>
    <row r="1714" spans="1:4" x14ac:dyDescent="0.25">
      <c r="A1714" t="s">
        <v>89</v>
      </c>
      <c r="B1714" t="s">
        <v>473</v>
      </c>
      <c r="C1714">
        <v>14</v>
      </c>
      <c r="D1714" t="s">
        <v>474</v>
      </c>
    </row>
    <row r="1715" spans="1:4" x14ac:dyDescent="0.25">
      <c r="A1715" t="s">
        <v>90</v>
      </c>
      <c r="B1715" t="s">
        <v>473</v>
      </c>
      <c r="C1715">
        <v>50</v>
      </c>
      <c r="D1715" t="s">
        <v>474</v>
      </c>
    </row>
    <row r="1716" spans="1:4" x14ac:dyDescent="0.25">
      <c r="A1716" t="s">
        <v>91</v>
      </c>
      <c r="B1716" t="s">
        <v>473</v>
      </c>
      <c r="C1716">
        <v>12</v>
      </c>
      <c r="D1716" t="s">
        <v>474</v>
      </c>
    </row>
    <row r="1717" spans="1:4" x14ac:dyDescent="0.25">
      <c r="A1717" t="s">
        <v>8</v>
      </c>
      <c r="B1717" t="s">
        <v>475</v>
      </c>
      <c r="C1717">
        <v>8</v>
      </c>
      <c r="D1717" t="s">
        <v>476</v>
      </c>
    </row>
    <row r="1718" spans="1:4" x14ac:dyDescent="0.25">
      <c r="A1718" t="s">
        <v>16</v>
      </c>
      <c r="B1718" t="s">
        <v>475</v>
      </c>
      <c r="C1718">
        <v>19</v>
      </c>
      <c r="D1718" t="s">
        <v>476</v>
      </c>
    </row>
    <row r="1719" spans="1:4" x14ac:dyDescent="0.25">
      <c r="A1719" t="s">
        <v>28</v>
      </c>
      <c r="B1719" t="s">
        <v>475</v>
      </c>
      <c r="C1719">
        <v>4</v>
      </c>
      <c r="D1719" t="s">
        <v>476</v>
      </c>
    </row>
    <row r="1720" spans="1:4" x14ac:dyDescent="0.25">
      <c r="A1720" t="s">
        <v>40</v>
      </c>
      <c r="B1720" t="s">
        <v>475</v>
      </c>
      <c r="C1720">
        <v>52</v>
      </c>
      <c r="D1720" t="s">
        <v>476</v>
      </c>
    </row>
    <row r="1721" spans="1:4" x14ac:dyDescent="0.25">
      <c r="A1721" t="s">
        <v>42</v>
      </c>
      <c r="B1721" t="s">
        <v>475</v>
      </c>
      <c r="C1721">
        <v>22</v>
      </c>
      <c r="D1721" t="s">
        <v>476</v>
      </c>
    </row>
    <row r="1722" spans="1:4" x14ac:dyDescent="0.25">
      <c r="A1722" t="s">
        <v>76</v>
      </c>
      <c r="B1722" t="s">
        <v>475</v>
      </c>
      <c r="C1722">
        <v>22</v>
      </c>
      <c r="D1722" t="s">
        <v>476</v>
      </c>
    </row>
    <row r="1723" spans="1:4" x14ac:dyDescent="0.25">
      <c r="A1723" t="s">
        <v>82</v>
      </c>
      <c r="B1723" t="s">
        <v>475</v>
      </c>
      <c r="C1723">
        <v>9</v>
      </c>
      <c r="D1723" t="s">
        <v>476</v>
      </c>
    </row>
    <row r="1724" spans="1:4" x14ac:dyDescent="0.25">
      <c r="A1724" t="s">
        <v>84</v>
      </c>
      <c r="B1724" t="s">
        <v>475</v>
      </c>
      <c r="C1724">
        <v>15</v>
      </c>
      <c r="D1724" t="s">
        <v>476</v>
      </c>
    </row>
    <row r="1725" spans="1:4" x14ac:dyDescent="0.25">
      <c r="A1725" t="s">
        <v>6</v>
      </c>
      <c r="B1725" t="s">
        <v>477</v>
      </c>
      <c r="C1725">
        <v>253</v>
      </c>
      <c r="D1725" t="s">
        <v>478</v>
      </c>
    </row>
    <row r="1726" spans="1:4" x14ac:dyDescent="0.25">
      <c r="A1726" t="s">
        <v>9</v>
      </c>
      <c r="B1726" t="s">
        <v>479</v>
      </c>
      <c r="C1726">
        <v>73</v>
      </c>
      <c r="D1726" t="s">
        <v>478</v>
      </c>
    </row>
    <row r="1727" spans="1:4" x14ac:dyDescent="0.25">
      <c r="A1727" t="s">
        <v>9</v>
      </c>
      <c r="B1727" t="s">
        <v>480</v>
      </c>
      <c r="C1727">
        <v>25</v>
      </c>
      <c r="D1727" t="s">
        <v>478</v>
      </c>
    </row>
    <row r="1728" spans="1:4" x14ac:dyDescent="0.25">
      <c r="A1728" t="s">
        <v>10</v>
      </c>
      <c r="B1728" t="s">
        <v>481</v>
      </c>
      <c r="C1728">
        <v>20</v>
      </c>
      <c r="D1728" t="s">
        <v>478</v>
      </c>
    </row>
    <row r="1729" spans="1:4" x14ac:dyDescent="0.25">
      <c r="A1729" t="s">
        <v>11</v>
      </c>
      <c r="B1729" t="s">
        <v>482</v>
      </c>
      <c r="C1729">
        <v>12</v>
      </c>
      <c r="D1729" t="s">
        <v>478</v>
      </c>
    </row>
    <row r="1730" spans="1:4" x14ac:dyDescent="0.25">
      <c r="A1730" t="s">
        <v>14</v>
      </c>
      <c r="B1730" t="s">
        <v>479</v>
      </c>
      <c r="C1730">
        <v>49</v>
      </c>
      <c r="D1730" t="s">
        <v>478</v>
      </c>
    </row>
    <row r="1731" spans="1:4" x14ac:dyDescent="0.25">
      <c r="A1731" t="s">
        <v>15</v>
      </c>
      <c r="B1731" t="s">
        <v>479</v>
      </c>
      <c r="C1731">
        <v>115</v>
      </c>
      <c r="D1731" t="s">
        <v>478</v>
      </c>
    </row>
    <row r="1732" spans="1:4" x14ac:dyDescent="0.25">
      <c r="A1732" t="s">
        <v>15</v>
      </c>
      <c r="B1732" t="s">
        <v>483</v>
      </c>
      <c r="C1732">
        <v>4</v>
      </c>
      <c r="D1732" t="s">
        <v>478</v>
      </c>
    </row>
    <row r="1733" spans="1:4" x14ac:dyDescent="0.25">
      <c r="A1733" t="s">
        <v>16</v>
      </c>
      <c r="B1733" t="s">
        <v>479</v>
      </c>
      <c r="C1733">
        <v>103</v>
      </c>
      <c r="D1733" t="s">
        <v>478</v>
      </c>
    </row>
    <row r="1734" spans="1:4" x14ac:dyDescent="0.25">
      <c r="A1734" t="s">
        <v>17</v>
      </c>
      <c r="B1734" t="s">
        <v>479</v>
      </c>
      <c r="C1734">
        <v>21</v>
      </c>
      <c r="D1734" t="s">
        <v>478</v>
      </c>
    </row>
    <row r="1735" spans="1:4" x14ac:dyDescent="0.25">
      <c r="A1735" t="s">
        <v>17</v>
      </c>
      <c r="B1735" t="s">
        <v>484</v>
      </c>
      <c r="C1735">
        <v>2</v>
      </c>
      <c r="D1735" t="s">
        <v>478</v>
      </c>
    </row>
    <row r="1736" spans="1:4" x14ac:dyDescent="0.25">
      <c r="A1736" t="s">
        <v>18</v>
      </c>
      <c r="B1736" t="s">
        <v>479</v>
      </c>
      <c r="C1736">
        <v>53</v>
      </c>
      <c r="D1736" t="s">
        <v>478</v>
      </c>
    </row>
    <row r="1737" spans="1:4" x14ac:dyDescent="0.25">
      <c r="A1737" t="s">
        <v>19</v>
      </c>
      <c r="B1737" t="s">
        <v>479</v>
      </c>
      <c r="C1737">
        <v>47</v>
      </c>
      <c r="D1737" t="s">
        <v>478</v>
      </c>
    </row>
    <row r="1738" spans="1:4" x14ac:dyDescent="0.25">
      <c r="A1738" t="s">
        <v>21</v>
      </c>
      <c r="B1738" t="s">
        <v>479</v>
      </c>
      <c r="C1738">
        <v>5</v>
      </c>
      <c r="D1738" t="s">
        <v>478</v>
      </c>
    </row>
    <row r="1739" spans="1:4" x14ac:dyDescent="0.25">
      <c r="A1739" t="s">
        <v>22</v>
      </c>
      <c r="B1739" t="s">
        <v>479</v>
      </c>
      <c r="C1739">
        <v>18</v>
      </c>
      <c r="D1739" t="s">
        <v>478</v>
      </c>
    </row>
    <row r="1740" spans="1:4" x14ac:dyDescent="0.25">
      <c r="A1740" t="s">
        <v>24</v>
      </c>
      <c r="B1740" t="s">
        <v>479</v>
      </c>
      <c r="C1740">
        <v>34</v>
      </c>
      <c r="D1740" t="s">
        <v>478</v>
      </c>
    </row>
    <row r="1741" spans="1:4" x14ac:dyDescent="0.25">
      <c r="A1741" t="s">
        <v>24</v>
      </c>
      <c r="B1741" t="s">
        <v>484</v>
      </c>
      <c r="C1741">
        <v>6</v>
      </c>
      <c r="D1741" t="s">
        <v>478</v>
      </c>
    </row>
    <row r="1742" spans="1:4" x14ac:dyDescent="0.25">
      <c r="A1742" t="s">
        <v>25</v>
      </c>
      <c r="B1742" t="s">
        <v>479</v>
      </c>
      <c r="C1742">
        <v>405</v>
      </c>
      <c r="D1742" t="s">
        <v>478</v>
      </c>
    </row>
    <row r="1743" spans="1:4" x14ac:dyDescent="0.25">
      <c r="A1743" t="s">
        <v>25</v>
      </c>
      <c r="B1743" t="s">
        <v>485</v>
      </c>
      <c r="C1743">
        <v>83</v>
      </c>
      <c r="D1743" t="s">
        <v>478</v>
      </c>
    </row>
    <row r="1744" spans="1:4" x14ac:dyDescent="0.25">
      <c r="A1744" t="s">
        <v>26</v>
      </c>
      <c r="B1744" t="s">
        <v>479</v>
      </c>
      <c r="C1744">
        <v>87</v>
      </c>
      <c r="D1744" t="s">
        <v>478</v>
      </c>
    </row>
    <row r="1745" spans="1:4" x14ac:dyDescent="0.25">
      <c r="A1745" t="s">
        <v>26</v>
      </c>
      <c r="B1745" t="s">
        <v>484</v>
      </c>
      <c r="C1745">
        <v>5</v>
      </c>
      <c r="D1745" t="s">
        <v>478</v>
      </c>
    </row>
    <row r="1746" spans="1:4" x14ac:dyDescent="0.25">
      <c r="A1746" t="s">
        <v>26</v>
      </c>
      <c r="B1746" t="s">
        <v>482</v>
      </c>
      <c r="C1746">
        <v>4</v>
      </c>
      <c r="D1746" t="s">
        <v>478</v>
      </c>
    </row>
    <row r="1747" spans="1:4" x14ac:dyDescent="0.25">
      <c r="A1747" t="s">
        <v>28</v>
      </c>
      <c r="B1747" t="s">
        <v>479</v>
      </c>
      <c r="C1747">
        <v>45</v>
      </c>
      <c r="D1747" t="s">
        <v>478</v>
      </c>
    </row>
    <row r="1748" spans="1:4" x14ac:dyDescent="0.25">
      <c r="A1748" t="s">
        <v>29</v>
      </c>
      <c r="B1748" t="s">
        <v>479</v>
      </c>
      <c r="C1748">
        <v>78</v>
      </c>
      <c r="D1748" t="s">
        <v>478</v>
      </c>
    </row>
    <row r="1749" spans="1:4" x14ac:dyDescent="0.25">
      <c r="A1749" t="s">
        <v>32</v>
      </c>
      <c r="B1749" t="s">
        <v>479</v>
      </c>
      <c r="C1749">
        <v>189</v>
      </c>
      <c r="D1749" t="s">
        <v>478</v>
      </c>
    </row>
    <row r="1750" spans="1:4" x14ac:dyDescent="0.25">
      <c r="A1750" t="s">
        <v>32</v>
      </c>
      <c r="B1750" t="s">
        <v>485</v>
      </c>
      <c r="C1750">
        <v>15</v>
      </c>
      <c r="D1750" t="s">
        <v>478</v>
      </c>
    </row>
    <row r="1751" spans="1:4" x14ac:dyDescent="0.25">
      <c r="A1751" t="s">
        <v>32</v>
      </c>
      <c r="B1751" t="s">
        <v>481</v>
      </c>
      <c r="C1751">
        <v>5</v>
      </c>
      <c r="D1751" t="s">
        <v>478</v>
      </c>
    </row>
    <row r="1752" spans="1:4" x14ac:dyDescent="0.25">
      <c r="A1752" t="s">
        <v>33</v>
      </c>
      <c r="B1752" t="s">
        <v>479</v>
      </c>
      <c r="C1752">
        <v>75</v>
      </c>
      <c r="D1752" t="s">
        <v>478</v>
      </c>
    </row>
    <row r="1753" spans="1:4" x14ac:dyDescent="0.25">
      <c r="A1753" t="s">
        <v>34</v>
      </c>
      <c r="B1753" t="s">
        <v>479</v>
      </c>
      <c r="C1753">
        <v>33</v>
      </c>
      <c r="D1753" t="s">
        <v>478</v>
      </c>
    </row>
    <row r="1754" spans="1:4" x14ac:dyDescent="0.25">
      <c r="A1754" t="s">
        <v>34</v>
      </c>
      <c r="B1754" t="s">
        <v>482</v>
      </c>
      <c r="C1754">
        <v>13</v>
      </c>
      <c r="D1754" t="s">
        <v>478</v>
      </c>
    </row>
    <row r="1755" spans="1:4" x14ac:dyDescent="0.25">
      <c r="A1755" t="s">
        <v>36</v>
      </c>
      <c r="B1755" t="s">
        <v>479</v>
      </c>
      <c r="C1755">
        <v>28</v>
      </c>
      <c r="D1755" t="s">
        <v>478</v>
      </c>
    </row>
    <row r="1756" spans="1:4" x14ac:dyDescent="0.25">
      <c r="A1756" t="s">
        <v>37</v>
      </c>
      <c r="B1756" t="s">
        <v>479</v>
      </c>
      <c r="C1756">
        <v>48</v>
      </c>
      <c r="D1756" t="s">
        <v>478</v>
      </c>
    </row>
    <row r="1757" spans="1:4" x14ac:dyDescent="0.25">
      <c r="A1757" t="s">
        <v>38</v>
      </c>
      <c r="B1757" t="s">
        <v>479</v>
      </c>
      <c r="C1757">
        <v>59</v>
      </c>
      <c r="D1757" t="s">
        <v>478</v>
      </c>
    </row>
    <row r="1758" spans="1:4" x14ac:dyDescent="0.25">
      <c r="A1758" t="s">
        <v>39</v>
      </c>
      <c r="B1758" t="s">
        <v>479</v>
      </c>
      <c r="C1758">
        <v>86</v>
      </c>
      <c r="D1758" t="s">
        <v>478</v>
      </c>
    </row>
    <row r="1759" spans="1:4" x14ac:dyDescent="0.25">
      <c r="A1759" t="s">
        <v>39</v>
      </c>
      <c r="B1759" t="s">
        <v>485</v>
      </c>
      <c r="C1759">
        <v>11</v>
      </c>
      <c r="D1759" t="s">
        <v>478</v>
      </c>
    </row>
    <row r="1760" spans="1:4" x14ac:dyDescent="0.25">
      <c r="A1760" t="s">
        <v>40</v>
      </c>
      <c r="B1760" t="s">
        <v>479</v>
      </c>
      <c r="C1760">
        <v>148</v>
      </c>
      <c r="D1760" t="s">
        <v>478</v>
      </c>
    </row>
    <row r="1761" spans="1:4" x14ac:dyDescent="0.25">
      <c r="A1761" t="s">
        <v>40</v>
      </c>
      <c r="B1761" t="s">
        <v>482</v>
      </c>
      <c r="C1761">
        <v>29</v>
      </c>
      <c r="D1761" t="s">
        <v>478</v>
      </c>
    </row>
    <row r="1762" spans="1:4" x14ac:dyDescent="0.25">
      <c r="A1762" t="s">
        <v>40</v>
      </c>
      <c r="B1762" t="s">
        <v>485</v>
      </c>
      <c r="C1762">
        <v>12</v>
      </c>
      <c r="D1762" t="s">
        <v>478</v>
      </c>
    </row>
    <row r="1763" spans="1:4" x14ac:dyDescent="0.25">
      <c r="A1763" t="s">
        <v>40</v>
      </c>
      <c r="B1763" t="s">
        <v>483</v>
      </c>
      <c r="C1763">
        <v>7</v>
      </c>
      <c r="D1763" t="s">
        <v>478</v>
      </c>
    </row>
    <row r="1764" spans="1:4" x14ac:dyDescent="0.25">
      <c r="A1764" t="s">
        <v>40</v>
      </c>
      <c r="B1764" t="s">
        <v>480</v>
      </c>
      <c r="C1764">
        <v>3</v>
      </c>
      <c r="D1764" t="s">
        <v>478</v>
      </c>
    </row>
    <row r="1765" spans="1:4" x14ac:dyDescent="0.25">
      <c r="A1765" t="s">
        <v>41</v>
      </c>
      <c r="B1765" t="s">
        <v>479</v>
      </c>
      <c r="C1765">
        <v>8</v>
      </c>
      <c r="D1765" t="s">
        <v>478</v>
      </c>
    </row>
    <row r="1766" spans="1:4" x14ac:dyDescent="0.25">
      <c r="A1766" t="s">
        <v>42</v>
      </c>
      <c r="B1766" t="s">
        <v>479</v>
      </c>
      <c r="C1766">
        <v>85</v>
      </c>
      <c r="D1766" t="s">
        <v>478</v>
      </c>
    </row>
    <row r="1767" spans="1:4" x14ac:dyDescent="0.25">
      <c r="A1767" t="s">
        <v>42</v>
      </c>
      <c r="B1767" t="s">
        <v>483</v>
      </c>
      <c r="C1767">
        <v>13</v>
      </c>
      <c r="D1767" t="s">
        <v>478</v>
      </c>
    </row>
    <row r="1768" spans="1:4" x14ac:dyDescent="0.25">
      <c r="A1768" t="s">
        <v>42</v>
      </c>
      <c r="B1768" t="s">
        <v>482</v>
      </c>
      <c r="C1768">
        <v>13</v>
      </c>
      <c r="D1768" t="s">
        <v>478</v>
      </c>
    </row>
    <row r="1769" spans="1:4" x14ac:dyDescent="0.25">
      <c r="A1769" t="s">
        <v>43</v>
      </c>
      <c r="B1769" t="s">
        <v>479</v>
      </c>
      <c r="C1769">
        <v>69</v>
      </c>
      <c r="D1769" t="s">
        <v>478</v>
      </c>
    </row>
    <row r="1770" spans="1:4" x14ac:dyDescent="0.25">
      <c r="A1770" t="s">
        <v>44</v>
      </c>
      <c r="B1770" t="s">
        <v>484</v>
      </c>
      <c r="C1770">
        <v>61</v>
      </c>
      <c r="D1770" t="s">
        <v>478</v>
      </c>
    </row>
    <row r="1771" spans="1:4" x14ac:dyDescent="0.25">
      <c r="A1771" t="s">
        <v>45</v>
      </c>
      <c r="B1771" t="s">
        <v>479</v>
      </c>
      <c r="C1771">
        <v>45</v>
      </c>
      <c r="D1771" t="s">
        <v>478</v>
      </c>
    </row>
    <row r="1772" spans="1:4" x14ac:dyDescent="0.25">
      <c r="A1772" t="s">
        <v>48</v>
      </c>
      <c r="B1772" t="s">
        <v>479</v>
      </c>
      <c r="C1772">
        <v>38</v>
      </c>
      <c r="D1772" t="s">
        <v>478</v>
      </c>
    </row>
    <row r="1773" spans="1:4" x14ac:dyDescent="0.25">
      <c r="A1773" t="s">
        <v>52</v>
      </c>
      <c r="B1773" t="s">
        <v>479</v>
      </c>
      <c r="C1773">
        <v>19</v>
      </c>
      <c r="D1773" t="s">
        <v>478</v>
      </c>
    </row>
    <row r="1774" spans="1:4" x14ac:dyDescent="0.25">
      <c r="A1774" t="s">
        <v>53</v>
      </c>
      <c r="B1774" t="s">
        <v>479</v>
      </c>
      <c r="C1774">
        <v>224</v>
      </c>
      <c r="D1774" t="s">
        <v>478</v>
      </c>
    </row>
    <row r="1775" spans="1:4" x14ac:dyDescent="0.25">
      <c r="A1775" t="s">
        <v>53</v>
      </c>
      <c r="B1775" t="s">
        <v>485</v>
      </c>
      <c r="C1775">
        <v>20</v>
      </c>
      <c r="D1775" t="s">
        <v>478</v>
      </c>
    </row>
    <row r="1776" spans="1:4" x14ac:dyDescent="0.25">
      <c r="A1776" t="s">
        <v>53</v>
      </c>
      <c r="B1776" t="s">
        <v>483</v>
      </c>
      <c r="C1776">
        <v>12</v>
      </c>
      <c r="D1776" t="s">
        <v>478</v>
      </c>
    </row>
    <row r="1777" spans="1:4" x14ac:dyDescent="0.25">
      <c r="A1777" t="s">
        <v>53</v>
      </c>
      <c r="B1777" t="s">
        <v>482</v>
      </c>
      <c r="C1777">
        <v>9</v>
      </c>
      <c r="D1777" t="s">
        <v>478</v>
      </c>
    </row>
    <row r="1778" spans="1:4" x14ac:dyDescent="0.25">
      <c r="A1778" t="s">
        <v>53</v>
      </c>
      <c r="B1778" t="s">
        <v>484</v>
      </c>
      <c r="C1778">
        <v>7</v>
      </c>
      <c r="D1778" t="s">
        <v>478</v>
      </c>
    </row>
    <row r="1779" spans="1:4" x14ac:dyDescent="0.25">
      <c r="A1779" t="s">
        <v>57</v>
      </c>
      <c r="B1779" t="s">
        <v>486</v>
      </c>
      <c r="C1779">
        <v>54</v>
      </c>
      <c r="D1779" t="s">
        <v>478</v>
      </c>
    </row>
    <row r="1780" spans="1:4" x14ac:dyDescent="0.25">
      <c r="A1780" t="s">
        <v>58</v>
      </c>
      <c r="B1780" t="s">
        <v>479</v>
      </c>
      <c r="C1780">
        <v>72</v>
      </c>
      <c r="D1780" t="s">
        <v>478</v>
      </c>
    </row>
    <row r="1781" spans="1:4" x14ac:dyDescent="0.25">
      <c r="A1781" t="s">
        <v>58</v>
      </c>
      <c r="B1781" t="s">
        <v>484</v>
      </c>
      <c r="C1781">
        <v>24</v>
      </c>
      <c r="D1781" t="s">
        <v>478</v>
      </c>
    </row>
    <row r="1782" spans="1:4" x14ac:dyDescent="0.25">
      <c r="A1782" t="s">
        <v>59</v>
      </c>
      <c r="B1782" t="s">
        <v>479</v>
      </c>
      <c r="C1782">
        <v>82</v>
      </c>
      <c r="D1782" t="s">
        <v>478</v>
      </c>
    </row>
    <row r="1783" spans="1:4" x14ac:dyDescent="0.25">
      <c r="A1783" t="s">
        <v>60</v>
      </c>
      <c r="B1783" t="s">
        <v>479</v>
      </c>
      <c r="C1783">
        <v>23</v>
      </c>
      <c r="D1783" t="s">
        <v>478</v>
      </c>
    </row>
    <row r="1784" spans="1:4" x14ac:dyDescent="0.25">
      <c r="A1784" t="s">
        <v>60</v>
      </c>
      <c r="B1784" t="s">
        <v>482</v>
      </c>
      <c r="C1784">
        <v>7</v>
      </c>
      <c r="D1784" t="s">
        <v>478</v>
      </c>
    </row>
    <row r="1785" spans="1:4" x14ac:dyDescent="0.25">
      <c r="A1785" t="s">
        <v>65</v>
      </c>
      <c r="B1785" t="s">
        <v>479</v>
      </c>
      <c r="C1785">
        <v>574</v>
      </c>
      <c r="D1785" t="s">
        <v>478</v>
      </c>
    </row>
    <row r="1786" spans="1:4" x14ac:dyDescent="0.25">
      <c r="A1786" t="s">
        <v>65</v>
      </c>
      <c r="B1786" t="s">
        <v>485</v>
      </c>
      <c r="C1786">
        <v>34</v>
      </c>
      <c r="D1786" t="s">
        <v>478</v>
      </c>
    </row>
    <row r="1787" spans="1:4" x14ac:dyDescent="0.25">
      <c r="A1787" t="s">
        <v>65</v>
      </c>
      <c r="B1787" t="s">
        <v>480</v>
      </c>
      <c r="C1787">
        <v>12</v>
      </c>
      <c r="D1787" t="s">
        <v>478</v>
      </c>
    </row>
    <row r="1788" spans="1:4" x14ac:dyDescent="0.25">
      <c r="A1788" t="s">
        <v>65</v>
      </c>
      <c r="B1788" t="s">
        <v>484</v>
      </c>
      <c r="C1788">
        <v>4</v>
      </c>
      <c r="D1788" t="s">
        <v>478</v>
      </c>
    </row>
    <row r="1789" spans="1:4" x14ac:dyDescent="0.25">
      <c r="A1789" t="s">
        <v>66</v>
      </c>
      <c r="B1789" t="s">
        <v>479</v>
      </c>
      <c r="C1789">
        <v>38</v>
      </c>
      <c r="D1789" t="s">
        <v>478</v>
      </c>
    </row>
    <row r="1790" spans="1:4" x14ac:dyDescent="0.25">
      <c r="A1790" t="s">
        <v>67</v>
      </c>
      <c r="B1790" t="s">
        <v>479</v>
      </c>
      <c r="C1790">
        <v>69</v>
      </c>
      <c r="D1790" t="s">
        <v>478</v>
      </c>
    </row>
    <row r="1791" spans="1:4" x14ac:dyDescent="0.25">
      <c r="A1791" t="s">
        <v>68</v>
      </c>
      <c r="B1791" t="s">
        <v>479</v>
      </c>
      <c r="C1791">
        <v>448</v>
      </c>
      <c r="D1791" t="s">
        <v>478</v>
      </c>
    </row>
    <row r="1792" spans="1:4" x14ac:dyDescent="0.25">
      <c r="A1792" t="s">
        <v>68</v>
      </c>
      <c r="B1792" t="s">
        <v>481</v>
      </c>
      <c r="C1792">
        <v>68</v>
      </c>
      <c r="D1792" t="s">
        <v>478</v>
      </c>
    </row>
    <row r="1793" spans="1:4" x14ac:dyDescent="0.25">
      <c r="A1793" t="s">
        <v>69</v>
      </c>
      <c r="B1793" t="s">
        <v>481</v>
      </c>
      <c r="C1793">
        <v>4</v>
      </c>
      <c r="D1793" t="s">
        <v>478</v>
      </c>
    </row>
    <row r="1794" spans="1:4" x14ac:dyDescent="0.25">
      <c r="A1794" t="s">
        <v>70</v>
      </c>
      <c r="B1794" t="s">
        <v>479</v>
      </c>
      <c r="C1794">
        <v>47</v>
      </c>
      <c r="D1794" t="s">
        <v>478</v>
      </c>
    </row>
    <row r="1795" spans="1:4" x14ac:dyDescent="0.25">
      <c r="A1795" t="s">
        <v>72</v>
      </c>
      <c r="B1795" t="s">
        <v>479</v>
      </c>
      <c r="C1795">
        <v>57</v>
      </c>
      <c r="D1795" t="s">
        <v>478</v>
      </c>
    </row>
    <row r="1796" spans="1:4" x14ac:dyDescent="0.25">
      <c r="A1796" t="s">
        <v>72</v>
      </c>
      <c r="B1796" t="s">
        <v>483</v>
      </c>
      <c r="C1796">
        <v>28</v>
      </c>
      <c r="D1796" t="s">
        <v>478</v>
      </c>
    </row>
    <row r="1797" spans="1:4" x14ac:dyDescent="0.25">
      <c r="A1797" t="s">
        <v>74</v>
      </c>
      <c r="B1797" t="s">
        <v>479</v>
      </c>
      <c r="C1797">
        <v>28</v>
      </c>
      <c r="D1797" t="s">
        <v>478</v>
      </c>
    </row>
    <row r="1798" spans="1:4" x14ac:dyDescent="0.25">
      <c r="A1798" t="s">
        <v>74</v>
      </c>
      <c r="B1798" t="s">
        <v>484</v>
      </c>
      <c r="C1798">
        <v>5</v>
      </c>
      <c r="D1798" t="s">
        <v>478</v>
      </c>
    </row>
    <row r="1799" spans="1:4" x14ac:dyDescent="0.25">
      <c r="A1799" t="s">
        <v>75</v>
      </c>
      <c r="B1799" t="s">
        <v>479</v>
      </c>
      <c r="C1799">
        <v>63</v>
      </c>
      <c r="D1799" t="s">
        <v>478</v>
      </c>
    </row>
    <row r="1800" spans="1:4" x14ac:dyDescent="0.25">
      <c r="A1800" t="s">
        <v>76</v>
      </c>
      <c r="B1800" t="s">
        <v>479</v>
      </c>
      <c r="C1800">
        <v>231</v>
      </c>
      <c r="D1800" t="s">
        <v>478</v>
      </c>
    </row>
    <row r="1801" spans="1:4" x14ac:dyDescent="0.25">
      <c r="A1801" t="s">
        <v>76</v>
      </c>
      <c r="B1801" t="s">
        <v>482</v>
      </c>
      <c r="C1801">
        <v>24</v>
      </c>
      <c r="D1801" t="s">
        <v>478</v>
      </c>
    </row>
    <row r="1802" spans="1:4" x14ac:dyDescent="0.25">
      <c r="A1802" t="s">
        <v>76</v>
      </c>
      <c r="B1802" t="s">
        <v>483</v>
      </c>
      <c r="C1802">
        <v>15</v>
      </c>
      <c r="D1802" t="s">
        <v>478</v>
      </c>
    </row>
    <row r="1803" spans="1:4" x14ac:dyDescent="0.25">
      <c r="A1803" t="s">
        <v>78</v>
      </c>
      <c r="B1803" t="s">
        <v>477</v>
      </c>
      <c r="C1803">
        <v>410</v>
      </c>
      <c r="D1803" t="s">
        <v>478</v>
      </c>
    </row>
    <row r="1804" spans="1:4" x14ac:dyDescent="0.25">
      <c r="A1804" t="s">
        <v>79</v>
      </c>
      <c r="B1804" t="s">
        <v>479</v>
      </c>
      <c r="C1804">
        <v>23</v>
      </c>
      <c r="D1804" t="s">
        <v>478</v>
      </c>
    </row>
    <row r="1805" spans="1:4" x14ac:dyDescent="0.25">
      <c r="A1805" t="s">
        <v>82</v>
      </c>
      <c r="B1805" t="s">
        <v>479</v>
      </c>
      <c r="C1805">
        <v>166</v>
      </c>
      <c r="D1805" t="s">
        <v>478</v>
      </c>
    </row>
    <row r="1806" spans="1:4" x14ac:dyDescent="0.25">
      <c r="A1806" t="s">
        <v>82</v>
      </c>
      <c r="B1806" t="s">
        <v>484</v>
      </c>
      <c r="C1806">
        <v>7</v>
      </c>
      <c r="D1806" t="s">
        <v>478</v>
      </c>
    </row>
    <row r="1807" spans="1:4" x14ac:dyDescent="0.25">
      <c r="A1807" t="s">
        <v>83</v>
      </c>
      <c r="B1807" t="s">
        <v>479</v>
      </c>
      <c r="C1807">
        <v>76</v>
      </c>
      <c r="D1807" t="s">
        <v>478</v>
      </c>
    </row>
    <row r="1808" spans="1:4" x14ac:dyDescent="0.25">
      <c r="A1808" t="s">
        <v>84</v>
      </c>
      <c r="B1808" t="s">
        <v>479</v>
      </c>
      <c r="C1808">
        <v>46</v>
      </c>
      <c r="D1808" t="s">
        <v>478</v>
      </c>
    </row>
    <row r="1809" spans="1:4" x14ac:dyDescent="0.25">
      <c r="A1809" t="s">
        <v>84</v>
      </c>
      <c r="B1809" t="s">
        <v>484</v>
      </c>
      <c r="C1809">
        <v>10</v>
      </c>
      <c r="D1809" t="s">
        <v>478</v>
      </c>
    </row>
    <row r="1810" spans="1:4" x14ac:dyDescent="0.25">
      <c r="A1810" t="s">
        <v>84</v>
      </c>
      <c r="B1810" t="s">
        <v>485</v>
      </c>
      <c r="C1810">
        <v>7</v>
      </c>
      <c r="D1810" t="s">
        <v>478</v>
      </c>
    </row>
    <row r="1811" spans="1:4" x14ac:dyDescent="0.25">
      <c r="A1811" t="s">
        <v>84</v>
      </c>
      <c r="B1811" t="s">
        <v>483</v>
      </c>
      <c r="C1811">
        <v>6</v>
      </c>
      <c r="D1811" t="s">
        <v>478</v>
      </c>
    </row>
    <row r="1812" spans="1:4" x14ac:dyDescent="0.25">
      <c r="A1812" t="s">
        <v>84</v>
      </c>
      <c r="B1812" t="s">
        <v>482</v>
      </c>
      <c r="C1812">
        <v>5</v>
      </c>
      <c r="D1812" t="s">
        <v>478</v>
      </c>
    </row>
    <row r="1813" spans="1:4" x14ac:dyDescent="0.25">
      <c r="A1813" t="s">
        <v>85</v>
      </c>
      <c r="B1813" t="s">
        <v>479</v>
      </c>
      <c r="C1813">
        <v>76</v>
      </c>
      <c r="D1813" t="s">
        <v>478</v>
      </c>
    </row>
    <row r="1814" spans="1:4" x14ac:dyDescent="0.25">
      <c r="A1814" t="s">
        <v>85</v>
      </c>
      <c r="B1814" t="s">
        <v>484</v>
      </c>
      <c r="C1814">
        <v>7</v>
      </c>
      <c r="D1814" t="s">
        <v>478</v>
      </c>
    </row>
    <row r="1815" spans="1:4" x14ac:dyDescent="0.25">
      <c r="A1815" t="s">
        <v>89</v>
      </c>
      <c r="B1815" t="s">
        <v>479</v>
      </c>
      <c r="C1815">
        <v>27</v>
      </c>
      <c r="D1815" t="s">
        <v>478</v>
      </c>
    </row>
    <row r="1816" spans="1:4" x14ac:dyDescent="0.25">
      <c r="A1816" t="s">
        <v>90</v>
      </c>
      <c r="B1816" t="s">
        <v>479</v>
      </c>
      <c r="C1816">
        <v>232</v>
      </c>
      <c r="D1816" t="s">
        <v>478</v>
      </c>
    </row>
    <row r="1817" spans="1:4" x14ac:dyDescent="0.25">
      <c r="A1817" t="s">
        <v>90</v>
      </c>
      <c r="B1817" t="s">
        <v>482</v>
      </c>
      <c r="C1817">
        <v>9</v>
      </c>
      <c r="D1817" t="s">
        <v>478</v>
      </c>
    </row>
    <row r="1818" spans="1:4" x14ac:dyDescent="0.25">
      <c r="A1818" t="s">
        <v>91</v>
      </c>
      <c r="B1818" t="s">
        <v>479</v>
      </c>
      <c r="C1818">
        <v>55</v>
      </c>
      <c r="D1818" t="s">
        <v>478</v>
      </c>
    </row>
    <row r="1819" spans="1:4" x14ac:dyDescent="0.25">
      <c r="A1819" t="s">
        <v>91</v>
      </c>
      <c r="B1819" t="s">
        <v>485</v>
      </c>
      <c r="C1819">
        <v>5</v>
      </c>
      <c r="D1819" t="s">
        <v>478</v>
      </c>
    </row>
    <row r="1820" spans="1:4" x14ac:dyDescent="0.25">
      <c r="A1820" t="s">
        <v>92</v>
      </c>
      <c r="B1820" t="s">
        <v>486</v>
      </c>
      <c r="C1820">
        <v>33</v>
      </c>
      <c r="D1820" t="s">
        <v>478</v>
      </c>
    </row>
    <row r="1821" spans="1:4" x14ac:dyDescent="0.25">
      <c r="A1821" t="s">
        <v>11</v>
      </c>
      <c r="B1821" t="s">
        <v>487</v>
      </c>
      <c r="C1821">
        <v>34</v>
      </c>
      <c r="D1821" t="s">
        <v>488</v>
      </c>
    </row>
    <row r="1822" spans="1:4" x14ac:dyDescent="0.25">
      <c r="A1822" t="s">
        <v>13</v>
      </c>
      <c r="B1822" t="s">
        <v>489</v>
      </c>
      <c r="C1822">
        <v>19</v>
      </c>
      <c r="D1822" t="s">
        <v>488</v>
      </c>
    </row>
    <row r="1823" spans="1:4" x14ac:dyDescent="0.25">
      <c r="A1823" t="s">
        <v>23</v>
      </c>
      <c r="B1823" t="s">
        <v>489</v>
      </c>
      <c r="C1823">
        <v>3</v>
      </c>
      <c r="D1823" t="s">
        <v>488</v>
      </c>
    </row>
    <row r="1824" spans="1:4" x14ac:dyDescent="0.25">
      <c r="A1824" t="s">
        <v>27</v>
      </c>
      <c r="B1824" t="s">
        <v>490</v>
      </c>
      <c r="C1824">
        <v>88</v>
      </c>
      <c r="D1824" t="s">
        <v>488</v>
      </c>
    </row>
    <row r="1825" spans="1:4" x14ac:dyDescent="0.25">
      <c r="A1825" t="s">
        <v>29</v>
      </c>
      <c r="B1825" t="s">
        <v>487</v>
      </c>
      <c r="C1825">
        <v>7</v>
      </c>
      <c r="D1825" t="s">
        <v>488</v>
      </c>
    </row>
    <row r="1826" spans="1:4" x14ac:dyDescent="0.25">
      <c r="A1826" t="s">
        <v>35</v>
      </c>
      <c r="B1826" t="s">
        <v>487</v>
      </c>
      <c r="C1826">
        <v>204</v>
      </c>
      <c r="D1826" t="s">
        <v>488</v>
      </c>
    </row>
    <row r="1827" spans="1:4" x14ac:dyDescent="0.25">
      <c r="A1827" t="s">
        <v>40</v>
      </c>
      <c r="B1827" t="s">
        <v>487</v>
      </c>
      <c r="C1827">
        <v>13</v>
      </c>
      <c r="D1827" t="s">
        <v>488</v>
      </c>
    </row>
    <row r="1828" spans="1:4" x14ac:dyDescent="0.25">
      <c r="A1828" t="s">
        <v>41</v>
      </c>
      <c r="B1828" t="s">
        <v>489</v>
      </c>
      <c r="C1828">
        <v>3</v>
      </c>
      <c r="D1828" t="s">
        <v>488</v>
      </c>
    </row>
    <row r="1829" spans="1:4" x14ac:dyDescent="0.25">
      <c r="A1829" t="s">
        <v>49</v>
      </c>
      <c r="B1829" t="s">
        <v>490</v>
      </c>
      <c r="C1829">
        <v>80</v>
      </c>
      <c r="D1829" t="s">
        <v>488</v>
      </c>
    </row>
    <row r="1830" spans="1:4" x14ac:dyDescent="0.25">
      <c r="A1830" t="s">
        <v>57</v>
      </c>
      <c r="B1830" t="s">
        <v>487</v>
      </c>
      <c r="C1830">
        <v>460</v>
      </c>
      <c r="D1830" t="s">
        <v>488</v>
      </c>
    </row>
    <row r="1831" spans="1:4" x14ac:dyDescent="0.25">
      <c r="A1831" t="s">
        <v>57</v>
      </c>
      <c r="B1831" t="s">
        <v>489</v>
      </c>
      <c r="C1831">
        <v>127</v>
      </c>
      <c r="D1831" t="s">
        <v>488</v>
      </c>
    </row>
    <row r="1832" spans="1:4" x14ac:dyDescent="0.25">
      <c r="A1832" t="s">
        <v>64</v>
      </c>
      <c r="B1832" t="s">
        <v>487</v>
      </c>
      <c r="C1832">
        <v>12</v>
      </c>
      <c r="D1832" t="s">
        <v>488</v>
      </c>
    </row>
    <row r="1833" spans="1:4" x14ac:dyDescent="0.25">
      <c r="A1833" t="s">
        <v>68</v>
      </c>
      <c r="B1833" t="s">
        <v>487</v>
      </c>
      <c r="C1833">
        <v>1648</v>
      </c>
      <c r="D1833" t="s">
        <v>488</v>
      </c>
    </row>
    <row r="1834" spans="1:4" x14ac:dyDescent="0.25">
      <c r="A1834" t="s">
        <v>68</v>
      </c>
      <c r="B1834" t="s">
        <v>489</v>
      </c>
      <c r="C1834">
        <v>578</v>
      </c>
      <c r="D1834" t="s">
        <v>488</v>
      </c>
    </row>
    <row r="1835" spans="1:4" x14ac:dyDescent="0.25">
      <c r="A1835" t="s">
        <v>68</v>
      </c>
      <c r="B1835" t="s">
        <v>490</v>
      </c>
      <c r="C1835">
        <v>107</v>
      </c>
      <c r="D1835" t="s">
        <v>488</v>
      </c>
    </row>
    <row r="1836" spans="1:4" x14ac:dyDescent="0.25">
      <c r="A1836" t="s">
        <v>78</v>
      </c>
      <c r="B1836" t="s">
        <v>489</v>
      </c>
      <c r="C1836">
        <v>100</v>
      </c>
      <c r="D1836" t="s">
        <v>488</v>
      </c>
    </row>
    <row r="1837" spans="1:4" x14ac:dyDescent="0.25">
      <c r="A1837" t="s">
        <v>86</v>
      </c>
      <c r="B1837" t="s">
        <v>487</v>
      </c>
      <c r="C1837">
        <v>15</v>
      </c>
      <c r="D1837" t="s">
        <v>488</v>
      </c>
    </row>
    <row r="1838" spans="1:4" x14ac:dyDescent="0.25">
      <c r="A1838" t="s">
        <v>87</v>
      </c>
      <c r="B1838" t="s">
        <v>490</v>
      </c>
      <c r="C1838">
        <v>20</v>
      </c>
      <c r="D1838" t="s">
        <v>488</v>
      </c>
    </row>
    <row r="1839" spans="1:4" x14ac:dyDescent="0.25">
      <c r="A1839" t="s">
        <v>88</v>
      </c>
      <c r="B1839" t="s">
        <v>487</v>
      </c>
      <c r="C1839">
        <v>114</v>
      </c>
      <c r="D1839" t="s">
        <v>488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30"/>
  <sheetViews>
    <sheetView zoomScaleNormal="100" workbookViewId="0">
      <pane ySplit="1" topLeftCell="A2" activePane="bottomLeft" state="frozen"/>
      <selection pane="bottomLeft" sqref="A1:A1048576"/>
    </sheetView>
  </sheetViews>
  <sheetFormatPr baseColWidth="10" defaultColWidth="11.453125" defaultRowHeight="12.5" x14ac:dyDescent="0.25"/>
  <cols>
    <col min="1" max="1" width="14.81640625" customWidth="1"/>
    <col min="2" max="2" width="32.6328125" customWidth="1"/>
    <col min="3" max="3" width="104.36328125" customWidth="1"/>
    <col min="4" max="4" width="30.453125" customWidth="1"/>
  </cols>
  <sheetData>
    <row r="1" spans="1:4" s="3" customFormat="1" ht="13" x14ac:dyDescent="0.3">
      <c r="A1" s="3" t="s">
        <v>0</v>
      </c>
      <c r="B1" s="3" t="s">
        <v>181</v>
      </c>
      <c r="C1" s="3" t="s">
        <v>183</v>
      </c>
      <c r="D1" s="3" t="s">
        <v>491</v>
      </c>
    </row>
    <row r="2" spans="1:4" x14ac:dyDescent="0.25">
      <c r="A2" t="s">
        <v>492</v>
      </c>
      <c r="B2" t="s">
        <v>208</v>
      </c>
      <c r="C2" t="s">
        <v>209</v>
      </c>
      <c r="D2" t="s">
        <v>493</v>
      </c>
    </row>
    <row r="3" spans="1:4" x14ac:dyDescent="0.25">
      <c r="A3" t="s">
        <v>494</v>
      </c>
      <c r="B3" t="s">
        <v>191</v>
      </c>
      <c r="C3" t="s">
        <v>192</v>
      </c>
      <c r="D3" t="s">
        <v>495</v>
      </c>
    </row>
    <row r="4" spans="1:4" x14ac:dyDescent="0.25">
      <c r="A4" t="s">
        <v>496</v>
      </c>
      <c r="B4" t="s">
        <v>191</v>
      </c>
      <c r="C4" t="s">
        <v>192</v>
      </c>
      <c r="D4" t="s">
        <v>497</v>
      </c>
    </row>
    <row r="5" spans="1:4" x14ac:dyDescent="0.25">
      <c r="A5" t="s">
        <v>498</v>
      </c>
      <c r="B5" t="s">
        <v>185</v>
      </c>
      <c r="C5" t="s">
        <v>186</v>
      </c>
      <c r="D5" t="s">
        <v>499</v>
      </c>
    </row>
    <row r="6" spans="1:4" x14ac:dyDescent="0.25">
      <c r="A6" t="s">
        <v>500</v>
      </c>
      <c r="B6" t="s">
        <v>203</v>
      </c>
      <c r="C6" t="s">
        <v>204</v>
      </c>
      <c r="D6" t="s">
        <v>501</v>
      </c>
    </row>
    <row r="7" spans="1:4" x14ac:dyDescent="0.25">
      <c r="A7" t="s">
        <v>502</v>
      </c>
      <c r="B7" t="s">
        <v>229</v>
      </c>
      <c r="C7" t="s">
        <v>230</v>
      </c>
      <c r="D7" t="s">
        <v>503</v>
      </c>
    </row>
    <row r="8" spans="1:4" x14ac:dyDescent="0.25">
      <c r="A8" t="s">
        <v>504</v>
      </c>
      <c r="B8" t="s">
        <v>203</v>
      </c>
      <c r="C8" t="s">
        <v>204</v>
      </c>
      <c r="D8" t="s">
        <v>505</v>
      </c>
    </row>
    <row r="9" spans="1:4" x14ac:dyDescent="0.25">
      <c r="A9" t="s">
        <v>506</v>
      </c>
      <c r="B9" t="s">
        <v>229</v>
      </c>
      <c r="C9" t="s">
        <v>230</v>
      </c>
      <c r="D9" t="s">
        <v>507</v>
      </c>
    </row>
    <row r="10" spans="1:4" x14ac:dyDescent="0.25">
      <c r="A10" t="s">
        <v>199</v>
      </c>
      <c r="B10" t="s">
        <v>197</v>
      </c>
      <c r="C10" t="s">
        <v>198</v>
      </c>
      <c r="D10" t="s">
        <v>508</v>
      </c>
    </row>
    <row r="11" spans="1:4" x14ac:dyDescent="0.25">
      <c r="A11" t="s">
        <v>509</v>
      </c>
      <c r="B11" t="s">
        <v>185</v>
      </c>
      <c r="C11" t="s">
        <v>186</v>
      </c>
      <c r="D11" t="s">
        <v>510</v>
      </c>
    </row>
    <row r="12" spans="1:4" x14ac:dyDescent="0.25">
      <c r="A12" t="s">
        <v>511</v>
      </c>
      <c r="B12" t="s">
        <v>203</v>
      </c>
      <c r="C12" t="s">
        <v>204</v>
      </c>
      <c r="D12" t="s">
        <v>512</v>
      </c>
    </row>
    <row r="13" spans="1:4" x14ac:dyDescent="0.25">
      <c r="A13" t="s">
        <v>513</v>
      </c>
      <c r="B13" t="s">
        <v>191</v>
      </c>
      <c r="C13" t="s">
        <v>192</v>
      </c>
      <c r="D13" t="s">
        <v>514</v>
      </c>
    </row>
    <row r="14" spans="1:4" x14ac:dyDescent="0.25">
      <c r="A14" t="s">
        <v>515</v>
      </c>
      <c r="B14" t="s">
        <v>211</v>
      </c>
      <c r="C14" t="s">
        <v>212</v>
      </c>
      <c r="D14" t="s">
        <v>516</v>
      </c>
    </row>
    <row r="15" spans="1:4" x14ac:dyDescent="0.25">
      <c r="A15" t="s">
        <v>517</v>
      </c>
      <c r="B15" t="s">
        <v>211</v>
      </c>
      <c r="C15" t="s">
        <v>212</v>
      </c>
      <c r="D15" t="s">
        <v>518</v>
      </c>
    </row>
    <row r="16" spans="1:4" x14ac:dyDescent="0.25">
      <c r="A16" t="s">
        <v>519</v>
      </c>
      <c r="B16" t="s">
        <v>229</v>
      </c>
      <c r="C16" t="s">
        <v>230</v>
      </c>
      <c r="D16" t="s">
        <v>503</v>
      </c>
    </row>
    <row r="17" spans="1:4" x14ac:dyDescent="0.25">
      <c r="A17" t="s">
        <v>520</v>
      </c>
      <c r="B17" t="s">
        <v>208</v>
      </c>
      <c r="C17" t="s">
        <v>209</v>
      </c>
      <c r="D17" t="s">
        <v>521</v>
      </c>
    </row>
    <row r="18" spans="1:4" x14ac:dyDescent="0.25">
      <c r="A18" t="s">
        <v>522</v>
      </c>
      <c r="B18" t="s">
        <v>191</v>
      </c>
      <c r="C18" t="s">
        <v>192</v>
      </c>
      <c r="D18" t="s">
        <v>523</v>
      </c>
    </row>
    <row r="19" spans="1:4" x14ac:dyDescent="0.25">
      <c r="A19" t="s">
        <v>524</v>
      </c>
      <c r="B19" t="s">
        <v>208</v>
      </c>
      <c r="C19" t="s">
        <v>209</v>
      </c>
      <c r="D19" t="s">
        <v>525</v>
      </c>
    </row>
    <row r="20" spans="1:4" x14ac:dyDescent="0.25">
      <c r="A20" t="s">
        <v>526</v>
      </c>
      <c r="B20" t="s">
        <v>185</v>
      </c>
      <c r="C20" t="s">
        <v>186</v>
      </c>
      <c r="D20" t="s">
        <v>527</v>
      </c>
    </row>
    <row r="21" spans="1:4" x14ac:dyDescent="0.25">
      <c r="A21" t="s">
        <v>528</v>
      </c>
      <c r="B21" t="s">
        <v>208</v>
      </c>
      <c r="C21" t="s">
        <v>209</v>
      </c>
      <c r="D21" t="s">
        <v>529</v>
      </c>
    </row>
    <row r="22" spans="1:4" x14ac:dyDescent="0.25">
      <c r="A22" t="s">
        <v>530</v>
      </c>
      <c r="B22" t="s">
        <v>226</v>
      </c>
      <c r="C22" t="s">
        <v>227</v>
      </c>
      <c r="D22" t="s">
        <v>531</v>
      </c>
    </row>
    <row r="23" spans="1:4" x14ac:dyDescent="0.25">
      <c r="A23" t="s">
        <v>532</v>
      </c>
      <c r="B23" t="s">
        <v>191</v>
      </c>
      <c r="C23" t="s">
        <v>192</v>
      </c>
      <c r="D23" t="s">
        <v>533</v>
      </c>
    </row>
    <row r="24" spans="1:4" x14ac:dyDescent="0.25">
      <c r="A24" t="s">
        <v>534</v>
      </c>
      <c r="B24" t="s">
        <v>203</v>
      </c>
      <c r="C24" t="s">
        <v>204</v>
      </c>
      <c r="D24" t="s">
        <v>535</v>
      </c>
    </row>
    <row r="25" spans="1:4" x14ac:dyDescent="0.25">
      <c r="A25" t="s">
        <v>536</v>
      </c>
      <c r="B25" t="s">
        <v>240</v>
      </c>
      <c r="C25" t="s">
        <v>241</v>
      </c>
      <c r="D25" t="s">
        <v>537</v>
      </c>
    </row>
    <row r="26" spans="1:4" x14ac:dyDescent="0.25">
      <c r="A26" t="s">
        <v>538</v>
      </c>
      <c r="B26" t="s">
        <v>191</v>
      </c>
      <c r="C26" t="s">
        <v>192</v>
      </c>
      <c r="D26" t="s">
        <v>539</v>
      </c>
    </row>
    <row r="27" spans="1:4" x14ac:dyDescent="0.25">
      <c r="A27" t="s">
        <v>540</v>
      </c>
      <c r="B27" t="s">
        <v>188</v>
      </c>
      <c r="C27" t="s">
        <v>189</v>
      </c>
      <c r="D27" t="s">
        <v>541</v>
      </c>
    </row>
    <row r="28" spans="1:4" x14ac:dyDescent="0.25">
      <c r="A28" t="s">
        <v>542</v>
      </c>
      <c r="B28" t="s">
        <v>191</v>
      </c>
      <c r="C28" t="s">
        <v>192</v>
      </c>
      <c r="D28" t="s">
        <v>543</v>
      </c>
    </row>
    <row r="29" spans="1:4" x14ac:dyDescent="0.25">
      <c r="A29" t="s">
        <v>544</v>
      </c>
      <c r="B29" t="s">
        <v>191</v>
      </c>
      <c r="C29" t="s">
        <v>192</v>
      </c>
      <c r="D29" t="s">
        <v>545</v>
      </c>
    </row>
    <row r="30" spans="1:4" x14ac:dyDescent="0.25">
      <c r="A30" t="s">
        <v>546</v>
      </c>
      <c r="B30" t="s">
        <v>208</v>
      </c>
      <c r="C30" t="s">
        <v>209</v>
      </c>
      <c r="D30" t="s">
        <v>547</v>
      </c>
    </row>
    <row r="31" spans="1:4" x14ac:dyDescent="0.25">
      <c r="A31" t="s">
        <v>247</v>
      </c>
      <c r="B31" t="s">
        <v>245</v>
      </c>
      <c r="C31" t="s">
        <v>246</v>
      </c>
      <c r="D31" t="s">
        <v>548</v>
      </c>
    </row>
    <row r="32" spans="1:4" x14ac:dyDescent="0.25">
      <c r="A32" t="s">
        <v>549</v>
      </c>
      <c r="B32" t="s">
        <v>208</v>
      </c>
      <c r="C32" t="s">
        <v>209</v>
      </c>
      <c r="D32" t="s">
        <v>550</v>
      </c>
    </row>
    <row r="33" spans="1:4" x14ac:dyDescent="0.25">
      <c r="A33" t="s">
        <v>551</v>
      </c>
      <c r="B33" t="s">
        <v>191</v>
      </c>
      <c r="C33" t="s">
        <v>192</v>
      </c>
      <c r="D33" t="s">
        <v>552</v>
      </c>
    </row>
    <row r="34" spans="1:4" x14ac:dyDescent="0.25">
      <c r="A34" t="s">
        <v>239</v>
      </c>
      <c r="B34" t="s">
        <v>237</v>
      </c>
      <c r="C34" t="s">
        <v>238</v>
      </c>
      <c r="D34" t="s">
        <v>553</v>
      </c>
    </row>
    <row r="35" spans="1:4" x14ac:dyDescent="0.25">
      <c r="A35" t="s">
        <v>554</v>
      </c>
      <c r="B35" t="s">
        <v>208</v>
      </c>
      <c r="C35" t="s">
        <v>209</v>
      </c>
      <c r="D35" t="s">
        <v>555</v>
      </c>
    </row>
    <row r="36" spans="1:4" x14ac:dyDescent="0.25">
      <c r="A36" t="s">
        <v>556</v>
      </c>
      <c r="B36" t="s">
        <v>191</v>
      </c>
      <c r="C36" t="s">
        <v>192</v>
      </c>
      <c r="D36" t="s">
        <v>557</v>
      </c>
    </row>
    <row r="37" spans="1:4" x14ac:dyDescent="0.25">
      <c r="A37" t="s">
        <v>558</v>
      </c>
      <c r="B37" t="s">
        <v>191</v>
      </c>
      <c r="C37" t="s">
        <v>192</v>
      </c>
      <c r="D37" t="s">
        <v>559</v>
      </c>
    </row>
    <row r="38" spans="1:4" x14ac:dyDescent="0.25">
      <c r="A38" t="s">
        <v>560</v>
      </c>
      <c r="B38" t="s">
        <v>191</v>
      </c>
      <c r="C38" t="s">
        <v>192</v>
      </c>
      <c r="D38" t="s">
        <v>561</v>
      </c>
    </row>
    <row r="39" spans="1:4" x14ac:dyDescent="0.25">
      <c r="A39" t="s">
        <v>562</v>
      </c>
      <c r="B39" t="s">
        <v>188</v>
      </c>
      <c r="C39" t="s">
        <v>189</v>
      </c>
      <c r="D39" t="s">
        <v>563</v>
      </c>
    </row>
    <row r="40" spans="1:4" x14ac:dyDescent="0.25">
      <c r="A40" t="s">
        <v>564</v>
      </c>
      <c r="B40" t="s">
        <v>191</v>
      </c>
      <c r="C40" t="s">
        <v>192</v>
      </c>
      <c r="D40" t="s">
        <v>565</v>
      </c>
    </row>
    <row r="41" spans="1:4" x14ac:dyDescent="0.25">
      <c r="A41" t="s">
        <v>566</v>
      </c>
      <c r="B41" t="s">
        <v>226</v>
      </c>
      <c r="C41" t="s">
        <v>227</v>
      </c>
      <c r="D41" t="s">
        <v>567</v>
      </c>
    </row>
    <row r="42" spans="1:4" x14ac:dyDescent="0.25">
      <c r="A42" t="s">
        <v>236</v>
      </c>
      <c r="B42" t="s">
        <v>234</v>
      </c>
      <c r="C42" t="s">
        <v>235</v>
      </c>
      <c r="D42" t="s">
        <v>568</v>
      </c>
    </row>
    <row r="43" spans="1:4" x14ac:dyDescent="0.25">
      <c r="A43" t="s">
        <v>569</v>
      </c>
      <c r="B43" t="s">
        <v>206</v>
      </c>
      <c r="C43" t="s">
        <v>189</v>
      </c>
      <c r="D43" t="s">
        <v>570</v>
      </c>
    </row>
    <row r="44" spans="1:4" x14ac:dyDescent="0.25">
      <c r="A44" t="s">
        <v>571</v>
      </c>
      <c r="B44" t="s">
        <v>191</v>
      </c>
      <c r="C44" t="s">
        <v>192</v>
      </c>
      <c r="D44" t="s">
        <v>572</v>
      </c>
    </row>
    <row r="45" spans="1:4" x14ac:dyDescent="0.25">
      <c r="A45" t="s">
        <v>573</v>
      </c>
      <c r="B45" t="s">
        <v>208</v>
      </c>
      <c r="C45" t="s">
        <v>209</v>
      </c>
      <c r="D45" t="s">
        <v>574</v>
      </c>
    </row>
    <row r="46" spans="1:4" x14ac:dyDescent="0.25">
      <c r="A46" t="s">
        <v>575</v>
      </c>
      <c r="B46" t="s">
        <v>191</v>
      </c>
      <c r="C46" t="s">
        <v>192</v>
      </c>
      <c r="D46" t="s">
        <v>576</v>
      </c>
    </row>
    <row r="47" spans="1:4" x14ac:dyDescent="0.25">
      <c r="A47" t="s">
        <v>577</v>
      </c>
      <c r="B47" t="s">
        <v>208</v>
      </c>
      <c r="C47" t="s">
        <v>209</v>
      </c>
      <c r="D47" t="s">
        <v>578</v>
      </c>
    </row>
    <row r="48" spans="1:4" x14ac:dyDescent="0.25">
      <c r="A48" t="s">
        <v>579</v>
      </c>
      <c r="B48" t="s">
        <v>240</v>
      </c>
      <c r="C48" t="s">
        <v>241</v>
      </c>
      <c r="D48" t="s">
        <v>580</v>
      </c>
    </row>
    <row r="49" spans="1:4" x14ac:dyDescent="0.25">
      <c r="A49" t="s">
        <v>581</v>
      </c>
      <c r="B49" t="s">
        <v>208</v>
      </c>
      <c r="C49" t="s">
        <v>209</v>
      </c>
      <c r="D49" t="s">
        <v>582</v>
      </c>
    </row>
    <row r="50" spans="1:4" x14ac:dyDescent="0.25">
      <c r="A50" t="s">
        <v>583</v>
      </c>
      <c r="B50" t="s">
        <v>240</v>
      </c>
      <c r="C50" t="s">
        <v>241</v>
      </c>
      <c r="D50" t="s">
        <v>537</v>
      </c>
    </row>
    <row r="51" spans="1:4" x14ac:dyDescent="0.25">
      <c r="A51" t="s">
        <v>584</v>
      </c>
      <c r="B51" t="s">
        <v>229</v>
      </c>
      <c r="C51" t="s">
        <v>230</v>
      </c>
      <c r="D51" t="s">
        <v>585</v>
      </c>
    </row>
    <row r="52" spans="1:4" x14ac:dyDescent="0.25">
      <c r="A52" t="s">
        <v>586</v>
      </c>
      <c r="B52" t="s">
        <v>206</v>
      </c>
      <c r="C52" t="s">
        <v>189</v>
      </c>
      <c r="D52" t="s">
        <v>587</v>
      </c>
    </row>
    <row r="53" spans="1:4" x14ac:dyDescent="0.25">
      <c r="A53" t="s">
        <v>588</v>
      </c>
      <c r="B53" t="s">
        <v>188</v>
      </c>
      <c r="C53" t="s">
        <v>189</v>
      </c>
      <c r="D53" t="s">
        <v>589</v>
      </c>
    </row>
    <row r="54" spans="1:4" x14ac:dyDescent="0.25">
      <c r="A54" t="s">
        <v>590</v>
      </c>
      <c r="B54" t="s">
        <v>208</v>
      </c>
      <c r="C54" t="s">
        <v>209</v>
      </c>
      <c r="D54" t="s">
        <v>591</v>
      </c>
    </row>
    <row r="55" spans="1:4" x14ac:dyDescent="0.25">
      <c r="A55" t="s">
        <v>592</v>
      </c>
      <c r="B55" t="s">
        <v>208</v>
      </c>
      <c r="C55" t="s">
        <v>209</v>
      </c>
      <c r="D55" t="s">
        <v>593</v>
      </c>
    </row>
    <row r="56" spans="1:4" x14ac:dyDescent="0.25">
      <c r="A56" t="s">
        <v>594</v>
      </c>
      <c r="B56" t="s">
        <v>208</v>
      </c>
      <c r="C56" t="s">
        <v>209</v>
      </c>
      <c r="D56" t="s">
        <v>595</v>
      </c>
    </row>
    <row r="57" spans="1:4" x14ac:dyDescent="0.25">
      <c r="A57" t="s">
        <v>596</v>
      </c>
      <c r="B57" t="s">
        <v>208</v>
      </c>
      <c r="C57" t="s">
        <v>209</v>
      </c>
      <c r="D57" t="s">
        <v>597</v>
      </c>
    </row>
    <row r="58" spans="1:4" x14ac:dyDescent="0.25">
      <c r="A58" t="s">
        <v>598</v>
      </c>
      <c r="B58" t="s">
        <v>208</v>
      </c>
      <c r="C58" t="s">
        <v>209</v>
      </c>
      <c r="D58" t="s">
        <v>599</v>
      </c>
    </row>
    <row r="59" spans="1:4" x14ac:dyDescent="0.25">
      <c r="A59" t="s">
        <v>600</v>
      </c>
      <c r="B59" t="s">
        <v>191</v>
      </c>
      <c r="C59" t="s">
        <v>192</v>
      </c>
      <c r="D59" t="s">
        <v>601</v>
      </c>
    </row>
    <row r="60" spans="1:4" x14ac:dyDescent="0.25">
      <c r="A60" t="s">
        <v>602</v>
      </c>
      <c r="B60" t="s">
        <v>208</v>
      </c>
      <c r="C60" t="s">
        <v>209</v>
      </c>
      <c r="D60" t="s">
        <v>603</v>
      </c>
    </row>
    <row r="61" spans="1:4" x14ac:dyDescent="0.25">
      <c r="A61" t="s">
        <v>604</v>
      </c>
      <c r="B61" t="s">
        <v>208</v>
      </c>
      <c r="C61" t="s">
        <v>209</v>
      </c>
      <c r="D61" t="s">
        <v>605</v>
      </c>
    </row>
    <row r="62" spans="1:4" x14ac:dyDescent="0.25">
      <c r="A62" t="s">
        <v>606</v>
      </c>
      <c r="B62" t="s">
        <v>191</v>
      </c>
      <c r="C62" t="s">
        <v>192</v>
      </c>
      <c r="D62" t="s">
        <v>607</v>
      </c>
    </row>
    <row r="63" spans="1:4" x14ac:dyDescent="0.25">
      <c r="A63" t="s">
        <v>608</v>
      </c>
      <c r="B63" t="s">
        <v>191</v>
      </c>
      <c r="C63" t="s">
        <v>192</v>
      </c>
      <c r="D63" t="s">
        <v>609</v>
      </c>
    </row>
    <row r="64" spans="1:4" x14ac:dyDescent="0.25">
      <c r="A64" t="s">
        <v>610</v>
      </c>
      <c r="B64" t="s">
        <v>208</v>
      </c>
      <c r="C64" t="s">
        <v>209</v>
      </c>
      <c r="D64" t="s">
        <v>611</v>
      </c>
    </row>
    <row r="65" spans="1:4" x14ac:dyDescent="0.25">
      <c r="A65" t="s">
        <v>612</v>
      </c>
      <c r="B65" t="s">
        <v>223</v>
      </c>
      <c r="C65" t="s">
        <v>224</v>
      </c>
      <c r="D65" t="s">
        <v>613</v>
      </c>
    </row>
    <row r="66" spans="1:4" x14ac:dyDescent="0.25">
      <c r="A66" t="s">
        <v>614</v>
      </c>
      <c r="B66" t="s">
        <v>208</v>
      </c>
      <c r="C66" t="s">
        <v>209</v>
      </c>
      <c r="D66" t="s">
        <v>615</v>
      </c>
    </row>
    <row r="67" spans="1:4" x14ac:dyDescent="0.25">
      <c r="A67" t="s">
        <v>616</v>
      </c>
      <c r="B67" t="s">
        <v>223</v>
      </c>
      <c r="C67" t="s">
        <v>224</v>
      </c>
      <c r="D67" t="s">
        <v>617</v>
      </c>
    </row>
    <row r="68" spans="1:4" x14ac:dyDescent="0.25">
      <c r="A68" t="s">
        <v>618</v>
      </c>
      <c r="B68" t="s">
        <v>191</v>
      </c>
      <c r="C68" t="s">
        <v>192</v>
      </c>
      <c r="D68" t="s">
        <v>619</v>
      </c>
    </row>
    <row r="69" spans="1:4" x14ac:dyDescent="0.25">
      <c r="A69" t="s">
        <v>620</v>
      </c>
      <c r="B69" t="s">
        <v>208</v>
      </c>
      <c r="C69" t="s">
        <v>209</v>
      </c>
      <c r="D69" t="s">
        <v>621</v>
      </c>
    </row>
    <row r="70" spans="1:4" x14ac:dyDescent="0.25">
      <c r="A70" t="s">
        <v>622</v>
      </c>
      <c r="B70" t="s">
        <v>208</v>
      </c>
      <c r="C70" t="s">
        <v>209</v>
      </c>
      <c r="D70" t="s">
        <v>623</v>
      </c>
    </row>
    <row r="71" spans="1:4" x14ac:dyDescent="0.25">
      <c r="A71" t="s">
        <v>624</v>
      </c>
      <c r="B71" t="s">
        <v>191</v>
      </c>
      <c r="C71" t="s">
        <v>192</v>
      </c>
      <c r="D71" t="s">
        <v>625</v>
      </c>
    </row>
    <row r="72" spans="1:4" x14ac:dyDescent="0.25">
      <c r="A72" t="s">
        <v>626</v>
      </c>
      <c r="B72" t="s">
        <v>208</v>
      </c>
      <c r="C72" t="s">
        <v>209</v>
      </c>
      <c r="D72" t="s">
        <v>627</v>
      </c>
    </row>
    <row r="73" spans="1:4" x14ac:dyDescent="0.25">
      <c r="A73" t="s">
        <v>628</v>
      </c>
      <c r="B73" t="s">
        <v>191</v>
      </c>
      <c r="C73" t="s">
        <v>192</v>
      </c>
      <c r="D73" t="s">
        <v>629</v>
      </c>
    </row>
    <row r="74" spans="1:4" x14ac:dyDescent="0.25">
      <c r="A74" t="s">
        <v>630</v>
      </c>
      <c r="B74" t="s">
        <v>208</v>
      </c>
      <c r="C74" t="s">
        <v>209</v>
      </c>
      <c r="D74" t="s">
        <v>631</v>
      </c>
    </row>
    <row r="75" spans="1:4" x14ac:dyDescent="0.25">
      <c r="A75" t="s">
        <v>632</v>
      </c>
      <c r="B75" t="s">
        <v>208</v>
      </c>
      <c r="C75" t="s">
        <v>209</v>
      </c>
      <c r="D75" t="s">
        <v>633</v>
      </c>
    </row>
    <row r="76" spans="1:4" x14ac:dyDescent="0.25">
      <c r="A76" t="s">
        <v>634</v>
      </c>
      <c r="B76" t="s">
        <v>191</v>
      </c>
      <c r="C76" t="s">
        <v>192</v>
      </c>
      <c r="D76" t="s">
        <v>635</v>
      </c>
    </row>
    <row r="77" spans="1:4" x14ac:dyDescent="0.25">
      <c r="A77" t="s">
        <v>636</v>
      </c>
      <c r="B77" t="s">
        <v>191</v>
      </c>
      <c r="C77" t="s">
        <v>192</v>
      </c>
      <c r="D77" t="s">
        <v>637</v>
      </c>
    </row>
    <row r="78" spans="1:4" x14ac:dyDescent="0.25">
      <c r="A78" t="s">
        <v>222</v>
      </c>
      <c r="B78" t="s">
        <v>220</v>
      </c>
      <c r="C78" t="s">
        <v>221</v>
      </c>
      <c r="D78" t="s">
        <v>638</v>
      </c>
    </row>
    <row r="79" spans="1:4" x14ac:dyDescent="0.25">
      <c r="A79" t="s">
        <v>639</v>
      </c>
      <c r="B79" t="s">
        <v>208</v>
      </c>
      <c r="C79" t="s">
        <v>209</v>
      </c>
      <c r="D79" t="s">
        <v>640</v>
      </c>
    </row>
    <row r="80" spans="1:4" x14ac:dyDescent="0.25">
      <c r="A80" t="s">
        <v>641</v>
      </c>
      <c r="B80" t="s">
        <v>191</v>
      </c>
      <c r="C80" t="s">
        <v>192</v>
      </c>
      <c r="D80" t="s">
        <v>642</v>
      </c>
    </row>
    <row r="81" spans="1:4" x14ac:dyDescent="0.25">
      <c r="A81" t="s">
        <v>643</v>
      </c>
      <c r="B81" t="s">
        <v>191</v>
      </c>
      <c r="C81" t="s">
        <v>192</v>
      </c>
      <c r="D81" t="s">
        <v>644</v>
      </c>
    </row>
    <row r="82" spans="1:4" x14ac:dyDescent="0.25">
      <c r="A82" t="s">
        <v>645</v>
      </c>
      <c r="B82" t="s">
        <v>208</v>
      </c>
      <c r="C82" t="s">
        <v>209</v>
      </c>
      <c r="D82" t="s">
        <v>646</v>
      </c>
    </row>
    <row r="83" spans="1:4" x14ac:dyDescent="0.25">
      <c r="A83" t="s">
        <v>647</v>
      </c>
      <c r="B83" t="s">
        <v>191</v>
      </c>
      <c r="C83" t="s">
        <v>192</v>
      </c>
      <c r="D83" t="s">
        <v>648</v>
      </c>
    </row>
    <row r="84" spans="1:4" x14ac:dyDescent="0.25">
      <c r="A84" t="s">
        <v>649</v>
      </c>
      <c r="B84" t="s">
        <v>191</v>
      </c>
      <c r="C84" t="s">
        <v>192</v>
      </c>
      <c r="D84" t="s">
        <v>650</v>
      </c>
    </row>
    <row r="85" spans="1:4" x14ac:dyDescent="0.25">
      <c r="A85" t="s">
        <v>651</v>
      </c>
      <c r="B85" t="s">
        <v>208</v>
      </c>
      <c r="C85" t="s">
        <v>209</v>
      </c>
      <c r="D85" t="s">
        <v>652</v>
      </c>
    </row>
    <row r="86" spans="1:4" x14ac:dyDescent="0.25">
      <c r="A86" t="s">
        <v>653</v>
      </c>
      <c r="B86" t="s">
        <v>208</v>
      </c>
      <c r="C86" t="s">
        <v>209</v>
      </c>
      <c r="D86" t="s">
        <v>654</v>
      </c>
    </row>
    <row r="87" spans="1:4" x14ac:dyDescent="0.25">
      <c r="A87" t="s">
        <v>655</v>
      </c>
      <c r="B87" t="s">
        <v>208</v>
      </c>
      <c r="C87" t="s">
        <v>209</v>
      </c>
      <c r="D87" t="s">
        <v>656</v>
      </c>
    </row>
    <row r="88" spans="1:4" x14ac:dyDescent="0.25">
      <c r="A88" t="s">
        <v>657</v>
      </c>
      <c r="B88" t="s">
        <v>208</v>
      </c>
      <c r="C88" t="s">
        <v>209</v>
      </c>
      <c r="D88" t="s">
        <v>658</v>
      </c>
    </row>
    <row r="89" spans="1:4" x14ac:dyDescent="0.25">
      <c r="A89" t="s">
        <v>659</v>
      </c>
      <c r="B89" t="s">
        <v>243</v>
      </c>
      <c r="C89" t="s">
        <v>212</v>
      </c>
      <c r="D89" t="s">
        <v>660</v>
      </c>
    </row>
    <row r="90" spans="1:4" x14ac:dyDescent="0.25">
      <c r="A90" t="s">
        <v>661</v>
      </c>
      <c r="B90" t="s">
        <v>208</v>
      </c>
      <c r="C90" t="s">
        <v>209</v>
      </c>
      <c r="D90" t="s">
        <v>662</v>
      </c>
    </row>
    <row r="91" spans="1:4" x14ac:dyDescent="0.25">
      <c r="A91" t="s">
        <v>663</v>
      </c>
      <c r="B91" t="s">
        <v>191</v>
      </c>
      <c r="C91" t="s">
        <v>192</v>
      </c>
      <c r="D91" t="s">
        <v>664</v>
      </c>
    </row>
    <row r="92" spans="1:4" x14ac:dyDescent="0.25">
      <c r="A92" t="s">
        <v>665</v>
      </c>
      <c r="B92" t="s">
        <v>208</v>
      </c>
      <c r="C92" t="s">
        <v>209</v>
      </c>
      <c r="D92" t="s">
        <v>666</v>
      </c>
    </row>
    <row r="93" spans="1:4" x14ac:dyDescent="0.25">
      <c r="A93" t="s">
        <v>667</v>
      </c>
      <c r="B93" t="s">
        <v>208</v>
      </c>
      <c r="C93" t="s">
        <v>209</v>
      </c>
      <c r="D93" t="s">
        <v>668</v>
      </c>
    </row>
    <row r="94" spans="1:4" x14ac:dyDescent="0.25">
      <c r="A94" t="s">
        <v>669</v>
      </c>
      <c r="B94" t="s">
        <v>185</v>
      </c>
      <c r="C94" t="s">
        <v>186</v>
      </c>
      <c r="D94" t="s">
        <v>670</v>
      </c>
    </row>
    <row r="95" spans="1:4" x14ac:dyDescent="0.25">
      <c r="A95" t="s">
        <v>671</v>
      </c>
      <c r="B95" t="s">
        <v>208</v>
      </c>
      <c r="C95" t="s">
        <v>209</v>
      </c>
      <c r="D95" t="s">
        <v>672</v>
      </c>
    </row>
    <row r="96" spans="1:4" x14ac:dyDescent="0.25">
      <c r="A96" t="s">
        <v>673</v>
      </c>
      <c r="B96" t="s">
        <v>191</v>
      </c>
      <c r="C96" t="s">
        <v>192</v>
      </c>
      <c r="D96" t="s">
        <v>674</v>
      </c>
    </row>
    <row r="97" spans="1:4" x14ac:dyDescent="0.25">
      <c r="A97" t="s">
        <v>233</v>
      </c>
      <c r="B97" t="s">
        <v>232</v>
      </c>
      <c r="C97" t="s">
        <v>204</v>
      </c>
      <c r="D97" t="s">
        <v>675</v>
      </c>
    </row>
    <row r="98" spans="1:4" x14ac:dyDescent="0.25">
      <c r="A98" t="s">
        <v>676</v>
      </c>
      <c r="B98" t="s">
        <v>208</v>
      </c>
      <c r="C98" t="s">
        <v>209</v>
      </c>
      <c r="D98" t="s">
        <v>677</v>
      </c>
    </row>
    <row r="99" spans="1:4" x14ac:dyDescent="0.25">
      <c r="A99" t="s">
        <v>678</v>
      </c>
      <c r="B99" t="s">
        <v>194</v>
      </c>
      <c r="C99" t="s">
        <v>195</v>
      </c>
      <c r="D99" t="s">
        <v>679</v>
      </c>
    </row>
    <row r="100" spans="1:4" x14ac:dyDescent="0.25">
      <c r="A100" t="s">
        <v>680</v>
      </c>
      <c r="B100" t="s">
        <v>208</v>
      </c>
      <c r="C100" t="s">
        <v>209</v>
      </c>
      <c r="D100" t="s">
        <v>681</v>
      </c>
    </row>
    <row r="101" spans="1:4" x14ac:dyDescent="0.25">
      <c r="A101" t="s">
        <v>682</v>
      </c>
      <c r="B101" t="s">
        <v>243</v>
      </c>
      <c r="C101" t="s">
        <v>212</v>
      </c>
      <c r="D101" t="s">
        <v>683</v>
      </c>
    </row>
    <row r="102" spans="1:4" x14ac:dyDescent="0.25">
      <c r="A102" t="s">
        <v>684</v>
      </c>
      <c r="B102" t="s">
        <v>208</v>
      </c>
      <c r="C102" t="s">
        <v>209</v>
      </c>
      <c r="D102" t="s">
        <v>685</v>
      </c>
    </row>
    <row r="103" spans="1:4" x14ac:dyDescent="0.25">
      <c r="A103" t="s">
        <v>686</v>
      </c>
      <c r="B103" t="s">
        <v>208</v>
      </c>
      <c r="C103" t="s">
        <v>209</v>
      </c>
      <c r="D103" t="s">
        <v>687</v>
      </c>
    </row>
    <row r="104" spans="1:4" x14ac:dyDescent="0.25">
      <c r="A104" t="s">
        <v>688</v>
      </c>
      <c r="B104" t="s">
        <v>191</v>
      </c>
      <c r="C104" t="s">
        <v>192</v>
      </c>
      <c r="D104" t="s">
        <v>689</v>
      </c>
    </row>
    <row r="105" spans="1:4" x14ac:dyDescent="0.25">
      <c r="A105" t="s">
        <v>690</v>
      </c>
      <c r="B105" t="s">
        <v>191</v>
      </c>
      <c r="C105" t="s">
        <v>192</v>
      </c>
      <c r="D105" t="s">
        <v>691</v>
      </c>
    </row>
    <row r="106" spans="1:4" x14ac:dyDescent="0.25">
      <c r="A106" t="s">
        <v>692</v>
      </c>
      <c r="B106" t="s">
        <v>191</v>
      </c>
      <c r="C106" t="s">
        <v>192</v>
      </c>
      <c r="D106" t="s">
        <v>693</v>
      </c>
    </row>
    <row r="107" spans="1:4" x14ac:dyDescent="0.25">
      <c r="A107" t="s">
        <v>202</v>
      </c>
      <c r="B107" t="s">
        <v>200</v>
      </c>
      <c r="C107" t="s">
        <v>201</v>
      </c>
      <c r="D107" t="s">
        <v>694</v>
      </c>
    </row>
    <row r="108" spans="1:4" x14ac:dyDescent="0.25">
      <c r="A108" t="s">
        <v>695</v>
      </c>
      <c r="B108" t="s">
        <v>208</v>
      </c>
      <c r="C108" t="s">
        <v>209</v>
      </c>
      <c r="D108" t="s">
        <v>696</v>
      </c>
    </row>
    <row r="109" spans="1:4" x14ac:dyDescent="0.25">
      <c r="A109" t="s">
        <v>697</v>
      </c>
      <c r="B109" t="s">
        <v>208</v>
      </c>
      <c r="C109" t="s">
        <v>209</v>
      </c>
      <c r="D109" t="s">
        <v>698</v>
      </c>
    </row>
    <row r="110" spans="1:4" x14ac:dyDescent="0.25">
      <c r="A110" t="s">
        <v>699</v>
      </c>
      <c r="B110" t="s">
        <v>214</v>
      </c>
      <c r="C110" t="s">
        <v>215</v>
      </c>
      <c r="D110" t="s">
        <v>700</v>
      </c>
    </row>
    <row r="111" spans="1:4" x14ac:dyDescent="0.25">
      <c r="A111" t="s">
        <v>701</v>
      </c>
      <c r="B111" t="s">
        <v>203</v>
      </c>
      <c r="C111" t="s">
        <v>204</v>
      </c>
      <c r="D111" t="s">
        <v>702</v>
      </c>
    </row>
    <row r="112" spans="1:4" x14ac:dyDescent="0.25">
      <c r="A112" t="s">
        <v>703</v>
      </c>
      <c r="B112" t="s">
        <v>214</v>
      </c>
      <c r="C112" t="s">
        <v>215</v>
      </c>
      <c r="D112" t="s">
        <v>704</v>
      </c>
    </row>
    <row r="113" spans="1:4" x14ac:dyDescent="0.25">
      <c r="A113" t="s">
        <v>705</v>
      </c>
      <c r="B113" t="s">
        <v>208</v>
      </c>
      <c r="C113" t="s">
        <v>209</v>
      </c>
      <c r="D113" t="s">
        <v>706</v>
      </c>
    </row>
    <row r="114" spans="1:4" x14ac:dyDescent="0.25">
      <c r="A114" t="s">
        <v>219</v>
      </c>
      <c r="B114" t="s">
        <v>217</v>
      </c>
      <c r="C114" t="s">
        <v>218</v>
      </c>
      <c r="D114" t="s">
        <v>707</v>
      </c>
    </row>
    <row r="115" spans="1:4" x14ac:dyDescent="0.25">
      <c r="A115" t="s">
        <v>708</v>
      </c>
      <c r="B115" t="s">
        <v>208</v>
      </c>
      <c r="C115" t="s">
        <v>209</v>
      </c>
      <c r="D115" t="s">
        <v>709</v>
      </c>
    </row>
    <row r="116" spans="1:4" x14ac:dyDescent="0.25">
      <c r="A116" t="s">
        <v>710</v>
      </c>
      <c r="B116" t="s">
        <v>208</v>
      </c>
      <c r="C116" t="s">
        <v>209</v>
      </c>
      <c r="D116" t="s">
        <v>711</v>
      </c>
    </row>
    <row r="117" spans="1:4" x14ac:dyDescent="0.25">
      <c r="A117" t="s">
        <v>712</v>
      </c>
      <c r="B117" t="s">
        <v>191</v>
      </c>
      <c r="C117" t="s">
        <v>192</v>
      </c>
      <c r="D117" t="s">
        <v>713</v>
      </c>
    </row>
    <row r="118" spans="1:4" x14ac:dyDescent="0.25">
      <c r="A118" t="s">
        <v>714</v>
      </c>
      <c r="B118" t="s">
        <v>203</v>
      </c>
      <c r="C118" t="s">
        <v>204</v>
      </c>
      <c r="D118" t="s">
        <v>715</v>
      </c>
    </row>
    <row r="119" spans="1:4" x14ac:dyDescent="0.25">
      <c r="A119" t="s">
        <v>716</v>
      </c>
      <c r="B119" t="s">
        <v>208</v>
      </c>
      <c r="C119" t="s">
        <v>209</v>
      </c>
      <c r="D119" t="s">
        <v>717</v>
      </c>
    </row>
    <row r="120" spans="1:4" x14ac:dyDescent="0.25">
      <c r="A120" t="s">
        <v>718</v>
      </c>
      <c r="B120" t="s">
        <v>194</v>
      </c>
      <c r="C120" t="s">
        <v>195</v>
      </c>
      <c r="D120" t="s">
        <v>719</v>
      </c>
    </row>
    <row r="121" spans="1:4" x14ac:dyDescent="0.25">
      <c r="A121" t="s">
        <v>720</v>
      </c>
      <c r="B121" t="s">
        <v>208</v>
      </c>
      <c r="C121" t="s">
        <v>209</v>
      </c>
      <c r="D121" t="s">
        <v>721</v>
      </c>
    </row>
    <row r="122" spans="1:4" x14ac:dyDescent="0.25">
      <c r="A122" t="s">
        <v>722</v>
      </c>
      <c r="B122" t="s">
        <v>191</v>
      </c>
      <c r="C122" t="s">
        <v>192</v>
      </c>
      <c r="D122" t="s">
        <v>723</v>
      </c>
    </row>
    <row r="123" spans="1:4" x14ac:dyDescent="0.25">
      <c r="A123" t="s">
        <v>724</v>
      </c>
      <c r="B123" t="s">
        <v>185</v>
      </c>
      <c r="C123" t="s">
        <v>186</v>
      </c>
      <c r="D123" t="s">
        <v>725</v>
      </c>
    </row>
    <row r="124" spans="1:4" x14ac:dyDescent="0.25">
      <c r="A124" t="s">
        <v>726</v>
      </c>
      <c r="B124" t="s">
        <v>208</v>
      </c>
      <c r="C124" t="s">
        <v>209</v>
      </c>
      <c r="D124" t="s">
        <v>727</v>
      </c>
    </row>
    <row r="125" spans="1:4" x14ac:dyDescent="0.25">
      <c r="A125" t="s">
        <v>728</v>
      </c>
      <c r="B125" t="s">
        <v>185</v>
      </c>
      <c r="C125" t="s">
        <v>186</v>
      </c>
      <c r="D125" t="s">
        <v>729</v>
      </c>
    </row>
    <row r="126" spans="1:4" x14ac:dyDescent="0.25">
      <c r="A126" t="s">
        <v>730</v>
      </c>
      <c r="B126" t="s">
        <v>191</v>
      </c>
      <c r="C126" t="s">
        <v>192</v>
      </c>
      <c r="D126" t="s">
        <v>731</v>
      </c>
    </row>
    <row r="127" spans="1:4" x14ac:dyDescent="0.25">
      <c r="A127" t="s">
        <v>732</v>
      </c>
      <c r="B127" t="s">
        <v>208</v>
      </c>
      <c r="C127" t="s">
        <v>209</v>
      </c>
      <c r="D127" t="s">
        <v>733</v>
      </c>
    </row>
    <row r="128" spans="1:4" x14ac:dyDescent="0.25">
      <c r="A128" t="s">
        <v>734</v>
      </c>
      <c r="B128" t="s">
        <v>191</v>
      </c>
      <c r="C128" t="s">
        <v>192</v>
      </c>
      <c r="D128" t="s">
        <v>735</v>
      </c>
    </row>
    <row r="129" spans="1:4" x14ac:dyDescent="0.25">
      <c r="A129" t="s">
        <v>736</v>
      </c>
      <c r="B129" t="s">
        <v>191</v>
      </c>
      <c r="C129" t="s">
        <v>192</v>
      </c>
      <c r="D129" t="s">
        <v>737</v>
      </c>
    </row>
    <row r="130" spans="1:4" x14ac:dyDescent="0.25">
      <c r="A130" t="s">
        <v>738</v>
      </c>
      <c r="B130" t="s">
        <v>191</v>
      </c>
      <c r="C130" t="s">
        <v>192</v>
      </c>
      <c r="D130" t="s">
        <v>739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6"/>
  <sheetViews>
    <sheetView zoomScaleNormal="100" workbookViewId="0">
      <pane ySplit="1" topLeftCell="A2" activePane="bottomLeft" state="frozen"/>
      <selection pane="bottomLeft" sqref="A1:A1048576"/>
    </sheetView>
  </sheetViews>
  <sheetFormatPr baseColWidth="10" defaultColWidth="11.453125" defaultRowHeight="12.5" x14ac:dyDescent="0.25"/>
  <cols>
    <col min="1" max="1" width="14.81640625" customWidth="1"/>
    <col min="2" max="2" width="31" customWidth="1"/>
    <col min="3" max="3" width="130.6328125" customWidth="1"/>
    <col min="6" max="6" width="31" customWidth="1"/>
  </cols>
  <sheetData>
    <row r="1" spans="1:6" s="3" customFormat="1" ht="13" x14ac:dyDescent="0.3">
      <c r="A1" s="3" t="s">
        <v>0</v>
      </c>
      <c r="B1" s="3" t="s">
        <v>181</v>
      </c>
      <c r="C1" s="3" t="s">
        <v>183</v>
      </c>
      <c r="F1" s="3" t="s">
        <v>1460</v>
      </c>
    </row>
    <row r="2" spans="1:6" x14ac:dyDescent="0.25">
      <c r="A2" t="s">
        <v>740</v>
      </c>
      <c r="B2" t="s">
        <v>741</v>
      </c>
      <c r="C2" t="s">
        <v>742</v>
      </c>
      <c r="F2" t="s">
        <v>741</v>
      </c>
    </row>
    <row r="3" spans="1:6" x14ac:dyDescent="0.25">
      <c r="A3" t="s">
        <v>743</v>
      </c>
      <c r="B3" t="s">
        <v>744</v>
      </c>
      <c r="C3" t="s">
        <v>742</v>
      </c>
      <c r="F3" t="s">
        <v>744</v>
      </c>
    </row>
    <row r="4" spans="1:6" x14ac:dyDescent="0.25">
      <c r="A4" t="s">
        <v>745</v>
      </c>
      <c r="B4" t="s">
        <v>746</v>
      </c>
      <c r="C4" t="s">
        <v>742</v>
      </c>
      <c r="F4" t="s">
        <v>746</v>
      </c>
    </row>
    <row r="5" spans="1:6" x14ac:dyDescent="0.25">
      <c r="A5" t="s">
        <v>747</v>
      </c>
      <c r="B5" t="s">
        <v>748</v>
      </c>
      <c r="C5" t="s">
        <v>742</v>
      </c>
      <c r="F5" t="s">
        <v>748</v>
      </c>
    </row>
    <row r="6" spans="1:6" x14ac:dyDescent="0.25">
      <c r="A6" t="s">
        <v>749</v>
      </c>
      <c r="B6" t="s">
        <v>750</v>
      </c>
      <c r="C6" t="s">
        <v>209</v>
      </c>
      <c r="F6" t="s">
        <v>750</v>
      </c>
    </row>
    <row r="7" spans="1:6" x14ac:dyDescent="0.25">
      <c r="A7" t="s">
        <v>751</v>
      </c>
      <c r="B7" t="s">
        <v>752</v>
      </c>
      <c r="C7" t="s">
        <v>209</v>
      </c>
      <c r="F7" t="s">
        <v>752</v>
      </c>
    </row>
    <row r="8" spans="1:6" x14ac:dyDescent="0.25">
      <c r="A8" t="s">
        <v>753</v>
      </c>
      <c r="B8" t="s">
        <v>750</v>
      </c>
      <c r="C8" t="s">
        <v>209</v>
      </c>
      <c r="F8" t="s">
        <v>756</v>
      </c>
    </row>
    <row r="9" spans="1:6" x14ac:dyDescent="0.25">
      <c r="A9" t="s">
        <v>754</v>
      </c>
      <c r="B9" t="s">
        <v>750</v>
      </c>
      <c r="C9" t="s">
        <v>209</v>
      </c>
      <c r="F9" t="s">
        <v>758</v>
      </c>
    </row>
    <row r="10" spans="1:6" x14ac:dyDescent="0.25">
      <c r="A10" t="s">
        <v>755</v>
      </c>
      <c r="B10" t="s">
        <v>756</v>
      </c>
      <c r="C10" t="s">
        <v>209</v>
      </c>
      <c r="F10" t="s">
        <v>761</v>
      </c>
    </row>
    <row r="11" spans="1:6" x14ac:dyDescent="0.25">
      <c r="A11" t="s">
        <v>757</v>
      </c>
      <c r="B11" t="s">
        <v>758</v>
      </c>
      <c r="C11" t="s">
        <v>759</v>
      </c>
      <c r="F11" t="s">
        <v>763</v>
      </c>
    </row>
    <row r="12" spans="1:6" x14ac:dyDescent="0.25">
      <c r="A12" t="s">
        <v>760</v>
      </c>
      <c r="B12" t="s">
        <v>761</v>
      </c>
      <c r="C12" t="s">
        <v>759</v>
      </c>
      <c r="F12" t="s">
        <v>765</v>
      </c>
    </row>
    <row r="13" spans="1:6" x14ac:dyDescent="0.25">
      <c r="A13" t="s">
        <v>762</v>
      </c>
      <c r="B13" t="s">
        <v>763</v>
      </c>
      <c r="C13" t="s">
        <v>227</v>
      </c>
      <c r="F13" t="s">
        <v>768</v>
      </c>
    </row>
    <row r="14" spans="1:6" x14ac:dyDescent="0.25">
      <c r="A14" t="s">
        <v>764</v>
      </c>
      <c r="B14" t="s">
        <v>765</v>
      </c>
      <c r="C14" t="s">
        <v>766</v>
      </c>
      <c r="F14" t="s">
        <v>771</v>
      </c>
    </row>
    <row r="15" spans="1:6" x14ac:dyDescent="0.25">
      <c r="A15" t="s">
        <v>767</v>
      </c>
      <c r="B15" t="s">
        <v>768</v>
      </c>
      <c r="C15" t="s">
        <v>769</v>
      </c>
      <c r="F15" t="s">
        <v>774</v>
      </c>
    </row>
    <row r="16" spans="1:6" x14ac:dyDescent="0.25">
      <c r="A16" t="s">
        <v>770</v>
      </c>
      <c r="B16" t="s">
        <v>771</v>
      </c>
      <c r="C16" t="s">
        <v>772</v>
      </c>
      <c r="F16" t="s">
        <v>776</v>
      </c>
    </row>
    <row r="17" spans="1:6" x14ac:dyDescent="0.25">
      <c r="A17" t="s">
        <v>773</v>
      </c>
      <c r="B17" t="s">
        <v>774</v>
      </c>
      <c r="C17" t="s">
        <v>772</v>
      </c>
      <c r="F17" t="s">
        <v>778</v>
      </c>
    </row>
    <row r="18" spans="1:6" x14ac:dyDescent="0.25">
      <c r="A18" t="s">
        <v>775</v>
      </c>
      <c r="B18" t="s">
        <v>776</v>
      </c>
      <c r="C18" t="s">
        <v>772</v>
      </c>
      <c r="F18" t="s">
        <v>780</v>
      </c>
    </row>
    <row r="19" spans="1:6" x14ac:dyDescent="0.25">
      <c r="A19" t="s">
        <v>777</v>
      </c>
      <c r="B19" t="s">
        <v>778</v>
      </c>
      <c r="C19" t="s">
        <v>192</v>
      </c>
      <c r="F19" t="s">
        <v>782</v>
      </c>
    </row>
    <row r="20" spans="1:6" x14ac:dyDescent="0.25">
      <c r="A20" t="s">
        <v>779</v>
      </c>
      <c r="B20" t="s">
        <v>780</v>
      </c>
      <c r="C20" t="s">
        <v>192</v>
      </c>
      <c r="F20" t="s">
        <v>784</v>
      </c>
    </row>
    <row r="21" spans="1:6" x14ac:dyDescent="0.25">
      <c r="A21" t="s">
        <v>781</v>
      </c>
      <c r="B21" t="s">
        <v>782</v>
      </c>
      <c r="C21" t="s">
        <v>192</v>
      </c>
      <c r="F21" t="s">
        <v>786</v>
      </c>
    </row>
    <row r="22" spans="1:6" x14ac:dyDescent="0.25">
      <c r="A22" t="s">
        <v>783</v>
      </c>
      <c r="B22" t="s">
        <v>784</v>
      </c>
      <c r="C22" t="s">
        <v>192</v>
      </c>
      <c r="F22" t="s">
        <v>789</v>
      </c>
    </row>
    <row r="23" spans="1:6" x14ac:dyDescent="0.25">
      <c r="A23" t="s">
        <v>785</v>
      </c>
      <c r="B23" t="s">
        <v>786</v>
      </c>
      <c r="C23" t="s">
        <v>192</v>
      </c>
      <c r="F23" t="s">
        <v>791</v>
      </c>
    </row>
    <row r="24" spans="1:6" x14ac:dyDescent="0.25">
      <c r="A24" t="s">
        <v>787</v>
      </c>
      <c r="B24" t="s">
        <v>782</v>
      </c>
      <c r="C24" t="s">
        <v>192</v>
      </c>
      <c r="F24" t="s">
        <v>793</v>
      </c>
    </row>
    <row r="25" spans="1:6" x14ac:dyDescent="0.25">
      <c r="A25" t="s">
        <v>788</v>
      </c>
      <c r="B25" t="s">
        <v>789</v>
      </c>
      <c r="C25" t="s">
        <v>192</v>
      </c>
      <c r="F25" t="s">
        <v>795</v>
      </c>
    </row>
    <row r="26" spans="1:6" x14ac:dyDescent="0.25">
      <c r="A26" t="s">
        <v>790</v>
      </c>
      <c r="B26" t="s">
        <v>791</v>
      </c>
      <c r="C26" t="s">
        <v>192</v>
      </c>
      <c r="F26" t="s">
        <v>797</v>
      </c>
    </row>
    <row r="27" spans="1:6" x14ac:dyDescent="0.25">
      <c r="A27" t="s">
        <v>792</v>
      </c>
      <c r="B27" t="s">
        <v>793</v>
      </c>
      <c r="C27" t="s">
        <v>192</v>
      </c>
      <c r="F27" t="s">
        <v>800</v>
      </c>
    </row>
    <row r="28" spans="1:6" x14ac:dyDescent="0.25">
      <c r="A28" t="s">
        <v>794</v>
      </c>
      <c r="B28" t="s">
        <v>795</v>
      </c>
      <c r="C28" t="s">
        <v>192</v>
      </c>
      <c r="F28" t="s">
        <v>802</v>
      </c>
    </row>
    <row r="29" spans="1:6" x14ac:dyDescent="0.25">
      <c r="A29" t="s">
        <v>796</v>
      </c>
      <c r="B29" t="s">
        <v>797</v>
      </c>
      <c r="C29" t="s">
        <v>798</v>
      </c>
      <c r="F29" t="s">
        <v>805</v>
      </c>
    </row>
    <row r="30" spans="1:6" x14ac:dyDescent="0.25">
      <c r="A30" t="s">
        <v>799</v>
      </c>
      <c r="B30" t="s">
        <v>800</v>
      </c>
      <c r="C30" t="s">
        <v>186</v>
      </c>
      <c r="F30" t="s">
        <v>807</v>
      </c>
    </row>
    <row r="31" spans="1:6" x14ac:dyDescent="0.25">
      <c r="A31" t="s">
        <v>801</v>
      </c>
      <c r="B31" t="s">
        <v>802</v>
      </c>
      <c r="C31" t="s">
        <v>803</v>
      </c>
      <c r="F31" t="s">
        <v>810</v>
      </c>
    </row>
    <row r="32" spans="1:6" x14ac:dyDescent="0.25">
      <c r="A32" t="s">
        <v>804</v>
      </c>
      <c r="B32" t="s">
        <v>805</v>
      </c>
      <c r="C32" t="s">
        <v>230</v>
      </c>
      <c r="F32" t="s">
        <v>813</v>
      </c>
    </row>
    <row r="33" spans="1:6" x14ac:dyDescent="0.25">
      <c r="A33" t="s">
        <v>806</v>
      </c>
      <c r="B33" t="s">
        <v>807</v>
      </c>
      <c r="C33" t="s">
        <v>808</v>
      </c>
      <c r="F33" t="s">
        <v>816</v>
      </c>
    </row>
    <row r="34" spans="1:6" x14ac:dyDescent="0.25">
      <c r="A34" t="s">
        <v>809</v>
      </c>
      <c r="B34" t="s">
        <v>810</v>
      </c>
      <c r="C34" t="s">
        <v>212</v>
      </c>
      <c r="F34" t="s">
        <v>819</v>
      </c>
    </row>
    <row r="35" spans="1:6" x14ac:dyDescent="0.25">
      <c r="A35" t="s">
        <v>811</v>
      </c>
      <c r="B35" t="s">
        <v>810</v>
      </c>
      <c r="C35" t="s">
        <v>212</v>
      </c>
      <c r="F35" t="s">
        <v>822</v>
      </c>
    </row>
    <row r="36" spans="1:6" x14ac:dyDescent="0.25">
      <c r="A36" t="s">
        <v>812</v>
      </c>
      <c r="B36" t="s">
        <v>813</v>
      </c>
      <c r="C36" t="s">
        <v>814</v>
      </c>
      <c r="F36" t="s">
        <v>825</v>
      </c>
    </row>
    <row r="37" spans="1:6" x14ac:dyDescent="0.25">
      <c r="A37" t="s">
        <v>815</v>
      </c>
      <c r="B37" t="s">
        <v>816</v>
      </c>
      <c r="C37" t="s">
        <v>817</v>
      </c>
      <c r="F37" t="s">
        <v>828</v>
      </c>
    </row>
    <row r="38" spans="1:6" x14ac:dyDescent="0.25">
      <c r="A38" t="s">
        <v>818</v>
      </c>
      <c r="B38" t="s">
        <v>819</v>
      </c>
      <c r="C38" t="s">
        <v>820</v>
      </c>
      <c r="F38" t="s">
        <v>830</v>
      </c>
    </row>
    <row r="39" spans="1:6" x14ac:dyDescent="0.25">
      <c r="A39" t="s">
        <v>821</v>
      </c>
      <c r="B39" t="s">
        <v>822</v>
      </c>
      <c r="C39" t="s">
        <v>823</v>
      </c>
      <c r="F39" t="s">
        <v>832</v>
      </c>
    </row>
    <row r="40" spans="1:6" x14ac:dyDescent="0.25">
      <c r="A40" t="s">
        <v>824</v>
      </c>
      <c r="B40" t="s">
        <v>825</v>
      </c>
      <c r="C40" t="s">
        <v>826</v>
      </c>
      <c r="F40" t="s">
        <v>835</v>
      </c>
    </row>
    <row r="41" spans="1:6" x14ac:dyDescent="0.25">
      <c r="A41" t="s">
        <v>827</v>
      </c>
      <c r="B41" t="s">
        <v>828</v>
      </c>
      <c r="C41" t="s">
        <v>826</v>
      </c>
      <c r="F41" t="s">
        <v>837</v>
      </c>
    </row>
    <row r="42" spans="1:6" x14ac:dyDescent="0.25">
      <c r="A42" t="s">
        <v>829</v>
      </c>
      <c r="B42" t="s">
        <v>830</v>
      </c>
      <c r="C42" t="s">
        <v>826</v>
      </c>
      <c r="F42" t="s">
        <v>839</v>
      </c>
    </row>
    <row r="43" spans="1:6" x14ac:dyDescent="0.25">
      <c r="A43" t="s">
        <v>831</v>
      </c>
      <c r="B43" t="s">
        <v>832</v>
      </c>
      <c r="C43" t="s">
        <v>833</v>
      </c>
      <c r="F43" t="s">
        <v>841</v>
      </c>
    </row>
    <row r="44" spans="1:6" x14ac:dyDescent="0.25">
      <c r="A44" t="s">
        <v>834</v>
      </c>
      <c r="B44" t="s">
        <v>835</v>
      </c>
      <c r="C44" t="s">
        <v>204</v>
      </c>
      <c r="F44" t="s">
        <v>843</v>
      </c>
    </row>
    <row r="45" spans="1:6" x14ac:dyDescent="0.25">
      <c r="A45" t="s">
        <v>836</v>
      </c>
      <c r="B45" t="s">
        <v>837</v>
      </c>
      <c r="C45" t="s">
        <v>204</v>
      </c>
      <c r="F45" t="s">
        <v>845</v>
      </c>
    </row>
    <row r="46" spans="1:6" x14ac:dyDescent="0.25">
      <c r="A46" t="s">
        <v>838</v>
      </c>
      <c r="B46" t="s">
        <v>839</v>
      </c>
      <c r="C46" t="s">
        <v>215</v>
      </c>
      <c r="F46" t="s">
        <v>847</v>
      </c>
    </row>
    <row r="47" spans="1:6" x14ac:dyDescent="0.25">
      <c r="A47" t="s">
        <v>840</v>
      </c>
      <c r="B47" t="s">
        <v>841</v>
      </c>
      <c r="C47" t="s">
        <v>215</v>
      </c>
      <c r="F47" t="s">
        <v>850</v>
      </c>
    </row>
    <row r="48" spans="1:6" x14ac:dyDescent="0.25">
      <c r="A48" t="s">
        <v>842</v>
      </c>
      <c r="B48" t="s">
        <v>843</v>
      </c>
      <c r="C48" t="s">
        <v>195</v>
      </c>
      <c r="F48" t="s">
        <v>853</v>
      </c>
    </row>
    <row r="49" spans="1:6" x14ac:dyDescent="0.25">
      <c r="A49" t="s">
        <v>844</v>
      </c>
      <c r="B49" t="s">
        <v>845</v>
      </c>
      <c r="C49" t="s">
        <v>189</v>
      </c>
      <c r="F49" t="s">
        <v>855</v>
      </c>
    </row>
    <row r="50" spans="1:6" x14ac:dyDescent="0.25">
      <c r="A50" t="s">
        <v>846</v>
      </c>
      <c r="B50" t="s">
        <v>847</v>
      </c>
      <c r="C50" t="s">
        <v>848</v>
      </c>
      <c r="F50" t="s">
        <v>857</v>
      </c>
    </row>
    <row r="51" spans="1:6" x14ac:dyDescent="0.25">
      <c r="A51" t="s">
        <v>849</v>
      </c>
      <c r="B51" t="s">
        <v>850</v>
      </c>
      <c r="C51" t="s">
        <v>851</v>
      </c>
      <c r="F51" t="s">
        <v>859</v>
      </c>
    </row>
    <row r="52" spans="1:6" x14ac:dyDescent="0.25">
      <c r="A52" t="s">
        <v>852</v>
      </c>
      <c r="B52" t="s">
        <v>853</v>
      </c>
      <c r="C52" t="s">
        <v>851</v>
      </c>
      <c r="F52" t="s">
        <v>861</v>
      </c>
    </row>
    <row r="53" spans="1:6" x14ac:dyDescent="0.25">
      <c r="A53" t="s">
        <v>854</v>
      </c>
      <c r="B53" t="s">
        <v>855</v>
      </c>
      <c r="C53" t="s">
        <v>851</v>
      </c>
      <c r="F53" t="s">
        <v>864</v>
      </c>
    </row>
    <row r="54" spans="1:6" x14ac:dyDescent="0.25">
      <c r="A54" t="s">
        <v>856</v>
      </c>
      <c r="B54" t="s">
        <v>857</v>
      </c>
      <c r="C54" t="s">
        <v>851</v>
      </c>
      <c r="F54" t="s">
        <v>867</v>
      </c>
    </row>
    <row r="55" spans="1:6" x14ac:dyDescent="0.25">
      <c r="A55" t="s">
        <v>858</v>
      </c>
      <c r="B55" t="s">
        <v>859</v>
      </c>
      <c r="C55" t="s">
        <v>218</v>
      </c>
      <c r="F55" t="s">
        <v>869</v>
      </c>
    </row>
    <row r="56" spans="1:6" x14ac:dyDescent="0.25">
      <c r="A56" t="s">
        <v>860</v>
      </c>
      <c r="B56" t="s">
        <v>861</v>
      </c>
      <c r="C56" t="s">
        <v>862</v>
      </c>
      <c r="F56" t="s">
        <v>871</v>
      </c>
    </row>
    <row r="57" spans="1:6" x14ac:dyDescent="0.25">
      <c r="A57" t="s">
        <v>863</v>
      </c>
      <c r="B57" t="s">
        <v>864</v>
      </c>
      <c r="C57" t="s">
        <v>865</v>
      </c>
      <c r="F57" t="s">
        <v>873</v>
      </c>
    </row>
    <row r="58" spans="1:6" x14ac:dyDescent="0.25">
      <c r="A58" t="s">
        <v>866</v>
      </c>
      <c r="B58" t="s">
        <v>867</v>
      </c>
      <c r="C58" t="s">
        <v>865</v>
      </c>
      <c r="F58" t="s">
        <v>875</v>
      </c>
    </row>
    <row r="59" spans="1:6" x14ac:dyDescent="0.25">
      <c r="A59" t="s">
        <v>868</v>
      </c>
      <c r="B59" t="s">
        <v>869</v>
      </c>
      <c r="C59" t="s">
        <v>865</v>
      </c>
      <c r="F59" t="s">
        <v>877</v>
      </c>
    </row>
    <row r="60" spans="1:6" x14ac:dyDescent="0.25">
      <c r="A60" t="s">
        <v>870</v>
      </c>
      <c r="B60" t="s">
        <v>871</v>
      </c>
      <c r="C60" t="s">
        <v>865</v>
      </c>
      <c r="F60" t="s">
        <v>880</v>
      </c>
    </row>
    <row r="61" spans="1:6" x14ac:dyDescent="0.25">
      <c r="A61" t="s">
        <v>872</v>
      </c>
      <c r="B61" t="s">
        <v>873</v>
      </c>
      <c r="C61" t="s">
        <v>865</v>
      </c>
      <c r="F61" t="s">
        <v>882</v>
      </c>
    </row>
    <row r="62" spans="1:6" x14ac:dyDescent="0.25">
      <c r="A62" t="s">
        <v>874</v>
      </c>
      <c r="B62" t="s">
        <v>875</v>
      </c>
      <c r="C62" t="s">
        <v>865</v>
      </c>
      <c r="F62" t="s">
        <v>884</v>
      </c>
    </row>
    <row r="63" spans="1:6" x14ac:dyDescent="0.25">
      <c r="A63" t="s">
        <v>876</v>
      </c>
      <c r="B63" t="s">
        <v>877</v>
      </c>
      <c r="C63" t="s">
        <v>878</v>
      </c>
    </row>
    <row r="64" spans="1:6" x14ac:dyDescent="0.25">
      <c r="A64" t="s">
        <v>879</v>
      </c>
      <c r="B64" t="s">
        <v>880</v>
      </c>
      <c r="C64" t="s">
        <v>878</v>
      </c>
    </row>
    <row r="65" spans="1:3" x14ac:dyDescent="0.25">
      <c r="A65" t="s">
        <v>881</v>
      </c>
      <c r="B65" t="s">
        <v>882</v>
      </c>
      <c r="C65" t="s">
        <v>878</v>
      </c>
    </row>
    <row r="66" spans="1:3" x14ac:dyDescent="0.25">
      <c r="A66" t="s">
        <v>883</v>
      </c>
      <c r="B66" t="s">
        <v>884</v>
      </c>
      <c r="C66" t="s">
        <v>885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723"/>
  <sheetViews>
    <sheetView zoomScaleNormal="100" workbookViewId="0">
      <pane ySplit="1" topLeftCell="A70" activePane="bottomLeft" state="frozen"/>
      <selection pane="bottomLeft" activeCell="A99" sqref="A99"/>
    </sheetView>
  </sheetViews>
  <sheetFormatPr baseColWidth="10" defaultColWidth="11.453125" defaultRowHeight="12.5" x14ac:dyDescent="0.25"/>
  <cols>
    <col min="1" max="1" width="31.453125" customWidth="1"/>
    <col min="2" max="2" width="6.36328125" customWidth="1"/>
    <col min="3" max="3" width="3.36328125" customWidth="1"/>
    <col min="4" max="4" width="168.36328125" customWidth="1"/>
  </cols>
  <sheetData>
    <row r="1" spans="1:4" s="5" customFormat="1" ht="13" x14ac:dyDescent="0.3">
      <c r="A1" s="5" t="s">
        <v>6</v>
      </c>
      <c r="B1" s="5">
        <v>34</v>
      </c>
    </row>
    <row r="2" spans="1:4" x14ac:dyDescent="0.25">
      <c r="A2" t="s">
        <v>188</v>
      </c>
      <c r="B2">
        <v>822</v>
      </c>
      <c r="C2" t="s">
        <v>886</v>
      </c>
      <c r="D2" t="s">
        <v>189</v>
      </c>
    </row>
    <row r="3" spans="1:4" x14ac:dyDescent="0.25">
      <c r="A3" t="s">
        <v>185</v>
      </c>
      <c r="B3">
        <v>764</v>
      </c>
      <c r="C3" t="s">
        <v>886</v>
      </c>
      <c r="D3" t="s">
        <v>186</v>
      </c>
    </row>
    <row r="4" spans="1:4" x14ac:dyDescent="0.25">
      <c r="A4" t="s">
        <v>307</v>
      </c>
      <c r="B4">
        <v>747</v>
      </c>
      <c r="C4" t="s">
        <v>125</v>
      </c>
      <c r="D4" t="s">
        <v>308</v>
      </c>
    </row>
    <row r="5" spans="1:4" x14ac:dyDescent="0.25">
      <c r="A5" t="s">
        <v>191</v>
      </c>
      <c r="B5">
        <v>666</v>
      </c>
      <c r="C5" t="s">
        <v>886</v>
      </c>
      <c r="D5" t="s">
        <v>192</v>
      </c>
    </row>
    <row r="6" spans="1:4" x14ac:dyDescent="0.25">
      <c r="A6" t="s">
        <v>248</v>
      </c>
      <c r="B6">
        <v>619</v>
      </c>
      <c r="C6" t="s">
        <v>125</v>
      </c>
      <c r="D6" t="s">
        <v>249</v>
      </c>
    </row>
    <row r="7" spans="1:4" x14ac:dyDescent="0.25">
      <c r="A7" t="s">
        <v>459</v>
      </c>
      <c r="B7">
        <v>526</v>
      </c>
      <c r="C7" t="s">
        <v>125</v>
      </c>
      <c r="D7" t="s">
        <v>460</v>
      </c>
    </row>
    <row r="8" spans="1:4" x14ac:dyDescent="0.25">
      <c r="A8" t="s">
        <v>194</v>
      </c>
      <c r="B8">
        <v>519</v>
      </c>
      <c r="C8" t="s">
        <v>886</v>
      </c>
      <c r="D8" t="s">
        <v>195</v>
      </c>
    </row>
    <row r="9" spans="1:4" x14ac:dyDescent="0.25">
      <c r="A9" t="s">
        <v>250</v>
      </c>
      <c r="B9">
        <v>459</v>
      </c>
      <c r="C9" t="s">
        <v>125</v>
      </c>
      <c r="D9" t="s">
        <v>249</v>
      </c>
    </row>
    <row r="10" spans="1:4" x14ac:dyDescent="0.25">
      <c r="A10" t="s">
        <v>477</v>
      </c>
      <c r="B10">
        <v>253</v>
      </c>
      <c r="C10" t="s">
        <v>125</v>
      </c>
      <c r="D10" t="s">
        <v>478</v>
      </c>
    </row>
    <row r="11" spans="1:4" x14ac:dyDescent="0.25">
      <c r="A11" t="s">
        <v>441</v>
      </c>
      <c r="B11">
        <v>245</v>
      </c>
      <c r="C11" t="s">
        <v>125</v>
      </c>
      <c r="D11" t="s">
        <v>442</v>
      </c>
    </row>
    <row r="12" spans="1:4" x14ac:dyDescent="0.25">
      <c r="A12" t="s">
        <v>232</v>
      </c>
      <c r="B12">
        <v>208</v>
      </c>
      <c r="C12" t="s">
        <v>886</v>
      </c>
      <c r="D12" t="s">
        <v>204</v>
      </c>
    </row>
    <row r="13" spans="1:4" x14ac:dyDescent="0.25">
      <c r="A13" t="s">
        <v>372</v>
      </c>
      <c r="B13">
        <v>185</v>
      </c>
      <c r="C13" t="s">
        <v>125</v>
      </c>
      <c r="D13" t="s">
        <v>373</v>
      </c>
    </row>
    <row r="14" spans="1:4" x14ac:dyDescent="0.25">
      <c r="A14" t="s">
        <v>400</v>
      </c>
      <c r="B14">
        <v>178</v>
      </c>
      <c r="C14" t="s">
        <v>125</v>
      </c>
      <c r="D14" t="s">
        <v>401</v>
      </c>
    </row>
    <row r="15" spans="1:4" x14ac:dyDescent="0.25">
      <c r="A15" t="s">
        <v>443</v>
      </c>
      <c r="B15">
        <v>176</v>
      </c>
      <c r="C15" t="s">
        <v>125</v>
      </c>
      <c r="D15" t="s">
        <v>442</v>
      </c>
    </row>
    <row r="16" spans="1:4" x14ac:dyDescent="0.25">
      <c r="A16" t="s">
        <v>206</v>
      </c>
      <c r="B16">
        <v>164</v>
      </c>
      <c r="C16" t="s">
        <v>886</v>
      </c>
      <c r="D16" t="s">
        <v>189</v>
      </c>
    </row>
    <row r="17" spans="1:4" x14ac:dyDescent="0.25">
      <c r="A17" t="s">
        <v>402</v>
      </c>
      <c r="B17">
        <v>152</v>
      </c>
      <c r="C17" t="s">
        <v>125</v>
      </c>
      <c r="D17" t="s">
        <v>401</v>
      </c>
    </row>
    <row r="18" spans="1:4" x14ac:dyDescent="0.25">
      <c r="A18" t="s">
        <v>309</v>
      </c>
      <c r="B18">
        <v>145</v>
      </c>
      <c r="C18" t="s">
        <v>125</v>
      </c>
      <c r="D18" t="s">
        <v>308</v>
      </c>
    </row>
    <row r="19" spans="1:4" x14ac:dyDescent="0.25">
      <c r="A19" t="s">
        <v>223</v>
      </c>
      <c r="B19">
        <v>136</v>
      </c>
      <c r="C19" t="s">
        <v>886</v>
      </c>
      <c r="D19" t="s">
        <v>224</v>
      </c>
    </row>
    <row r="20" spans="1:4" x14ac:dyDescent="0.25">
      <c r="A20" t="s">
        <v>200</v>
      </c>
      <c r="B20">
        <v>125</v>
      </c>
      <c r="C20" t="s">
        <v>886</v>
      </c>
      <c r="D20" t="s">
        <v>201</v>
      </c>
    </row>
    <row r="21" spans="1:4" x14ac:dyDescent="0.25">
      <c r="A21" t="s">
        <v>403</v>
      </c>
      <c r="B21">
        <v>124</v>
      </c>
      <c r="C21" t="s">
        <v>125</v>
      </c>
      <c r="D21" t="s">
        <v>401</v>
      </c>
    </row>
    <row r="22" spans="1:4" x14ac:dyDescent="0.25">
      <c r="A22" t="s">
        <v>444</v>
      </c>
      <c r="B22">
        <v>123</v>
      </c>
      <c r="C22" t="s">
        <v>125</v>
      </c>
      <c r="D22" t="s">
        <v>442</v>
      </c>
    </row>
    <row r="23" spans="1:4" x14ac:dyDescent="0.25">
      <c r="A23" t="s">
        <v>404</v>
      </c>
      <c r="B23">
        <v>112</v>
      </c>
      <c r="C23" t="s">
        <v>125</v>
      </c>
      <c r="D23" t="s">
        <v>401</v>
      </c>
    </row>
    <row r="24" spans="1:4" x14ac:dyDescent="0.25">
      <c r="A24" t="s">
        <v>374</v>
      </c>
      <c r="B24">
        <v>109</v>
      </c>
      <c r="C24" t="s">
        <v>125</v>
      </c>
      <c r="D24" t="s">
        <v>373</v>
      </c>
    </row>
    <row r="25" spans="1:4" x14ac:dyDescent="0.25">
      <c r="A25" t="s">
        <v>395</v>
      </c>
      <c r="B25">
        <v>107</v>
      </c>
      <c r="C25" t="s">
        <v>125</v>
      </c>
      <c r="D25" t="s">
        <v>396</v>
      </c>
    </row>
    <row r="26" spans="1:4" x14ac:dyDescent="0.25">
      <c r="A26" t="s">
        <v>381</v>
      </c>
      <c r="B26">
        <v>93</v>
      </c>
      <c r="C26" t="s">
        <v>125</v>
      </c>
      <c r="D26" t="s">
        <v>382</v>
      </c>
    </row>
    <row r="27" spans="1:4" x14ac:dyDescent="0.25">
      <c r="A27" t="s">
        <v>245</v>
      </c>
      <c r="B27">
        <v>93</v>
      </c>
      <c r="C27" t="s">
        <v>886</v>
      </c>
      <c r="D27" t="s">
        <v>246</v>
      </c>
    </row>
    <row r="28" spans="1:4" x14ac:dyDescent="0.25">
      <c r="A28" t="s">
        <v>251</v>
      </c>
      <c r="B28">
        <v>87</v>
      </c>
      <c r="C28" t="s">
        <v>125</v>
      </c>
      <c r="D28" t="s">
        <v>249</v>
      </c>
    </row>
    <row r="29" spans="1:4" x14ac:dyDescent="0.25">
      <c r="A29" t="s">
        <v>405</v>
      </c>
      <c r="B29">
        <v>87</v>
      </c>
      <c r="C29" t="s">
        <v>125</v>
      </c>
      <c r="D29" t="s">
        <v>401</v>
      </c>
    </row>
    <row r="30" spans="1:4" x14ac:dyDescent="0.25">
      <c r="A30" t="s">
        <v>252</v>
      </c>
      <c r="B30">
        <v>77</v>
      </c>
      <c r="C30" t="s">
        <v>125</v>
      </c>
      <c r="D30" t="s">
        <v>249</v>
      </c>
    </row>
    <row r="31" spans="1:4" x14ac:dyDescent="0.25">
      <c r="A31" t="s">
        <v>211</v>
      </c>
      <c r="B31">
        <v>71</v>
      </c>
      <c r="C31" t="s">
        <v>886</v>
      </c>
      <c r="D31" t="s">
        <v>212</v>
      </c>
    </row>
    <row r="32" spans="1:4" x14ac:dyDescent="0.25">
      <c r="A32" t="s">
        <v>253</v>
      </c>
      <c r="B32">
        <v>67</v>
      </c>
      <c r="C32" t="s">
        <v>125</v>
      </c>
      <c r="D32" t="s">
        <v>249</v>
      </c>
    </row>
    <row r="33" spans="1:4" x14ac:dyDescent="0.25">
      <c r="A33" t="s">
        <v>406</v>
      </c>
      <c r="B33">
        <v>66</v>
      </c>
      <c r="C33" t="s">
        <v>125</v>
      </c>
      <c r="D33" t="s">
        <v>401</v>
      </c>
    </row>
    <row r="34" spans="1:4" x14ac:dyDescent="0.25">
      <c r="A34" t="s">
        <v>254</v>
      </c>
      <c r="B34">
        <v>57</v>
      </c>
      <c r="C34" t="s">
        <v>125</v>
      </c>
      <c r="D34" t="s">
        <v>249</v>
      </c>
    </row>
    <row r="35" spans="1:4" x14ac:dyDescent="0.25">
      <c r="A35" t="s">
        <v>407</v>
      </c>
      <c r="B35">
        <v>24</v>
      </c>
      <c r="C35" t="s">
        <v>125</v>
      </c>
      <c r="D35" t="s">
        <v>401</v>
      </c>
    </row>
    <row r="36" spans="1:4" x14ac:dyDescent="0.25">
      <c r="A36" t="s">
        <v>7</v>
      </c>
      <c r="B36">
        <v>29</v>
      </c>
    </row>
    <row r="37" spans="1:4" x14ac:dyDescent="0.25">
      <c r="A37" t="s">
        <v>191</v>
      </c>
      <c r="B37">
        <v>8887</v>
      </c>
      <c r="C37" t="s">
        <v>886</v>
      </c>
      <c r="D37" t="s">
        <v>192</v>
      </c>
    </row>
    <row r="38" spans="1:4" x14ac:dyDescent="0.25">
      <c r="A38" t="s">
        <v>188</v>
      </c>
      <c r="B38">
        <v>6632</v>
      </c>
      <c r="C38" t="s">
        <v>886</v>
      </c>
      <c r="D38" t="s">
        <v>189</v>
      </c>
    </row>
    <row r="39" spans="1:4" x14ac:dyDescent="0.25">
      <c r="A39" t="s">
        <v>206</v>
      </c>
      <c r="B39">
        <v>848</v>
      </c>
      <c r="C39" t="s">
        <v>886</v>
      </c>
      <c r="D39" t="s">
        <v>189</v>
      </c>
    </row>
    <row r="40" spans="1:4" x14ac:dyDescent="0.25">
      <c r="A40" t="s">
        <v>185</v>
      </c>
      <c r="B40">
        <v>767</v>
      </c>
      <c r="C40" t="s">
        <v>886</v>
      </c>
      <c r="D40" t="s">
        <v>186</v>
      </c>
    </row>
    <row r="41" spans="1:4" x14ac:dyDescent="0.25">
      <c r="A41" t="s">
        <v>340</v>
      </c>
      <c r="B41">
        <v>728</v>
      </c>
      <c r="C41" t="s">
        <v>125</v>
      </c>
      <c r="D41" t="s">
        <v>341</v>
      </c>
    </row>
    <row r="42" spans="1:4" x14ac:dyDescent="0.25">
      <c r="A42" t="s">
        <v>248</v>
      </c>
      <c r="B42">
        <v>107</v>
      </c>
      <c r="C42" t="s">
        <v>125</v>
      </c>
      <c r="D42" t="s">
        <v>249</v>
      </c>
    </row>
    <row r="43" spans="1:4" x14ac:dyDescent="0.25">
      <c r="A43" t="s">
        <v>194</v>
      </c>
      <c r="B43">
        <v>77</v>
      </c>
      <c r="C43" t="s">
        <v>886</v>
      </c>
      <c r="D43" t="s">
        <v>195</v>
      </c>
    </row>
    <row r="44" spans="1:4" x14ac:dyDescent="0.25">
      <c r="A44" t="s">
        <v>317</v>
      </c>
      <c r="B44">
        <v>55</v>
      </c>
      <c r="C44" t="s">
        <v>125</v>
      </c>
      <c r="D44" t="s">
        <v>318</v>
      </c>
    </row>
    <row r="45" spans="1:4" x14ac:dyDescent="0.25">
      <c r="A45" t="s">
        <v>250</v>
      </c>
      <c r="B45">
        <v>46</v>
      </c>
      <c r="C45" t="s">
        <v>125</v>
      </c>
      <c r="D45" t="s">
        <v>249</v>
      </c>
    </row>
    <row r="46" spans="1:4" x14ac:dyDescent="0.25">
      <c r="A46" t="s">
        <v>307</v>
      </c>
      <c r="B46">
        <v>43</v>
      </c>
      <c r="C46" t="s">
        <v>125</v>
      </c>
      <c r="D46" t="s">
        <v>308</v>
      </c>
    </row>
    <row r="47" spans="1:4" x14ac:dyDescent="0.25">
      <c r="A47" t="s">
        <v>381</v>
      </c>
      <c r="B47">
        <v>41</v>
      </c>
      <c r="C47" t="s">
        <v>125</v>
      </c>
      <c r="D47" t="s">
        <v>382</v>
      </c>
    </row>
    <row r="48" spans="1:4" x14ac:dyDescent="0.25">
      <c r="A48" t="s">
        <v>200</v>
      </c>
      <c r="B48">
        <v>33</v>
      </c>
      <c r="C48" t="s">
        <v>886</v>
      </c>
      <c r="D48" t="s">
        <v>201</v>
      </c>
    </row>
    <row r="49" spans="1:4" x14ac:dyDescent="0.25">
      <c r="A49" t="s">
        <v>408</v>
      </c>
      <c r="B49">
        <v>31</v>
      </c>
      <c r="C49" t="s">
        <v>125</v>
      </c>
      <c r="D49" t="s">
        <v>401</v>
      </c>
    </row>
    <row r="50" spans="1:4" x14ac:dyDescent="0.25">
      <c r="A50" t="s">
        <v>441</v>
      </c>
      <c r="B50">
        <v>30</v>
      </c>
      <c r="C50" t="s">
        <v>125</v>
      </c>
      <c r="D50" t="s">
        <v>442</v>
      </c>
    </row>
    <row r="51" spans="1:4" x14ac:dyDescent="0.25">
      <c r="A51" t="s">
        <v>295</v>
      </c>
      <c r="B51">
        <v>29</v>
      </c>
      <c r="C51" t="s">
        <v>125</v>
      </c>
      <c r="D51" t="s">
        <v>296</v>
      </c>
    </row>
    <row r="52" spans="1:4" x14ac:dyDescent="0.25">
      <c r="A52" t="s">
        <v>197</v>
      </c>
      <c r="B52">
        <v>26</v>
      </c>
      <c r="C52" t="s">
        <v>886</v>
      </c>
      <c r="D52" t="s">
        <v>198</v>
      </c>
    </row>
    <row r="53" spans="1:4" x14ac:dyDescent="0.25">
      <c r="A53" t="s">
        <v>409</v>
      </c>
      <c r="B53">
        <v>23</v>
      </c>
      <c r="C53" t="s">
        <v>125</v>
      </c>
      <c r="D53" t="s">
        <v>401</v>
      </c>
    </row>
    <row r="54" spans="1:4" x14ac:dyDescent="0.25">
      <c r="A54" t="s">
        <v>208</v>
      </c>
      <c r="B54">
        <v>22</v>
      </c>
      <c r="C54" t="s">
        <v>886</v>
      </c>
      <c r="D54" t="s">
        <v>209</v>
      </c>
    </row>
    <row r="55" spans="1:4" x14ac:dyDescent="0.25">
      <c r="A55" t="s">
        <v>255</v>
      </c>
      <c r="B55">
        <v>17</v>
      </c>
      <c r="C55" t="s">
        <v>125</v>
      </c>
      <c r="D55" t="s">
        <v>249</v>
      </c>
    </row>
    <row r="56" spans="1:4" x14ac:dyDescent="0.25">
      <c r="A56" t="s">
        <v>400</v>
      </c>
      <c r="B56">
        <v>17</v>
      </c>
      <c r="C56" t="s">
        <v>125</v>
      </c>
      <c r="D56" t="s">
        <v>401</v>
      </c>
    </row>
    <row r="57" spans="1:4" x14ac:dyDescent="0.25">
      <c r="A57" t="s">
        <v>468</v>
      </c>
      <c r="B57">
        <v>15</v>
      </c>
      <c r="C57" t="s">
        <v>125</v>
      </c>
      <c r="D57" t="s">
        <v>469</v>
      </c>
    </row>
    <row r="58" spans="1:4" x14ac:dyDescent="0.25">
      <c r="A58" t="s">
        <v>403</v>
      </c>
      <c r="B58">
        <v>13</v>
      </c>
      <c r="C58" t="s">
        <v>125</v>
      </c>
      <c r="D58" t="s">
        <v>401</v>
      </c>
    </row>
    <row r="59" spans="1:4" x14ac:dyDescent="0.25">
      <c r="A59" t="s">
        <v>395</v>
      </c>
      <c r="B59">
        <v>11</v>
      </c>
      <c r="C59" t="s">
        <v>125</v>
      </c>
      <c r="D59" t="s">
        <v>396</v>
      </c>
    </row>
    <row r="60" spans="1:4" x14ac:dyDescent="0.25">
      <c r="A60" t="s">
        <v>459</v>
      </c>
      <c r="B60">
        <v>10</v>
      </c>
      <c r="C60" t="s">
        <v>125</v>
      </c>
      <c r="D60" t="s">
        <v>460</v>
      </c>
    </row>
    <row r="61" spans="1:4" x14ac:dyDescent="0.25">
      <c r="A61" t="s">
        <v>252</v>
      </c>
      <c r="B61">
        <v>9</v>
      </c>
      <c r="C61" t="s">
        <v>125</v>
      </c>
      <c r="D61" t="s">
        <v>249</v>
      </c>
    </row>
    <row r="62" spans="1:4" x14ac:dyDescent="0.25">
      <c r="A62" t="s">
        <v>226</v>
      </c>
      <c r="B62">
        <v>9</v>
      </c>
      <c r="C62" t="s">
        <v>886</v>
      </c>
      <c r="D62" t="s">
        <v>227</v>
      </c>
    </row>
    <row r="63" spans="1:4" x14ac:dyDescent="0.25">
      <c r="A63" t="s">
        <v>410</v>
      </c>
      <c r="B63">
        <v>8</v>
      </c>
      <c r="C63" t="s">
        <v>125</v>
      </c>
      <c r="D63" t="s">
        <v>401</v>
      </c>
    </row>
    <row r="64" spans="1:4" x14ac:dyDescent="0.25">
      <c r="A64" t="s">
        <v>387</v>
      </c>
      <c r="B64">
        <v>5</v>
      </c>
      <c r="C64" t="s">
        <v>125</v>
      </c>
      <c r="D64" t="s">
        <v>388</v>
      </c>
    </row>
    <row r="65" spans="1:4" x14ac:dyDescent="0.25">
      <c r="A65" t="s">
        <v>353</v>
      </c>
      <c r="B65">
        <v>3</v>
      </c>
      <c r="C65" t="s">
        <v>125</v>
      </c>
      <c r="D65" t="s">
        <v>354</v>
      </c>
    </row>
    <row r="66" spans="1:4" x14ac:dyDescent="0.25">
      <c r="A66" t="s">
        <v>8</v>
      </c>
      <c r="B66">
        <v>21</v>
      </c>
    </row>
    <row r="67" spans="1:4" x14ac:dyDescent="0.25">
      <c r="A67" t="s">
        <v>191</v>
      </c>
      <c r="B67">
        <v>6393</v>
      </c>
      <c r="C67" t="s">
        <v>886</v>
      </c>
      <c r="D67" t="s">
        <v>192</v>
      </c>
    </row>
    <row r="68" spans="1:4" x14ac:dyDescent="0.25">
      <c r="A68" t="s">
        <v>185</v>
      </c>
      <c r="B68">
        <v>2991</v>
      </c>
      <c r="C68" t="s">
        <v>886</v>
      </c>
      <c r="D68" t="s">
        <v>186</v>
      </c>
    </row>
    <row r="69" spans="1:4" x14ac:dyDescent="0.25">
      <c r="A69" t="s">
        <v>188</v>
      </c>
      <c r="B69">
        <v>1340</v>
      </c>
      <c r="C69" t="s">
        <v>886</v>
      </c>
      <c r="D69" t="s">
        <v>189</v>
      </c>
    </row>
    <row r="70" spans="1:4" x14ac:dyDescent="0.25">
      <c r="A70" t="s">
        <v>200</v>
      </c>
      <c r="B70">
        <v>776</v>
      </c>
      <c r="C70" t="s">
        <v>886</v>
      </c>
      <c r="D70" t="s">
        <v>201</v>
      </c>
    </row>
    <row r="71" spans="1:4" x14ac:dyDescent="0.25">
      <c r="A71" t="s">
        <v>194</v>
      </c>
      <c r="B71">
        <v>301</v>
      </c>
      <c r="C71" t="s">
        <v>886</v>
      </c>
      <c r="D71" t="s">
        <v>195</v>
      </c>
    </row>
    <row r="72" spans="1:4" x14ac:dyDescent="0.25">
      <c r="A72" t="s">
        <v>237</v>
      </c>
      <c r="B72">
        <v>277</v>
      </c>
      <c r="C72" t="s">
        <v>886</v>
      </c>
      <c r="D72" t="s">
        <v>238</v>
      </c>
    </row>
    <row r="73" spans="1:4" x14ac:dyDescent="0.25">
      <c r="A73" t="s">
        <v>314</v>
      </c>
      <c r="B73">
        <v>263</v>
      </c>
      <c r="C73" t="s">
        <v>125</v>
      </c>
      <c r="D73" t="s">
        <v>315</v>
      </c>
    </row>
    <row r="74" spans="1:4" x14ac:dyDescent="0.25">
      <c r="A74" t="s">
        <v>206</v>
      </c>
      <c r="B74">
        <v>250</v>
      </c>
      <c r="C74" t="s">
        <v>886</v>
      </c>
      <c r="D74" t="s">
        <v>189</v>
      </c>
    </row>
    <row r="75" spans="1:4" x14ac:dyDescent="0.25">
      <c r="A75" t="s">
        <v>459</v>
      </c>
      <c r="B75">
        <v>248</v>
      </c>
      <c r="C75" t="s">
        <v>125</v>
      </c>
      <c r="D75" t="s">
        <v>460</v>
      </c>
    </row>
    <row r="76" spans="1:4" x14ac:dyDescent="0.25">
      <c r="A76" t="s">
        <v>375</v>
      </c>
      <c r="B76">
        <v>198</v>
      </c>
      <c r="C76" t="s">
        <v>125</v>
      </c>
      <c r="D76" t="s">
        <v>373</v>
      </c>
    </row>
    <row r="77" spans="1:4" x14ac:dyDescent="0.25">
      <c r="A77" t="s">
        <v>376</v>
      </c>
      <c r="B77">
        <v>184</v>
      </c>
      <c r="C77" t="s">
        <v>125</v>
      </c>
      <c r="D77" t="s">
        <v>373</v>
      </c>
    </row>
    <row r="78" spans="1:4" x14ac:dyDescent="0.25">
      <c r="A78" t="s">
        <v>248</v>
      </c>
      <c r="B78">
        <v>155</v>
      </c>
      <c r="C78" t="s">
        <v>125</v>
      </c>
      <c r="D78" t="s">
        <v>249</v>
      </c>
    </row>
    <row r="79" spans="1:4" x14ac:dyDescent="0.25">
      <c r="A79" t="s">
        <v>332</v>
      </c>
      <c r="B79">
        <v>153</v>
      </c>
      <c r="C79" t="s">
        <v>125</v>
      </c>
      <c r="D79" t="s">
        <v>333</v>
      </c>
    </row>
    <row r="80" spans="1:4" x14ac:dyDescent="0.25">
      <c r="A80" t="s">
        <v>251</v>
      </c>
      <c r="B80">
        <v>130</v>
      </c>
      <c r="C80" t="s">
        <v>125</v>
      </c>
      <c r="D80" t="s">
        <v>249</v>
      </c>
    </row>
    <row r="81" spans="1:4" x14ac:dyDescent="0.25">
      <c r="A81" t="s">
        <v>208</v>
      </c>
      <c r="B81">
        <v>118</v>
      </c>
      <c r="C81" t="s">
        <v>886</v>
      </c>
      <c r="D81" t="s">
        <v>209</v>
      </c>
    </row>
    <row r="82" spans="1:4" x14ac:dyDescent="0.25">
      <c r="A82" t="s">
        <v>256</v>
      </c>
      <c r="B82">
        <v>82</v>
      </c>
      <c r="C82" t="s">
        <v>125</v>
      </c>
      <c r="D82" t="s">
        <v>249</v>
      </c>
    </row>
    <row r="83" spans="1:4" x14ac:dyDescent="0.25">
      <c r="A83" t="s">
        <v>253</v>
      </c>
      <c r="B83">
        <v>79</v>
      </c>
      <c r="C83" t="s">
        <v>125</v>
      </c>
      <c r="D83" t="s">
        <v>249</v>
      </c>
    </row>
    <row r="84" spans="1:4" x14ac:dyDescent="0.25">
      <c r="A84" t="s">
        <v>257</v>
      </c>
      <c r="B84">
        <v>55</v>
      </c>
      <c r="C84" t="s">
        <v>125</v>
      </c>
      <c r="D84" t="s">
        <v>249</v>
      </c>
    </row>
    <row r="85" spans="1:4" x14ac:dyDescent="0.25">
      <c r="A85" t="s">
        <v>258</v>
      </c>
      <c r="B85">
        <v>51</v>
      </c>
      <c r="C85" t="s">
        <v>125</v>
      </c>
      <c r="D85" t="s">
        <v>249</v>
      </c>
    </row>
    <row r="86" spans="1:4" x14ac:dyDescent="0.25">
      <c r="A86" t="s">
        <v>445</v>
      </c>
      <c r="B86">
        <v>37</v>
      </c>
      <c r="C86" t="s">
        <v>125</v>
      </c>
      <c r="D86" t="s">
        <v>442</v>
      </c>
    </row>
    <row r="87" spans="1:4" x14ac:dyDescent="0.25">
      <c r="A87" t="s">
        <v>475</v>
      </c>
      <c r="B87">
        <v>8</v>
      </c>
      <c r="C87" t="s">
        <v>125</v>
      </c>
      <c r="D87" t="s">
        <v>476</v>
      </c>
    </row>
    <row r="88" spans="1:4" x14ac:dyDescent="0.25">
      <c r="A88" t="s">
        <v>9</v>
      </c>
      <c r="B88">
        <v>32</v>
      </c>
    </row>
    <row r="89" spans="1:4" x14ac:dyDescent="0.25">
      <c r="A89" t="s">
        <v>191</v>
      </c>
      <c r="B89">
        <v>13711</v>
      </c>
      <c r="C89" t="s">
        <v>886</v>
      </c>
      <c r="D89" t="s">
        <v>192</v>
      </c>
    </row>
    <row r="90" spans="1:4" x14ac:dyDescent="0.25">
      <c r="A90" t="s">
        <v>185</v>
      </c>
      <c r="B90">
        <v>872</v>
      </c>
      <c r="C90" t="s">
        <v>886</v>
      </c>
      <c r="D90" t="s">
        <v>186</v>
      </c>
    </row>
    <row r="91" spans="1:4" x14ac:dyDescent="0.25">
      <c r="A91" t="s">
        <v>208</v>
      </c>
      <c r="B91">
        <v>558</v>
      </c>
      <c r="C91" t="s">
        <v>886</v>
      </c>
      <c r="D91" t="s">
        <v>209</v>
      </c>
    </row>
    <row r="92" spans="1:4" x14ac:dyDescent="0.25">
      <c r="A92" t="s">
        <v>206</v>
      </c>
      <c r="B92">
        <v>373</v>
      </c>
      <c r="C92" t="s">
        <v>886</v>
      </c>
      <c r="D92" t="s">
        <v>189</v>
      </c>
    </row>
    <row r="93" spans="1:4" x14ac:dyDescent="0.25">
      <c r="A93" t="s">
        <v>188</v>
      </c>
      <c r="B93">
        <v>300</v>
      </c>
      <c r="C93" t="s">
        <v>886</v>
      </c>
      <c r="D93" t="s">
        <v>189</v>
      </c>
    </row>
    <row r="94" spans="1:4" x14ac:dyDescent="0.25">
      <c r="A94" t="s">
        <v>314</v>
      </c>
      <c r="B94">
        <v>76</v>
      </c>
      <c r="C94" t="s">
        <v>125</v>
      </c>
      <c r="D94" t="s">
        <v>315</v>
      </c>
    </row>
    <row r="95" spans="1:4" x14ac:dyDescent="0.25">
      <c r="A95" t="s">
        <v>479</v>
      </c>
      <c r="B95">
        <v>73</v>
      </c>
      <c r="C95" t="s">
        <v>125</v>
      </c>
      <c r="D95" t="s">
        <v>478</v>
      </c>
    </row>
    <row r="96" spans="1:4" x14ac:dyDescent="0.25">
      <c r="A96" t="s">
        <v>324</v>
      </c>
      <c r="B96">
        <v>45</v>
      </c>
      <c r="C96" t="s">
        <v>125</v>
      </c>
      <c r="D96" t="s">
        <v>325</v>
      </c>
    </row>
    <row r="97" spans="1:4" x14ac:dyDescent="0.25">
      <c r="A97" t="s">
        <v>385</v>
      </c>
      <c r="B97">
        <v>36</v>
      </c>
      <c r="C97" t="s">
        <v>125</v>
      </c>
      <c r="D97" t="s">
        <v>386</v>
      </c>
    </row>
    <row r="98" spans="1:4" x14ac:dyDescent="0.25">
      <c r="A98" t="s">
        <v>259</v>
      </c>
      <c r="B98">
        <v>36</v>
      </c>
      <c r="C98" t="s">
        <v>125</v>
      </c>
      <c r="D98" t="s">
        <v>249</v>
      </c>
    </row>
    <row r="99" spans="1:4" x14ac:dyDescent="0.25">
      <c r="A99" t="s">
        <v>220</v>
      </c>
      <c r="B99">
        <v>34</v>
      </c>
      <c r="C99" t="s">
        <v>886</v>
      </c>
      <c r="D99" t="s">
        <v>221</v>
      </c>
    </row>
    <row r="100" spans="1:4" x14ac:dyDescent="0.25">
      <c r="A100" t="s">
        <v>217</v>
      </c>
      <c r="B100">
        <v>33</v>
      </c>
      <c r="C100" t="s">
        <v>886</v>
      </c>
      <c r="D100" t="s">
        <v>218</v>
      </c>
    </row>
    <row r="101" spans="1:4" x14ac:dyDescent="0.25">
      <c r="A101" t="s">
        <v>355</v>
      </c>
      <c r="B101">
        <v>30</v>
      </c>
      <c r="C101" t="s">
        <v>125</v>
      </c>
      <c r="D101" t="s">
        <v>356</v>
      </c>
    </row>
    <row r="102" spans="1:4" x14ac:dyDescent="0.25">
      <c r="A102" t="s">
        <v>446</v>
      </c>
      <c r="B102">
        <v>29</v>
      </c>
      <c r="C102" t="s">
        <v>125</v>
      </c>
      <c r="D102" t="s">
        <v>442</v>
      </c>
    </row>
    <row r="103" spans="1:4" x14ac:dyDescent="0.25">
      <c r="A103" t="s">
        <v>319</v>
      </c>
      <c r="B103">
        <v>27</v>
      </c>
      <c r="C103" t="s">
        <v>125</v>
      </c>
      <c r="D103" t="s">
        <v>318</v>
      </c>
    </row>
    <row r="104" spans="1:4" x14ac:dyDescent="0.25">
      <c r="A104" t="s">
        <v>383</v>
      </c>
      <c r="B104">
        <v>26</v>
      </c>
      <c r="C104" t="s">
        <v>125</v>
      </c>
      <c r="D104" t="s">
        <v>382</v>
      </c>
    </row>
    <row r="105" spans="1:4" x14ac:dyDescent="0.25">
      <c r="A105" t="s">
        <v>480</v>
      </c>
      <c r="B105">
        <v>25</v>
      </c>
      <c r="C105" t="s">
        <v>125</v>
      </c>
      <c r="D105" t="s">
        <v>478</v>
      </c>
    </row>
    <row r="106" spans="1:4" x14ac:dyDescent="0.25">
      <c r="A106" t="s">
        <v>447</v>
      </c>
      <c r="B106">
        <v>24</v>
      </c>
      <c r="C106" t="s">
        <v>125</v>
      </c>
      <c r="D106" t="s">
        <v>442</v>
      </c>
    </row>
    <row r="107" spans="1:4" x14ac:dyDescent="0.25">
      <c r="A107" t="s">
        <v>448</v>
      </c>
      <c r="B107">
        <v>22</v>
      </c>
      <c r="C107" t="s">
        <v>125</v>
      </c>
      <c r="D107" t="s">
        <v>442</v>
      </c>
    </row>
    <row r="108" spans="1:4" x14ac:dyDescent="0.25">
      <c r="A108" t="s">
        <v>449</v>
      </c>
      <c r="B108">
        <v>17</v>
      </c>
      <c r="C108" t="s">
        <v>125</v>
      </c>
      <c r="D108" t="s">
        <v>442</v>
      </c>
    </row>
    <row r="109" spans="1:4" x14ac:dyDescent="0.25">
      <c r="A109" t="s">
        <v>340</v>
      </c>
      <c r="B109">
        <v>17</v>
      </c>
      <c r="C109" t="s">
        <v>125</v>
      </c>
      <c r="D109" t="s">
        <v>341</v>
      </c>
    </row>
    <row r="110" spans="1:4" x14ac:dyDescent="0.25">
      <c r="A110" t="s">
        <v>251</v>
      </c>
      <c r="B110">
        <v>16</v>
      </c>
      <c r="C110" t="s">
        <v>125</v>
      </c>
      <c r="D110" t="s">
        <v>249</v>
      </c>
    </row>
    <row r="111" spans="1:4" x14ac:dyDescent="0.25">
      <c r="A111" t="s">
        <v>200</v>
      </c>
      <c r="B111">
        <v>15</v>
      </c>
      <c r="C111" t="s">
        <v>886</v>
      </c>
      <c r="D111" t="s">
        <v>201</v>
      </c>
    </row>
    <row r="112" spans="1:4" x14ac:dyDescent="0.25">
      <c r="A112" t="s">
        <v>260</v>
      </c>
      <c r="B112">
        <v>13</v>
      </c>
      <c r="C112" t="s">
        <v>125</v>
      </c>
      <c r="D112" t="s">
        <v>249</v>
      </c>
    </row>
    <row r="113" spans="1:4" x14ac:dyDescent="0.25">
      <c r="A113" t="s">
        <v>473</v>
      </c>
      <c r="B113">
        <v>12</v>
      </c>
      <c r="C113" t="s">
        <v>125</v>
      </c>
      <c r="D113" t="s">
        <v>474</v>
      </c>
    </row>
    <row r="114" spans="1:4" x14ac:dyDescent="0.25">
      <c r="A114" t="s">
        <v>289</v>
      </c>
      <c r="B114">
        <v>11</v>
      </c>
      <c r="C114" t="s">
        <v>125</v>
      </c>
      <c r="D114" t="s">
        <v>290</v>
      </c>
    </row>
    <row r="115" spans="1:4" x14ac:dyDescent="0.25">
      <c r="A115" t="s">
        <v>258</v>
      </c>
      <c r="B115">
        <v>10</v>
      </c>
      <c r="C115" t="s">
        <v>125</v>
      </c>
      <c r="D115" t="s">
        <v>249</v>
      </c>
    </row>
    <row r="116" spans="1:4" x14ac:dyDescent="0.25">
      <c r="A116" t="s">
        <v>261</v>
      </c>
      <c r="B116">
        <v>9</v>
      </c>
      <c r="C116" t="s">
        <v>125</v>
      </c>
      <c r="D116" t="s">
        <v>249</v>
      </c>
    </row>
    <row r="117" spans="1:4" x14ac:dyDescent="0.25">
      <c r="A117" t="s">
        <v>194</v>
      </c>
      <c r="B117">
        <v>7</v>
      </c>
      <c r="C117" t="s">
        <v>886</v>
      </c>
      <c r="D117" t="s">
        <v>195</v>
      </c>
    </row>
    <row r="118" spans="1:4" x14ac:dyDescent="0.25">
      <c r="A118" t="s">
        <v>203</v>
      </c>
      <c r="B118">
        <v>5</v>
      </c>
      <c r="C118" t="s">
        <v>886</v>
      </c>
      <c r="D118" t="s">
        <v>204</v>
      </c>
    </row>
    <row r="119" spans="1:4" x14ac:dyDescent="0.25">
      <c r="A119" t="s">
        <v>353</v>
      </c>
      <c r="B119">
        <v>4</v>
      </c>
      <c r="C119" t="s">
        <v>125</v>
      </c>
      <c r="D119" t="s">
        <v>354</v>
      </c>
    </row>
    <row r="120" spans="1:4" x14ac:dyDescent="0.25">
      <c r="A120" t="s">
        <v>262</v>
      </c>
      <c r="B120">
        <v>2</v>
      </c>
      <c r="C120" t="s">
        <v>125</v>
      </c>
      <c r="D120" t="s">
        <v>249</v>
      </c>
    </row>
    <row r="121" spans="1:4" x14ac:dyDescent="0.25">
      <c r="A121" t="s">
        <v>10</v>
      </c>
      <c r="B121">
        <v>23</v>
      </c>
    </row>
    <row r="122" spans="1:4" x14ac:dyDescent="0.25">
      <c r="A122" t="s">
        <v>191</v>
      </c>
      <c r="B122">
        <v>13465</v>
      </c>
      <c r="C122" t="s">
        <v>886</v>
      </c>
      <c r="D122" t="s">
        <v>192</v>
      </c>
    </row>
    <row r="123" spans="1:4" x14ac:dyDescent="0.25">
      <c r="A123" t="s">
        <v>185</v>
      </c>
      <c r="B123">
        <v>2589</v>
      </c>
      <c r="C123" t="s">
        <v>886</v>
      </c>
      <c r="D123" t="s">
        <v>186</v>
      </c>
    </row>
    <row r="124" spans="1:4" x14ac:dyDescent="0.25">
      <c r="A124" t="s">
        <v>206</v>
      </c>
      <c r="B124">
        <v>413</v>
      </c>
      <c r="C124" t="s">
        <v>886</v>
      </c>
      <c r="D124" t="s">
        <v>189</v>
      </c>
    </row>
    <row r="125" spans="1:4" x14ac:dyDescent="0.25">
      <c r="A125" t="s">
        <v>200</v>
      </c>
      <c r="B125">
        <v>209</v>
      </c>
      <c r="C125" t="s">
        <v>886</v>
      </c>
      <c r="D125" t="s">
        <v>201</v>
      </c>
    </row>
    <row r="126" spans="1:4" x14ac:dyDescent="0.25">
      <c r="A126" t="s">
        <v>357</v>
      </c>
      <c r="B126">
        <v>194</v>
      </c>
      <c r="C126" t="s">
        <v>125</v>
      </c>
      <c r="D126" t="s">
        <v>356</v>
      </c>
    </row>
    <row r="127" spans="1:4" x14ac:dyDescent="0.25">
      <c r="A127" t="s">
        <v>289</v>
      </c>
      <c r="B127">
        <v>162</v>
      </c>
      <c r="C127" t="s">
        <v>125</v>
      </c>
      <c r="D127" t="s">
        <v>290</v>
      </c>
    </row>
    <row r="128" spans="1:4" x14ac:dyDescent="0.25">
      <c r="A128" t="s">
        <v>194</v>
      </c>
      <c r="B128">
        <v>132</v>
      </c>
      <c r="C128" t="s">
        <v>886</v>
      </c>
      <c r="D128" t="s">
        <v>195</v>
      </c>
    </row>
    <row r="129" spans="1:4" x14ac:dyDescent="0.25">
      <c r="A129" t="s">
        <v>400</v>
      </c>
      <c r="B129">
        <v>102</v>
      </c>
      <c r="C129" t="s">
        <v>125</v>
      </c>
      <c r="D129" t="s">
        <v>401</v>
      </c>
    </row>
    <row r="130" spans="1:4" x14ac:dyDescent="0.25">
      <c r="A130" t="s">
        <v>263</v>
      </c>
      <c r="B130">
        <v>96</v>
      </c>
      <c r="C130" t="s">
        <v>125</v>
      </c>
      <c r="D130" t="s">
        <v>249</v>
      </c>
    </row>
    <row r="131" spans="1:4" x14ac:dyDescent="0.25">
      <c r="A131" t="s">
        <v>248</v>
      </c>
      <c r="B131">
        <v>93</v>
      </c>
      <c r="C131" t="s">
        <v>125</v>
      </c>
      <c r="D131" t="s">
        <v>249</v>
      </c>
    </row>
    <row r="132" spans="1:4" x14ac:dyDescent="0.25">
      <c r="A132" t="s">
        <v>317</v>
      </c>
      <c r="B132">
        <v>91</v>
      </c>
      <c r="C132" t="s">
        <v>125</v>
      </c>
      <c r="D132" t="s">
        <v>318</v>
      </c>
    </row>
    <row r="133" spans="1:4" x14ac:dyDescent="0.25">
      <c r="A133" t="s">
        <v>408</v>
      </c>
      <c r="B133">
        <v>89</v>
      </c>
      <c r="C133" t="s">
        <v>125</v>
      </c>
      <c r="D133" t="s">
        <v>401</v>
      </c>
    </row>
    <row r="134" spans="1:4" x14ac:dyDescent="0.25">
      <c r="A134" t="s">
        <v>411</v>
      </c>
      <c r="B134">
        <v>75</v>
      </c>
      <c r="C134" t="s">
        <v>125</v>
      </c>
      <c r="D134" t="s">
        <v>401</v>
      </c>
    </row>
    <row r="135" spans="1:4" x14ac:dyDescent="0.25">
      <c r="A135" t="s">
        <v>297</v>
      </c>
      <c r="B135">
        <v>74</v>
      </c>
      <c r="C135" t="s">
        <v>125</v>
      </c>
      <c r="D135" t="s">
        <v>298</v>
      </c>
    </row>
    <row r="136" spans="1:4" x14ac:dyDescent="0.25">
      <c r="A136" t="s">
        <v>217</v>
      </c>
      <c r="B136">
        <v>70</v>
      </c>
      <c r="C136" t="s">
        <v>886</v>
      </c>
      <c r="D136" t="s">
        <v>218</v>
      </c>
    </row>
    <row r="137" spans="1:4" x14ac:dyDescent="0.25">
      <c r="A137" t="s">
        <v>257</v>
      </c>
      <c r="B137">
        <v>68</v>
      </c>
      <c r="C137" t="s">
        <v>125</v>
      </c>
      <c r="D137" t="s">
        <v>249</v>
      </c>
    </row>
    <row r="138" spans="1:4" x14ac:dyDescent="0.25">
      <c r="A138" t="s">
        <v>450</v>
      </c>
      <c r="B138">
        <v>61</v>
      </c>
      <c r="C138" t="s">
        <v>125</v>
      </c>
      <c r="D138" t="s">
        <v>442</v>
      </c>
    </row>
    <row r="139" spans="1:4" x14ac:dyDescent="0.25">
      <c r="A139" t="s">
        <v>250</v>
      </c>
      <c r="B139">
        <v>54</v>
      </c>
      <c r="C139" t="s">
        <v>125</v>
      </c>
      <c r="D139" t="s">
        <v>249</v>
      </c>
    </row>
    <row r="140" spans="1:4" x14ac:dyDescent="0.25">
      <c r="A140" t="s">
        <v>304</v>
      </c>
      <c r="B140">
        <v>46</v>
      </c>
      <c r="C140" t="s">
        <v>125</v>
      </c>
      <c r="D140" t="s">
        <v>305</v>
      </c>
    </row>
    <row r="141" spans="1:4" x14ac:dyDescent="0.25">
      <c r="A141" t="s">
        <v>314</v>
      </c>
      <c r="B141">
        <v>36</v>
      </c>
      <c r="C141" t="s">
        <v>125</v>
      </c>
      <c r="D141" t="s">
        <v>315</v>
      </c>
    </row>
    <row r="142" spans="1:4" x14ac:dyDescent="0.25">
      <c r="A142" t="s">
        <v>451</v>
      </c>
      <c r="B142">
        <v>29</v>
      </c>
      <c r="C142" t="s">
        <v>125</v>
      </c>
      <c r="D142" t="s">
        <v>442</v>
      </c>
    </row>
    <row r="143" spans="1:4" x14ac:dyDescent="0.25">
      <c r="A143" t="s">
        <v>197</v>
      </c>
      <c r="B143">
        <v>24</v>
      </c>
      <c r="C143" t="s">
        <v>886</v>
      </c>
      <c r="D143" t="s">
        <v>198</v>
      </c>
    </row>
    <row r="144" spans="1:4" x14ac:dyDescent="0.25">
      <c r="A144" t="s">
        <v>481</v>
      </c>
      <c r="B144">
        <v>20</v>
      </c>
      <c r="C144" t="s">
        <v>125</v>
      </c>
      <c r="D144" t="s">
        <v>478</v>
      </c>
    </row>
    <row r="145" spans="1:4" x14ac:dyDescent="0.25">
      <c r="A145" t="s">
        <v>11</v>
      </c>
      <c r="B145">
        <v>28</v>
      </c>
    </row>
    <row r="146" spans="1:4" x14ac:dyDescent="0.25">
      <c r="A146" t="s">
        <v>191</v>
      </c>
      <c r="B146">
        <v>7161</v>
      </c>
      <c r="C146" t="s">
        <v>886</v>
      </c>
      <c r="D146" t="s">
        <v>192</v>
      </c>
    </row>
    <row r="147" spans="1:4" x14ac:dyDescent="0.25">
      <c r="A147" t="s">
        <v>185</v>
      </c>
      <c r="B147">
        <v>6037</v>
      </c>
      <c r="C147" t="s">
        <v>886</v>
      </c>
      <c r="D147" t="s">
        <v>186</v>
      </c>
    </row>
    <row r="148" spans="1:4" x14ac:dyDescent="0.25">
      <c r="A148" t="s">
        <v>188</v>
      </c>
      <c r="B148">
        <v>2461</v>
      </c>
      <c r="C148" t="s">
        <v>886</v>
      </c>
      <c r="D148" t="s">
        <v>189</v>
      </c>
    </row>
    <row r="149" spans="1:4" x14ac:dyDescent="0.25">
      <c r="A149" t="s">
        <v>412</v>
      </c>
      <c r="B149">
        <v>274</v>
      </c>
      <c r="C149" t="s">
        <v>125</v>
      </c>
      <c r="D149" t="s">
        <v>401</v>
      </c>
    </row>
    <row r="150" spans="1:4" x14ac:dyDescent="0.25">
      <c r="A150" t="s">
        <v>206</v>
      </c>
      <c r="B150">
        <v>138</v>
      </c>
      <c r="C150" t="s">
        <v>886</v>
      </c>
      <c r="D150" t="s">
        <v>189</v>
      </c>
    </row>
    <row r="151" spans="1:4" x14ac:dyDescent="0.25">
      <c r="A151" t="s">
        <v>377</v>
      </c>
      <c r="B151">
        <v>121</v>
      </c>
      <c r="C151" t="s">
        <v>125</v>
      </c>
      <c r="D151" t="s">
        <v>373</v>
      </c>
    </row>
    <row r="152" spans="1:4" x14ac:dyDescent="0.25">
      <c r="A152" t="s">
        <v>353</v>
      </c>
      <c r="B152">
        <v>79</v>
      </c>
      <c r="C152" t="s">
        <v>125</v>
      </c>
      <c r="D152" t="s">
        <v>354</v>
      </c>
    </row>
    <row r="153" spans="1:4" x14ac:dyDescent="0.25">
      <c r="A153" t="s">
        <v>208</v>
      </c>
      <c r="B153">
        <v>75</v>
      </c>
      <c r="C153" t="s">
        <v>886</v>
      </c>
      <c r="D153" t="s">
        <v>209</v>
      </c>
    </row>
    <row r="154" spans="1:4" x14ac:dyDescent="0.25">
      <c r="A154" t="s">
        <v>200</v>
      </c>
      <c r="B154">
        <v>54</v>
      </c>
      <c r="C154" t="s">
        <v>886</v>
      </c>
      <c r="D154" t="s">
        <v>201</v>
      </c>
    </row>
    <row r="155" spans="1:4" x14ac:dyDescent="0.25">
      <c r="A155" t="s">
        <v>342</v>
      </c>
      <c r="B155">
        <v>52</v>
      </c>
      <c r="C155" t="s">
        <v>125</v>
      </c>
      <c r="D155" t="s">
        <v>343</v>
      </c>
    </row>
    <row r="156" spans="1:4" x14ac:dyDescent="0.25">
      <c r="A156" t="s">
        <v>194</v>
      </c>
      <c r="B156">
        <v>45</v>
      </c>
      <c r="C156" t="s">
        <v>886</v>
      </c>
      <c r="D156" t="s">
        <v>195</v>
      </c>
    </row>
    <row r="157" spans="1:4" x14ac:dyDescent="0.25">
      <c r="A157" t="s">
        <v>487</v>
      </c>
      <c r="B157">
        <v>34</v>
      </c>
      <c r="C157" t="s">
        <v>125</v>
      </c>
      <c r="D157" t="s">
        <v>488</v>
      </c>
    </row>
    <row r="158" spans="1:4" x14ac:dyDescent="0.25">
      <c r="A158" t="s">
        <v>197</v>
      </c>
      <c r="B158">
        <v>31</v>
      </c>
      <c r="C158" t="s">
        <v>886</v>
      </c>
      <c r="D158" t="s">
        <v>198</v>
      </c>
    </row>
    <row r="159" spans="1:4" x14ac:dyDescent="0.25">
      <c r="A159" t="s">
        <v>253</v>
      </c>
      <c r="B159">
        <v>29</v>
      </c>
      <c r="C159" t="s">
        <v>125</v>
      </c>
      <c r="D159" t="s">
        <v>249</v>
      </c>
    </row>
    <row r="160" spans="1:4" x14ac:dyDescent="0.25">
      <c r="A160" t="s">
        <v>397</v>
      </c>
      <c r="B160">
        <v>22</v>
      </c>
      <c r="C160" t="s">
        <v>125</v>
      </c>
      <c r="D160" t="s">
        <v>396</v>
      </c>
    </row>
    <row r="161" spans="1:4" x14ac:dyDescent="0.25">
      <c r="A161" t="s">
        <v>395</v>
      </c>
      <c r="B161">
        <v>16</v>
      </c>
      <c r="C161" t="s">
        <v>125</v>
      </c>
      <c r="D161" t="s">
        <v>396</v>
      </c>
    </row>
    <row r="162" spans="1:4" x14ac:dyDescent="0.25">
      <c r="A162" t="s">
        <v>413</v>
      </c>
      <c r="B162">
        <v>15</v>
      </c>
      <c r="C162" t="s">
        <v>125</v>
      </c>
      <c r="D162" t="s">
        <v>401</v>
      </c>
    </row>
    <row r="163" spans="1:4" x14ac:dyDescent="0.25">
      <c r="A163" t="s">
        <v>264</v>
      </c>
      <c r="B163">
        <v>15</v>
      </c>
      <c r="C163" t="s">
        <v>125</v>
      </c>
      <c r="D163" t="s">
        <v>249</v>
      </c>
    </row>
    <row r="164" spans="1:4" x14ac:dyDescent="0.25">
      <c r="A164" t="s">
        <v>351</v>
      </c>
      <c r="B164">
        <v>15</v>
      </c>
      <c r="C164" t="s">
        <v>125</v>
      </c>
      <c r="D164" t="s">
        <v>352</v>
      </c>
    </row>
    <row r="165" spans="1:4" x14ac:dyDescent="0.25">
      <c r="A165" t="s">
        <v>257</v>
      </c>
      <c r="B165">
        <v>13</v>
      </c>
      <c r="C165" t="s">
        <v>125</v>
      </c>
      <c r="D165" t="s">
        <v>249</v>
      </c>
    </row>
    <row r="166" spans="1:4" x14ac:dyDescent="0.25">
      <c r="A166" t="s">
        <v>482</v>
      </c>
      <c r="B166">
        <v>12</v>
      </c>
      <c r="C166" t="s">
        <v>125</v>
      </c>
      <c r="D166" t="s">
        <v>478</v>
      </c>
    </row>
    <row r="167" spans="1:4" x14ac:dyDescent="0.25">
      <c r="A167" t="s">
        <v>252</v>
      </c>
      <c r="B167">
        <v>11</v>
      </c>
      <c r="C167" t="s">
        <v>125</v>
      </c>
      <c r="D167" t="s">
        <v>249</v>
      </c>
    </row>
    <row r="168" spans="1:4" x14ac:dyDescent="0.25">
      <c r="A168" t="s">
        <v>326</v>
      </c>
      <c r="B168">
        <v>10</v>
      </c>
      <c r="C168" t="s">
        <v>125</v>
      </c>
      <c r="D168" t="s">
        <v>325</v>
      </c>
    </row>
    <row r="169" spans="1:4" x14ac:dyDescent="0.25">
      <c r="A169" t="s">
        <v>441</v>
      </c>
      <c r="B169">
        <v>10</v>
      </c>
      <c r="C169" t="s">
        <v>125</v>
      </c>
      <c r="D169" t="s">
        <v>442</v>
      </c>
    </row>
    <row r="170" spans="1:4" x14ac:dyDescent="0.25">
      <c r="A170" t="s">
        <v>400</v>
      </c>
      <c r="B170">
        <v>9</v>
      </c>
      <c r="C170" t="s">
        <v>125</v>
      </c>
      <c r="D170" t="s">
        <v>401</v>
      </c>
    </row>
    <row r="171" spans="1:4" x14ac:dyDescent="0.25">
      <c r="A171" t="s">
        <v>385</v>
      </c>
      <c r="B171">
        <v>8</v>
      </c>
      <c r="C171" t="s">
        <v>125</v>
      </c>
      <c r="D171" t="s">
        <v>386</v>
      </c>
    </row>
    <row r="172" spans="1:4" x14ac:dyDescent="0.25">
      <c r="A172" t="s">
        <v>414</v>
      </c>
      <c r="B172">
        <v>7</v>
      </c>
      <c r="C172" t="s">
        <v>125</v>
      </c>
      <c r="D172" t="s">
        <v>401</v>
      </c>
    </row>
    <row r="173" spans="1:4" x14ac:dyDescent="0.25">
      <c r="A173" t="s">
        <v>370</v>
      </c>
      <c r="B173">
        <v>5</v>
      </c>
      <c r="C173" t="s">
        <v>125</v>
      </c>
      <c r="D173" t="s">
        <v>371</v>
      </c>
    </row>
    <row r="174" spans="1:4" x14ac:dyDescent="0.25">
      <c r="A174" t="s">
        <v>12</v>
      </c>
      <c r="B174">
        <v>26</v>
      </c>
    </row>
    <row r="175" spans="1:4" x14ac:dyDescent="0.25">
      <c r="A175" t="s">
        <v>248</v>
      </c>
      <c r="B175">
        <v>944</v>
      </c>
      <c r="C175" t="s">
        <v>125</v>
      </c>
      <c r="D175" t="s">
        <v>249</v>
      </c>
    </row>
    <row r="176" spans="1:4" x14ac:dyDescent="0.25">
      <c r="A176" t="s">
        <v>250</v>
      </c>
      <c r="B176">
        <v>628</v>
      </c>
      <c r="C176" t="s">
        <v>125</v>
      </c>
      <c r="D176" t="s">
        <v>249</v>
      </c>
    </row>
    <row r="177" spans="1:4" x14ac:dyDescent="0.25">
      <c r="A177" t="s">
        <v>307</v>
      </c>
      <c r="B177">
        <v>536</v>
      </c>
      <c r="C177" t="s">
        <v>125</v>
      </c>
      <c r="D177" t="s">
        <v>308</v>
      </c>
    </row>
    <row r="178" spans="1:4" x14ac:dyDescent="0.25">
      <c r="A178" t="s">
        <v>194</v>
      </c>
      <c r="B178">
        <v>501</v>
      </c>
      <c r="C178" t="s">
        <v>886</v>
      </c>
      <c r="D178" t="s">
        <v>195</v>
      </c>
    </row>
    <row r="179" spans="1:4" x14ac:dyDescent="0.25">
      <c r="A179" t="s">
        <v>206</v>
      </c>
      <c r="B179">
        <v>323</v>
      </c>
      <c r="C179" t="s">
        <v>886</v>
      </c>
      <c r="D179" t="s">
        <v>189</v>
      </c>
    </row>
    <row r="180" spans="1:4" x14ac:dyDescent="0.25">
      <c r="A180" t="s">
        <v>197</v>
      </c>
      <c r="B180">
        <v>307</v>
      </c>
      <c r="C180" t="s">
        <v>886</v>
      </c>
      <c r="D180" t="s">
        <v>198</v>
      </c>
    </row>
    <row r="181" spans="1:4" x14ac:dyDescent="0.25">
      <c r="A181" t="s">
        <v>452</v>
      </c>
      <c r="B181">
        <v>299</v>
      </c>
      <c r="C181" t="s">
        <v>125</v>
      </c>
      <c r="D181" t="s">
        <v>442</v>
      </c>
    </row>
    <row r="182" spans="1:4" x14ac:dyDescent="0.25">
      <c r="A182" t="s">
        <v>265</v>
      </c>
      <c r="B182">
        <v>281</v>
      </c>
      <c r="C182" t="s">
        <v>125</v>
      </c>
      <c r="D182" t="s">
        <v>249</v>
      </c>
    </row>
    <row r="183" spans="1:4" x14ac:dyDescent="0.25">
      <c r="A183" t="s">
        <v>302</v>
      </c>
      <c r="B183">
        <v>273</v>
      </c>
      <c r="C183" t="s">
        <v>125</v>
      </c>
      <c r="D183" t="s">
        <v>303</v>
      </c>
    </row>
    <row r="184" spans="1:4" x14ac:dyDescent="0.25">
      <c r="A184" t="s">
        <v>400</v>
      </c>
      <c r="B184">
        <v>253</v>
      </c>
      <c r="C184" t="s">
        <v>125</v>
      </c>
      <c r="D184" t="s">
        <v>401</v>
      </c>
    </row>
    <row r="185" spans="1:4" x14ac:dyDescent="0.25">
      <c r="A185" t="s">
        <v>188</v>
      </c>
      <c r="B185">
        <v>241</v>
      </c>
      <c r="C185" t="s">
        <v>886</v>
      </c>
      <c r="D185" t="s">
        <v>189</v>
      </c>
    </row>
    <row r="186" spans="1:4" x14ac:dyDescent="0.25">
      <c r="A186" t="s">
        <v>226</v>
      </c>
      <c r="B186">
        <v>167</v>
      </c>
      <c r="C186" t="s">
        <v>886</v>
      </c>
      <c r="D186" t="s">
        <v>227</v>
      </c>
    </row>
    <row r="187" spans="1:4" x14ac:dyDescent="0.25">
      <c r="A187" t="s">
        <v>411</v>
      </c>
      <c r="B187">
        <v>156</v>
      </c>
      <c r="C187" t="s">
        <v>125</v>
      </c>
      <c r="D187" t="s">
        <v>401</v>
      </c>
    </row>
    <row r="188" spans="1:4" x14ac:dyDescent="0.25">
      <c r="A188" t="s">
        <v>415</v>
      </c>
      <c r="B188">
        <v>131</v>
      </c>
      <c r="C188" t="s">
        <v>125</v>
      </c>
      <c r="D188" t="s">
        <v>401</v>
      </c>
    </row>
    <row r="189" spans="1:4" x14ac:dyDescent="0.25">
      <c r="A189" t="s">
        <v>378</v>
      </c>
      <c r="B189">
        <v>115</v>
      </c>
      <c r="C189" t="s">
        <v>125</v>
      </c>
      <c r="D189" t="s">
        <v>373</v>
      </c>
    </row>
    <row r="190" spans="1:4" x14ac:dyDescent="0.25">
      <c r="A190" t="s">
        <v>459</v>
      </c>
      <c r="B190">
        <v>110</v>
      </c>
      <c r="C190" t="s">
        <v>125</v>
      </c>
      <c r="D190" t="s">
        <v>460</v>
      </c>
    </row>
    <row r="191" spans="1:4" x14ac:dyDescent="0.25">
      <c r="A191" t="s">
        <v>232</v>
      </c>
      <c r="B191">
        <v>93</v>
      </c>
      <c r="C191" t="s">
        <v>886</v>
      </c>
      <c r="D191" t="s">
        <v>204</v>
      </c>
    </row>
    <row r="192" spans="1:4" x14ac:dyDescent="0.25">
      <c r="A192" t="s">
        <v>405</v>
      </c>
      <c r="B192">
        <v>83</v>
      </c>
      <c r="C192" t="s">
        <v>125</v>
      </c>
      <c r="D192" t="s">
        <v>401</v>
      </c>
    </row>
    <row r="193" spans="1:4" x14ac:dyDescent="0.25">
      <c r="A193" t="s">
        <v>200</v>
      </c>
      <c r="B193">
        <v>83</v>
      </c>
      <c r="C193" t="s">
        <v>886</v>
      </c>
      <c r="D193" t="s">
        <v>201</v>
      </c>
    </row>
    <row r="194" spans="1:4" x14ac:dyDescent="0.25">
      <c r="A194" t="s">
        <v>406</v>
      </c>
      <c r="B194">
        <v>66</v>
      </c>
      <c r="C194" t="s">
        <v>125</v>
      </c>
      <c r="D194" t="s">
        <v>401</v>
      </c>
    </row>
    <row r="195" spans="1:4" x14ac:dyDescent="0.25">
      <c r="A195" t="s">
        <v>295</v>
      </c>
      <c r="B195">
        <v>60</v>
      </c>
      <c r="C195" t="s">
        <v>125</v>
      </c>
      <c r="D195" t="s">
        <v>296</v>
      </c>
    </row>
    <row r="196" spans="1:4" x14ac:dyDescent="0.25">
      <c r="A196" t="s">
        <v>326</v>
      </c>
      <c r="B196">
        <v>55</v>
      </c>
      <c r="C196" t="s">
        <v>125</v>
      </c>
      <c r="D196" t="s">
        <v>325</v>
      </c>
    </row>
    <row r="197" spans="1:4" x14ac:dyDescent="0.25">
      <c r="A197" t="s">
        <v>208</v>
      </c>
      <c r="B197">
        <v>53</v>
      </c>
      <c r="C197" t="s">
        <v>886</v>
      </c>
      <c r="D197" t="s">
        <v>209</v>
      </c>
    </row>
    <row r="198" spans="1:4" x14ac:dyDescent="0.25">
      <c r="A198" t="s">
        <v>335</v>
      </c>
      <c r="B198">
        <v>53</v>
      </c>
      <c r="C198" t="s">
        <v>125</v>
      </c>
      <c r="D198" t="s">
        <v>336</v>
      </c>
    </row>
    <row r="199" spans="1:4" x14ac:dyDescent="0.25">
      <c r="A199" t="s">
        <v>416</v>
      </c>
      <c r="B199">
        <v>47</v>
      </c>
      <c r="C199" t="s">
        <v>125</v>
      </c>
      <c r="D199" t="s">
        <v>401</v>
      </c>
    </row>
    <row r="200" spans="1:4" x14ac:dyDescent="0.25">
      <c r="A200" t="s">
        <v>203</v>
      </c>
      <c r="B200">
        <v>39</v>
      </c>
      <c r="C200" t="s">
        <v>886</v>
      </c>
      <c r="D200" t="s">
        <v>204</v>
      </c>
    </row>
    <row r="201" spans="1:4" x14ac:dyDescent="0.25">
      <c r="A201" t="s">
        <v>13</v>
      </c>
      <c r="B201">
        <v>13</v>
      </c>
    </row>
    <row r="202" spans="1:4" x14ac:dyDescent="0.25">
      <c r="A202" t="s">
        <v>191</v>
      </c>
      <c r="B202">
        <v>11380</v>
      </c>
      <c r="C202" t="s">
        <v>886</v>
      </c>
      <c r="D202" t="s">
        <v>192</v>
      </c>
    </row>
    <row r="203" spans="1:4" x14ac:dyDescent="0.25">
      <c r="A203" t="s">
        <v>185</v>
      </c>
      <c r="B203">
        <v>3458</v>
      </c>
      <c r="C203" t="s">
        <v>886</v>
      </c>
      <c r="D203" t="s">
        <v>186</v>
      </c>
    </row>
    <row r="204" spans="1:4" x14ac:dyDescent="0.25">
      <c r="A204" t="s">
        <v>248</v>
      </c>
      <c r="B204">
        <v>79</v>
      </c>
      <c r="C204" t="s">
        <v>125</v>
      </c>
      <c r="D204" t="s">
        <v>249</v>
      </c>
    </row>
    <row r="205" spans="1:4" x14ac:dyDescent="0.25">
      <c r="A205" t="s">
        <v>250</v>
      </c>
      <c r="B205">
        <v>77</v>
      </c>
      <c r="C205" t="s">
        <v>125</v>
      </c>
      <c r="D205" t="s">
        <v>249</v>
      </c>
    </row>
    <row r="206" spans="1:4" x14ac:dyDescent="0.25">
      <c r="A206" t="s">
        <v>307</v>
      </c>
      <c r="B206">
        <v>26</v>
      </c>
      <c r="C206" t="s">
        <v>125</v>
      </c>
      <c r="D206" t="s">
        <v>308</v>
      </c>
    </row>
    <row r="207" spans="1:4" x14ac:dyDescent="0.25">
      <c r="A207" t="s">
        <v>257</v>
      </c>
      <c r="B207">
        <v>24</v>
      </c>
      <c r="C207" t="s">
        <v>125</v>
      </c>
      <c r="D207" t="s">
        <v>249</v>
      </c>
    </row>
    <row r="208" spans="1:4" x14ac:dyDescent="0.25">
      <c r="A208" t="s">
        <v>489</v>
      </c>
      <c r="B208">
        <v>19</v>
      </c>
      <c r="C208" t="s">
        <v>125</v>
      </c>
      <c r="D208" t="s">
        <v>488</v>
      </c>
    </row>
    <row r="209" spans="1:4" x14ac:dyDescent="0.25">
      <c r="A209" t="s">
        <v>326</v>
      </c>
      <c r="B209">
        <v>17</v>
      </c>
      <c r="C209" t="s">
        <v>125</v>
      </c>
      <c r="D209" t="s">
        <v>325</v>
      </c>
    </row>
    <row r="210" spans="1:4" x14ac:dyDescent="0.25">
      <c r="A210" t="s">
        <v>226</v>
      </c>
      <c r="B210">
        <v>15</v>
      </c>
      <c r="C210" t="s">
        <v>886</v>
      </c>
      <c r="D210" t="s">
        <v>227</v>
      </c>
    </row>
    <row r="211" spans="1:4" x14ac:dyDescent="0.25">
      <c r="A211" t="s">
        <v>251</v>
      </c>
      <c r="B211">
        <v>12</v>
      </c>
      <c r="C211" t="s">
        <v>125</v>
      </c>
      <c r="D211" t="s">
        <v>249</v>
      </c>
    </row>
    <row r="212" spans="1:4" x14ac:dyDescent="0.25">
      <c r="A212" t="s">
        <v>237</v>
      </c>
      <c r="B212">
        <v>11</v>
      </c>
      <c r="C212" t="s">
        <v>886</v>
      </c>
      <c r="D212" t="s">
        <v>238</v>
      </c>
    </row>
    <row r="213" spans="1:4" x14ac:dyDescent="0.25">
      <c r="A213" t="s">
        <v>197</v>
      </c>
      <c r="B213">
        <v>8</v>
      </c>
      <c r="C213" t="s">
        <v>886</v>
      </c>
      <c r="D213" t="s">
        <v>198</v>
      </c>
    </row>
    <row r="214" spans="1:4" x14ac:dyDescent="0.25">
      <c r="A214" t="s">
        <v>289</v>
      </c>
      <c r="B214">
        <v>8</v>
      </c>
      <c r="C214" t="s">
        <v>125</v>
      </c>
      <c r="D214" t="s">
        <v>290</v>
      </c>
    </row>
    <row r="215" spans="1:4" x14ac:dyDescent="0.25">
      <c r="A215" t="s">
        <v>14</v>
      </c>
      <c r="B215">
        <v>34</v>
      </c>
    </row>
    <row r="216" spans="1:4" x14ac:dyDescent="0.25">
      <c r="A216" t="s">
        <v>185</v>
      </c>
      <c r="B216">
        <v>11259</v>
      </c>
      <c r="C216" t="s">
        <v>886</v>
      </c>
      <c r="D216" t="s">
        <v>186</v>
      </c>
    </row>
    <row r="217" spans="1:4" x14ac:dyDescent="0.25">
      <c r="A217" t="s">
        <v>326</v>
      </c>
      <c r="B217">
        <v>2216</v>
      </c>
      <c r="C217" t="s">
        <v>125</v>
      </c>
      <c r="D217" t="s">
        <v>325</v>
      </c>
    </row>
    <row r="218" spans="1:4" x14ac:dyDescent="0.25">
      <c r="A218" t="s">
        <v>191</v>
      </c>
      <c r="B218">
        <v>803</v>
      </c>
      <c r="C218" t="s">
        <v>886</v>
      </c>
      <c r="D218" t="s">
        <v>192</v>
      </c>
    </row>
    <row r="219" spans="1:4" x14ac:dyDescent="0.25">
      <c r="A219" t="s">
        <v>208</v>
      </c>
      <c r="B219">
        <v>669</v>
      </c>
      <c r="C219" t="s">
        <v>886</v>
      </c>
      <c r="D219" t="s">
        <v>209</v>
      </c>
    </row>
    <row r="220" spans="1:4" x14ac:dyDescent="0.25">
      <c r="A220" t="s">
        <v>324</v>
      </c>
      <c r="B220">
        <v>602</v>
      </c>
      <c r="C220" t="s">
        <v>125</v>
      </c>
      <c r="D220" t="s">
        <v>325</v>
      </c>
    </row>
    <row r="221" spans="1:4" x14ac:dyDescent="0.25">
      <c r="A221" t="s">
        <v>306</v>
      </c>
      <c r="B221">
        <v>163</v>
      </c>
      <c r="C221" t="s">
        <v>125</v>
      </c>
      <c r="D221" t="s">
        <v>305</v>
      </c>
    </row>
    <row r="222" spans="1:4" x14ac:dyDescent="0.25">
      <c r="A222" t="s">
        <v>317</v>
      </c>
      <c r="B222">
        <v>142</v>
      </c>
      <c r="C222" t="s">
        <v>125</v>
      </c>
      <c r="D222" t="s">
        <v>318</v>
      </c>
    </row>
    <row r="223" spans="1:4" x14ac:dyDescent="0.25">
      <c r="A223" t="s">
        <v>200</v>
      </c>
      <c r="B223">
        <v>93</v>
      </c>
      <c r="C223" t="s">
        <v>886</v>
      </c>
      <c r="D223" t="s">
        <v>201</v>
      </c>
    </row>
    <row r="224" spans="1:4" x14ac:dyDescent="0.25">
      <c r="A224" t="s">
        <v>314</v>
      </c>
      <c r="B224">
        <v>79</v>
      </c>
      <c r="C224" t="s">
        <v>125</v>
      </c>
      <c r="D224" t="s">
        <v>315</v>
      </c>
    </row>
    <row r="225" spans="1:4" x14ac:dyDescent="0.25">
      <c r="A225" t="s">
        <v>340</v>
      </c>
      <c r="B225">
        <v>71</v>
      </c>
      <c r="C225" t="s">
        <v>125</v>
      </c>
      <c r="D225" t="s">
        <v>341</v>
      </c>
    </row>
    <row r="226" spans="1:4" x14ac:dyDescent="0.25">
      <c r="A226" t="s">
        <v>206</v>
      </c>
      <c r="B226">
        <v>67</v>
      </c>
      <c r="C226" t="s">
        <v>886</v>
      </c>
      <c r="D226" t="s">
        <v>189</v>
      </c>
    </row>
    <row r="227" spans="1:4" x14ac:dyDescent="0.25">
      <c r="A227" t="s">
        <v>214</v>
      </c>
      <c r="B227">
        <v>55</v>
      </c>
      <c r="C227" t="s">
        <v>886</v>
      </c>
      <c r="D227" t="s">
        <v>215</v>
      </c>
    </row>
    <row r="228" spans="1:4" x14ac:dyDescent="0.25">
      <c r="A228" t="s">
        <v>479</v>
      </c>
      <c r="B228">
        <v>49</v>
      </c>
      <c r="C228" t="s">
        <v>125</v>
      </c>
      <c r="D228" t="s">
        <v>478</v>
      </c>
    </row>
    <row r="229" spans="1:4" x14ac:dyDescent="0.25">
      <c r="A229" t="s">
        <v>203</v>
      </c>
      <c r="B229">
        <v>37</v>
      </c>
      <c r="C229" t="s">
        <v>886</v>
      </c>
      <c r="D229" t="s">
        <v>204</v>
      </c>
    </row>
    <row r="230" spans="1:4" x14ac:dyDescent="0.25">
      <c r="A230" t="s">
        <v>446</v>
      </c>
      <c r="B230">
        <v>32</v>
      </c>
      <c r="C230" t="s">
        <v>125</v>
      </c>
      <c r="D230" t="s">
        <v>442</v>
      </c>
    </row>
    <row r="231" spans="1:4" x14ac:dyDescent="0.25">
      <c r="A231" t="s">
        <v>217</v>
      </c>
      <c r="B231">
        <v>32</v>
      </c>
      <c r="C231" t="s">
        <v>886</v>
      </c>
      <c r="D231" t="s">
        <v>218</v>
      </c>
    </row>
    <row r="232" spans="1:4" x14ac:dyDescent="0.25">
      <c r="A232" t="s">
        <v>266</v>
      </c>
      <c r="B232">
        <v>27</v>
      </c>
      <c r="C232" t="s">
        <v>125</v>
      </c>
      <c r="D232" t="s">
        <v>249</v>
      </c>
    </row>
    <row r="233" spans="1:4" x14ac:dyDescent="0.25">
      <c r="A233" t="s">
        <v>251</v>
      </c>
      <c r="B233">
        <v>25</v>
      </c>
      <c r="C233" t="s">
        <v>125</v>
      </c>
      <c r="D233" t="s">
        <v>249</v>
      </c>
    </row>
    <row r="234" spans="1:4" x14ac:dyDescent="0.25">
      <c r="A234" t="s">
        <v>293</v>
      </c>
      <c r="B234">
        <v>18</v>
      </c>
      <c r="C234" t="s">
        <v>125</v>
      </c>
      <c r="D234" t="s">
        <v>294</v>
      </c>
    </row>
    <row r="235" spans="1:4" x14ac:dyDescent="0.25">
      <c r="A235" t="s">
        <v>417</v>
      </c>
      <c r="B235">
        <v>17</v>
      </c>
      <c r="C235" t="s">
        <v>125</v>
      </c>
      <c r="D235" t="s">
        <v>401</v>
      </c>
    </row>
    <row r="236" spans="1:4" x14ac:dyDescent="0.25">
      <c r="A236" t="s">
        <v>220</v>
      </c>
      <c r="B236">
        <v>17</v>
      </c>
      <c r="C236" t="s">
        <v>886</v>
      </c>
      <c r="D236" t="s">
        <v>221</v>
      </c>
    </row>
    <row r="237" spans="1:4" x14ac:dyDescent="0.25">
      <c r="A237" t="s">
        <v>289</v>
      </c>
      <c r="B237">
        <v>16</v>
      </c>
      <c r="C237" t="s">
        <v>125</v>
      </c>
      <c r="D237" t="s">
        <v>290</v>
      </c>
    </row>
    <row r="238" spans="1:4" x14ac:dyDescent="0.25">
      <c r="A238" t="s">
        <v>473</v>
      </c>
      <c r="B238">
        <v>15</v>
      </c>
      <c r="C238" t="s">
        <v>125</v>
      </c>
      <c r="D238" t="s">
        <v>474</v>
      </c>
    </row>
    <row r="239" spans="1:4" x14ac:dyDescent="0.25">
      <c r="A239" t="s">
        <v>383</v>
      </c>
      <c r="B239">
        <v>11</v>
      </c>
      <c r="C239" t="s">
        <v>125</v>
      </c>
      <c r="D239" t="s">
        <v>382</v>
      </c>
    </row>
    <row r="240" spans="1:4" x14ac:dyDescent="0.25">
      <c r="A240" t="s">
        <v>197</v>
      </c>
      <c r="B240">
        <v>10</v>
      </c>
      <c r="C240" t="s">
        <v>886</v>
      </c>
      <c r="D240" t="s">
        <v>198</v>
      </c>
    </row>
    <row r="241" spans="1:4" x14ac:dyDescent="0.25">
      <c r="A241" t="s">
        <v>337</v>
      </c>
      <c r="B241">
        <v>7</v>
      </c>
      <c r="C241" t="s">
        <v>125</v>
      </c>
      <c r="D241" t="s">
        <v>338</v>
      </c>
    </row>
    <row r="242" spans="1:4" x14ac:dyDescent="0.25">
      <c r="A242" t="s">
        <v>295</v>
      </c>
      <c r="B242">
        <v>6</v>
      </c>
      <c r="C242" t="s">
        <v>125</v>
      </c>
      <c r="D242" t="s">
        <v>296</v>
      </c>
    </row>
    <row r="243" spans="1:4" x14ac:dyDescent="0.25">
      <c r="A243" t="s">
        <v>267</v>
      </c>
      <c r="B243">
        <v>6</v>
      </c>
      <c r="C243" t="s">
        <v>125</v>
      </c>
      <c r="D243" t="s">
        <v>249</v>
      </c>
    </row>
    <row r="244" spans="1:4" x14ac:dyDescent="0.25">
      <c r="A244" t="s">
        <v>418</v>
      </c>
      <c r="B244">
        <v>6</v>
      </c>
      <c r="C244" t="s">
        <v>125</v>
      </c>
      <c r="D244" t="s">
        <v>401</v>
      </c>
    </row>
    <row r="245" spans="1:4" x14ac:dyDescent="0.25">
      <c r="A245" t="s">
        <v>194</v>
      </c>
      <c r="B245">
        <v>6</v>
      </c>
      <c r="C245" t="s">
        <v>886</v>
      </c>
      <c r="D245" t="s">
        <v>195</v>
      </c>
    </row>
    <row r="246" spans="1:4" x14ac:dyDescent="0.25">
      <c r="A246" t="s">
        <v>260</v>
      </c>
      <c r="B246">
        <v>5</v>
      </c>
      <c r="C246" t="s">
        <v>125</v>
      </c>
      <c r="D246" t="s">
        <v>249</v>
      </c>
    </row>
    <row r="247" spans="1:4" x14ac:dyDescent="0.25">
      <c r="A247" t="s">
        <v>261</v>
      </c>
      <c r="B247">
        <v>4</v>
      </c>
      <c r="C247" t="s">
        <v>125</v>
      </c>
      <c r="D247" t="s">
        <v>249</v>
      </c>
    </row>
    <row r="248" spans="1:4" x14ac:dyDescent="0.25">
      <c r="A248" t="s">
        <v>471</v>
      </c>
      <c r="B248">
        <v>4</v>
      </c>
      <c r="C248" t="s">
        <v>125</v>
      </c>
      <c r="D248" t="s">
        <v>472</v>
      </c>
    </row>
    <row r="249" spans="1:4" x14ac:dyDescent="0.25">
      <c r="A249" t="s">
        <v>234</v>
      </c>
      <c r="B249">
        <v>4</v>
      </c>
      <c r="C249" t="s">
        <v>886</v>
      </c>
      <c r="D249" t="s">
        <v>235</v>
      </c>
    </row>
    <row r="250" spans="1:4" x14ac:dyDescent="0.25">
      <c r="A250" t="s">
        <v>15</v>
      </c>
      <c r="B250">
        <v>43</v>
      </c>
    </row>
    <row r="251" spans="1:4" x14ac:dyDescent="0.25">
      <c r="A251" t="s">
        <v>185</v>
      </c>
      <c r="B251">
        <v>6229</v>
      </c>
      <c r="C251" t="s">
        <v>886</v>
      </c>
      <c r="D251" t="s">
        <v>186</v>
      </c>
    </row>
    <row r="252" spans="1:4" x14ac:dyDescent="0.25">
      <c r="A252" t="s">
        <v>340</v>
      </c>
      <c r="B252">
        <v>2280</v>
      </c>
      <c r="C252" t="s">
        <v>125</v>
      </c>
      <c r="D252" t="s">
        <v>341</v>
      </c>
    </row>
    <row r="253" spans="1:4" x14ac:dyDescent="0.25">
      <c r="A253" t="s">
        <v>191</v>
      </c>
      <c r="B253">
        <v>1013</v>
      </c>
      <c r="C253" t="s">
        <v>886</v>
      </c>
      <c r="D253" t="s">
        <v>192</v>
      </c>
    </row>
    <row r="254" spans="1:4" x14ac:dyDescent="0.25">
      <c r="A254" t="s">
        <v>208</v>
      </c>
      <c r="B254">
        <v>904</v>
      </c>
      <c r="C254" t="s">
        <v>886</v>
      </c>
      <c r="D254" t="s">
        <v>209</v>
      </c>
    </row>
    <row r="255" spans="1:4" x14ac:dyDescent="0.25">
      <c r="A255" t="s">
        <v>384</v>
      </c>
      <c r="B255">
        <v>325</v>
      </c>
      <c r="C255" t="s">
        <v>125</v>
      </c>
      <c r="D255" t="s">
        <v>382</v>
      </c>
    </row>
    <row r="256" spans="1:4" x14ac:dyDescent="0.25">
      <c r="A256" t="s">
        <v>203</v>
      </c>
      <c r="B256">
        <v>267</v>
      </c>
      <c r="C256" t="s">
        <v>886</v>
      </c>
      <c r="D256" t="s">
        <v>204</v>
      </c>
    </row>
    <row r="257" spans="1:4" x14ac:dyDescent="0.25">
      <c r="A257" t="s">
        <v>214</v>
      </c>
      <c r="B257">
        <v>263</v>
      </c>
      <c r="C257" t="s">
        <v>886</v>
      </c>
      <c r="D257" t="s">
        <v>215</v>
      </c>
    </row>
    <row r="258" spans="1:4" x14ac:dyDescent="0.25">
      <c r="A258" t="s">
        <v>206</v>
      </c>
      <c r="B258">
        <v>247</v>
      </c>
      <c r="C258" t="s">
        <v>886</v>
      </c>
      <c r="D258" t="s">
        <v>189</v>
      </c>
    </row>
    <row r="259" spans="1:4" x14ac:dyDescent="0.25">
      <c r="A259" t="s">
        <v>188</v>
      </c>
      <c r="B259">
        <v>233</v>
      </c>
      <c r="C259" t="s">
        <v>886</v>
      </c>
      <c r="D259" t="s">
        <v>189</v>
      </c>
    </row>
    <row r="260" spans="1:4" x14ac:dyDescent="0.25">
      <c r="A260" t="s">
        <v>326</v>
      </c>
      <c r="B260">
        <v>193</v>
      </c>
      <c r="C260" t="s">
        <v>125</v>
      </c>
      <c r="D260" t="s">
        <v>325</v>
      </c>
    </row>
    <row r="261" spans="1:4" x14ac:dyDescent="0.25">
      <c r="A261" t="s">
        <v>330</v>
      </c>
      <c r="B261">
        <v>156</v>
      </c>
      <c r="C261" t="s">
        <v>125</v>
      </c>
      <c r="D261" t="s">
        <v>331</v>
      </c>
    </row>
    <row r="262" spans="1:4" x14ac:dyDescent="0.25">
      <c r="A262" t="s">
        <v>419</v>
      </c>
      <c r="B262">
        <v>134</v>
      </c>
      <c r="C262" t="s">
        <v>125</v>
      </c>
      <c r="D262" t="s">
        <v>401</v>
      </c>
    </row>
    <row r="263" spans="1:4" x14ac:dyDescent="0.25">
      <c r="A263" t="s">
        <v>479</v>
      </c>
      <c r="B263">
        <v>115</v>
      </c>
      <c r="C263" t="s">
        <v>125</v>
      </c>
      <c r="D263" t="s">
        <v>478</v>
      </c>
    </row>
    <row r="264" spans="1:4" x14ac:dyDescent="0.25">
      <c r="A264" t="s">
        <v>200</v>
      </c>
      <c r="B264">
        <v>99</v>
      </c>
      <c r="C264" t="s">
        <v>886</v>
      </c>
      <c r="D264" t="s">
        <v>201</v>
      </c>
    </row>
    <row r="265" spans="1:4" x14ac:dyDescent="0.25">
      <c r="A265" t="s">
        <v>314</v>
      </c>
      <c r="B265">
        <v>95</v>
      </c>
      <c r="C265" t="s">
        <v>125</v>
      </c>
      <c r="D265" t="s">
        <v>315</v>
      </c>
    </row>
    <row r="266" spans="1:4" x14ac:dyDescent="0.25">
      <c r="A266" t="s">
        <v>355</v>
      </c>
      <c r="B266">
        <v>85</v>
      </c>
      <c r="C266" t="s">
        <v>125</v>
      </c>
      <c r="D266" t="s">
        <v>356</v>
      </c>
    </row>
    <row r="267" spans="1:4" x14ac:dyDescent="0.25">
      <c r="A267" t="s">
        <v>385</v>
      </c>
      <c r="B267">
        <v>69</v>
      </c>
      <c r="C267" t="s">
        <v>125</v>
      </c>
      <c r="D267" t="s">
        <v>386</v>
      </c>
    </row>
    <row r="268" spans="1:4" x14ac:dyDescent="0.25">
      <c r="A268" t="s">
        <v>266</v>
      </c>
      <c r="B268">
        <v>62</v>
      </c>
      <c r="C268" t="s">
        <v>125</v>
      </c>
      <c r="D268" t="s">
        <v>249</v>
      </c>
    </row>
    <row r="269" spans="1:4" x14ac:dyDescent="0.25">
      <c r="A269" t="s">
        <v>446</v>
      </c>
      <c r="B269">
        <v>55</v>
      </c>
      <c r="C269" t="s">
        <v>125</v>
      </c>
      <c r="D269" t="s">
        <v>442</v>
      </c>
    </row>
    <row r="270" spans="1:4" x14ac:dyDescent="0.25">
      <c r="A270" t="s">
        <v>250</v>
      </c>
      <c r="B270">
        <v>48</v>
      </c>
      <c r="C270" t="s">
        <v>125</v>
      </c>
      <c r="D270" t="s">
        <v>249</v>
      </c>
    </row>
    <row r="271" spans="1:4" x14ac:dyDescent="0.25">
      <c r="A271" t="s">
        <v>420</v>
      </c>
      <c r="B271">
        <v>47</v>
      </c>
      <c r="C271" t="s">
        <v>125</v>
      </c>
      <c r="D271" t="s">
        <v>401</v>
      </c>
    </row>
    <row r="272" spans="1:4" x14ac:dyDescent="0.25">
      <c r="A272" t="s">
        <v>268</v>
      </c>
      <c r="B272">
        <v>42</v>
      </c>
      <c r="C272" t="s">
        <v>125</v>
      </c>
      <c r="D272" t="s">
        <v>249</v>
      </c>
    </row>
    <row r="273" spans="1:4" x14ac:dyDescent="0.25">
      <c r="A273" t="s">
        <v>237</v>
      </c>
      <c r="B273">
        <v>41</v>
      </c>
      <c r="C273" t="s">
        <v>886</v>
      </c>
      <c r="D273" t="s">
        <v>238</v>
      </c>
    </row>
    <row r="274" spans="1:4" x14ac:dyDescent="0.25">
      <c r="A274" t="s">
        <v>471</v>
      </c>
      <c r="B274">
        <v>40</v>
      </c>
      <c r="C274" t="s">
        <v>125</v>
      </c>
      <c r="D274" t="s">
        <v>472</v>
      </c>
    </row>
    <row r="275" spans="1:4" x14ac:dyDescent="0.25">
      <c r="A275" t="s">
        <v>226</v>
      </c>
      <c r="B275">
        <v>32</v>
      </c>
      <c r="C275" t="s">
        <v>886</v>
      </c>
      <c r="D275" t="s">
        <v>227</v>
      </c>
    </row>
    <row r="276" spans="1:4" x14ac:dyDescent="0.25">
      <c r="A276" t="s">
        <v>220</v>
      </c>
      <c r="B276">
        <v>31</v>
      </c>
      <c r="C276" t="s">
        <v>886</v>
      </c>
      <c r="D276" t="s">
        <v>221</v>
      </c>
    </row>
    <row r="277" spans="1:4" x14ac:dyDescent="0.25">
      <c r="A277" t="s">
        <v>317</v>
      </c>
      <c r="B277">
        <v>28</v>
      </c>
      <c r="C277" t="s">
        <v>125</v>
      </c>
      <c r="D277" t="s">
        <v>318</v>
      </c>
    </row>
    <row r="278" spans="1:4" x14ac:dyDescent="0.25">
      <c r="A278" t="s">
        <v>327</v>
      </c>
      <c r="B278">
        <v>24</v>
      </c>
      <c r="C278" t="s">
        <v>125</v>
      </c>
      <c r="D278" t="s">
        <v>325</v>
      </c>
    </row>
    <row r="279" spans="1:4" x14ac:dyDescent="0.25">
      <c r="A279" t="s">
        <v>194</v>
      </c>
      <c r="B279">
        <v>23</v>
      </c>
      <c r="C279" t="s">
        <v>886</v>
      </c>
      <c r="D279" t="s">
        <v>195</v>
      </c>
    </row>
    <row r="280" spans="1:4" x14ac:dyDescent="0.25">
      <c r="A280" t="s">
        <v>217</v>
      </c>
      <c r="B280">
        <v>23</v>
      </c>
      <c r="C280" t="s">
        <v>886</v>
      </c>
      <c r="D280" t="s">
        <v>218</v>
      </c>
    </row>
    <row r="281" spans="1:4" x14ac:dyDescent="0.25">
      <c r="A281" t="s">
        <v>255</v>
      </c>
      <c r="B281">
        <v>23</v>
      </c>
      <c r="C281" t="s">
        <v>125</v>
      </c>
      <c r="D281" t="s">
        <v>249</v>
      </c>
    </row>
    <row r="282" spans="1:4" x14ac:dyDescent="0.25">
      <c r="A282" t="s">
        <v>269</v>
      </c>
      <c r="B282">
        <v>19</v>
      </c>
      <c r="C282" t="s">
        <v>125</v>
      </c>
      <c r="D282" t="s">
        <v>249</v>
      </c>
    </row>
    <row r="283" spans="1:4" x14ac:dyDescent="0.25">
      <c r="A283" t="s">
        <v>421</v>
      </c>
      <c r="B283">
        <v>15</v>
      </c>
      <c r="C283" t="s">
        <v>125</v>
      </c>
      <c r="D283" t="s">
        <v>401</v>
      </c>
    </row>
    <row r="284" spans="1:4" x14ac:dyDescent="0.25">
      <c r="A284" t="s">
        <v>470</v>
      </c>
      <c r="B284">
        <v>10</v>
      </c>
      <c r="C284" t="s">
        <v>125</v>
      </c>
      <c r="D284" t="s">
        <v>469</v>
      </c>
    </row>
    <row r="285" spans="1:4" x14ac:dyDescent="0.25">
      <c r="A285" t="s">
        <v>270</v>
      </c>
      <c r="B285">
        <v>9</v>
      </c>
      <c r="C285" t="s">
        <v>125</v>
      </c>
      <c r="D285" t="s">
        <v>249</v>
      </c>
    </row>
    <row r="286" spans="1:4" x14ac:dyDescent="0.25">
      <c r="A286" t="s">
        <v>473</v>
      </c>
      <c r="B286">
        <v>9</v>
      </c>
      <c r="C286" t="s">
        <v>125</v>
      </c>
      <c r="D286" t="s">
        <v>474</v>
      </c>
    </row>
    <row r="287" spans="1:4" x14ac:dyDescent="0.25">
      <c r="A287" t="s">
        <v>453</v>
      </c>
      <c r="B287">
        <v>8</v>
      </c>
      <c r="C287" t="s">
        <v>125</v>
      </c>
      <c r="D287" t="s">
        <v>442</v>
      </c>
    </row>
    <row r="288" spans="1:4" x14ac:dyDescent="0.25">
      <c r="A288" t="s">
        <v>263</v>
      </c>
      <c r="B288">
        <v>8</v>
      </c>
      <c r="C288" t="s">
        <v>125</v>
      </c>
      <c r="D288" t="s">
        <v>249</v>
      </c>
    </row>
    <row r="289" spans="1:4" x14ac:dyDescent="0.25">
      <c r="A289" t="s">
        <v>454</v>
      </c>
      <c r="B289">
        <v>8</v>
      </c>
      <c r="C289" t="s">
        <v>125</v>
      </c>
      <c r="D289" t="s">
        <v>442</v>
      </c>
    </row>
    <row r="290" spans="1:4" x14ac:dyDescent="0.25">
      <c r="A290" t="s">
        <v>289</v>
      </c>
      <c r="B290">
        <v>5</v>
      </c>
      <c r="C290" t="s">
        <v>125</v>
      </c>
      <c r="D290" t="s">
        <v>290</v>
      </c>
    </row>
    <row r="291" spans="1:4" x14ac:dyDescent="0.25">
      <c r="A291" t="s">
        <v>483</v>
      </c>
      <c r="B291">
        <v>4</v>
      </c>
      <c r="C291" t="s">
        <v>125</v>
      </c>
      <c r="D291" t="s">
        <v>478</v>
      </c>
    </row>
    <row r="292" spans="1:4" x14ac:dyDescent="0.25">
      <c r="A292" t="s">
        <v>293</v>
      </c>
      <c r="B292">
        <v>4</v>
      </c>
      <c r="C292" t="s">
        <v>125</v>
      </c>
      <c r="D292" t="s">
        <v>294</v>
      </c>
    </row>
    <row r="293" spans="1:4" x14ac:dyDescent="0.25">
      <c r="A293" t="s">
        <v>295</v>
      </c>
      <c r="B293">
        <v>3</v>
      </c>
      <c r="C293" t="s">
        <v>125</v>
      </c>
      <c r="D293" t="s">
        <v>296</v>
      </c>
    </row>
    <row r="294" spans="1:4" x14ac:dyDescent="0.25">
      <c r="A294" t="s">
        <v>16</v>
      </c>
      <c r="B294">
        <v>46</v>
      </c>
    </row>
    <row r="295" spans="1:4" x14ac:dyDescent="0.25">
      <c r="A295" t="s">
        <v>185</v>
      </c>
      <c r="B295">
        <v>8562</v>
      </c>
      <c r="C295" t="s">
        <v>886</v>
      </c>
      <c r="D295" t="s">
        <v>186</v>
      </c>
    </row>
    <row r="296" spans="1:4" x14ac:dyDescent="0.25">
      <c r="A296" t="s">
        <v>191</v>
      </c>
      <c r="B296">
        <v>2406</v>
      </c>
      <c r="C296" t="s">
        <v>886</v>
      </c>
      <c r="D296" t="s">
        <v>192</v>
      </c>
    </row>
    <row r="297" spans="1:4" x14ac:dyDescent="0.25">
      <c r="A297" t="s">
        <v>208</v>
      </c>
      <c r="B297">
        <v>1262</v>
      </c>
      <c r="C297" t="s">
        <v>886</v>
      </c>
      <c r="D297" t="s">
        <v>209</v>
      </c>
    </row>
    <row r="298" spans="1:4" x14ac:dyDescent="0.25">
      <c r="A298" t="s">
        <v>340</v>
      </c>
      <c r="B298">
        <v>912</v>
      </c>
      <c r="C298" t="s">
        <v>125</v>
      </c>
      <c r="D298" t="s">
        <v>341</v>
      </c>
    </row>
    <row r="299" spans="1:4" x14ac:dyDescent="0.25">
      <c r="A299" t="s">
        <v>203</v>
      </c>
      <c r="B299">
        <v>738</v>
      </c>
      <c r="C299" t="s">
        <v>886</v>
      </c>
      <c r="D299" t="s">
        <v>204</v>
      </c>
    </row>
    <row r="300" spans="1:4" x14ac:dyDescent="0.25">
      <c r="A300" t="s">
        <v>214</v>
      </c>
      <c r="B300">
        <v>549</v>
      </c>
      <c r="C300" t="s">
        <v>886</v>
      </c>
      <c r="D300" t="s">
        <v>215</v>
      </c>
    </row>
    <row r="301" spans="1:4" x14ac:dyDescent="0.25">
      <c r="A301" t="s">
        <v>320</v>
      </c>
      <c r="B301">
        <v>356</v>
      </c>
      <c r="C301" t="s">
        <v>125</v>
      </c>
      <c r="D301" t="s">
        <v>321</v>
      </c>
    </row>
    <row r="302" spans="1:4" x14ac:dyDescent="0.25">
      <c r="A302" t="s">
        <v>385</v>
      </c>
      <c r="B302">
        <v>276</v>
      </c>
      <c r="C302" t="s">
        <v>125</v>
      </c>
      <c r="D302" t="s">
        <v>386</v>
      </c>
    </row>
    <row r="303" spans="1:4" x14ac:dyDescent="0.25">
      <c r="A303" t="s">
        <v>326</v>
      </c>
      <c r="B303">
        <v>259</v>
      </c>
      <c r="C303" t="s">
        <v>125</v>
      </c>
      <c r="D303" t="s">
        <v>325</v>
      </c>
    </row>
    <row r="304" spans="1:4" x14ac:dyDescent="0.25">
      <c r="A304" t="s">
        <v>200</v>
      </c>
      <c r="B304">
        <v>142</v>
      </c>
      <c r="C304" t="s">
        <v>886</v>
      </c>
      <c r="D304" t="s">
        <v>201</v>
      </c>
    </row>
    <row r="305" spans="1:4" x14ac:dyDescent="0.25">
      <c r="A305" t="s">
        <v>355</v>
      </c>
      <c r="B305">
        <v>105</v>
      </c>
      <c r="C305" t="s">
        <v>125</v>
      </c>
      <c r="D305" t="s">
        <v>356</v>
      </c>
    </row>
    <row r="306" spans="1:4" x14ac:dyDescent="0.25">
      <c r="A306" t="s">
        <v>479</v>
      </c>
      <c r="B306">
        <v>103</v>
      </c>
      <c r="C306" t="s">
        <v>125</v>
      </c>
      <c r="D306" t="s">
        <v>478</v>
      </c>
    </row>
    <row r="307" spans="1:4" x14ac:dyDescent="0.25">
      <c r="A307" t="s">
        <v>314</v>
      </c>
      <c r="B307">
        <v>96</v>
      </c>
      <c r="C307" t="s">
        <v>125</v>
      </c>
      <c r="D307" t="s">
        <v>315</v>
      </c>
    </row>
    <row r="308" spans="1:4" x14ac:dyDescent="0.25">
      <c r="A308" t="s">
        <v>232</v>
      </c>
      <c r="B308">
        <v>88</v>
      </c>
      <c r="C308" t="s">
        <v>886</v>
      </c>
      <c r="D308" t="s">
        <v>204</v>
      </c>
    </row>
    <row r="309" spans="1:4" x14ac:dyDescent="0.25">
      <c r="A309" t="s">
        <v>188</v>
      </c>
      <c r="B309">
        <v>83</v>
      </c>
      <c r="C309" t="s">
        <v>886</v>
      </c>
      <c r="D309" t="s">
        <v>189</v>
      </c>
    </row>
    <row r="310" spans="1:4" x14ac:dyDescent="0.25">
      <c r="A310" t="s">
        <v>217</v>
      </c>
      <c r="B310">
        <v>83</v>
      </c>
      <c r="C310" t="s">
        <v>886</v>
      </c>
      <c r="D310" t="s">
        <v>218</v>
      </c>
    </row>
    <row r="311" spans="1:4" x14ac:dyDescent="0.25">
      <c r="A311" t="s">
        <v>422</v>
      </c>
      <c r="B311">
        <v>68</v>
      </c>
      <c r="C311" t="s">
        <v>125</v>
      </c>
      <c r="D311" t="s">
        <v>401</v>
      </c>
    </row>
    <row r="312" spans="1:4" x14ac:dyDescent="0.25">
      <c r="A312" t="s">
        <v>194</v>
      </c>
      <c r="B312">
        <v>67</v>
      </c>
      <c r="C312" t="s">
        <v>886</v>
      </c>
      <c r="D312" t="s">
        <v>195</v>
      </c>
    </row>
    <row r="313" spans="1:4" x14ac:dyDescent="0.25">
      <c r="A313" t="s">
        <v>446</v>
      </c>
      <c r="B313">
        <v>67</v>
      </c>
      <c r="C313" t="s">
        <v>125</v>
      </c>
      <c r="D313" t="s">
        <v>442</v>
      </c>
    </row>
    <row r="314" spans="1:4" x14ac:dyDescent="0.25">
      <c r="A314" t="s">
        <v>266</v>
      </c>
      <c r="B314">
        <v>57</v>
      </c>
      <c r="C314" t="s">
        <v>125</v>
      </c>
      <c r="D314" t="s">
        <v>249</v>
      </c>
    </row>
    <row r="315" spans="1:4" x14ac:dyDescent="0.25">
      <c r="A315" t="s">
        <v>289</v>
      </c>
      <c r="B315">
        <v>51</v>
      </c>
      <c r="C315" t="s">
        <v>125</v>
      </c>
      <c r="D315" t="s">
        <v>290</v>
      </c>
    </row>
    <row r="316" spans="1:4" x14ac:dyDescent="0.25">
      <c r="A316" t="s">
        <v>316</v>
      </c>
      <c r="B316">
        <v>42</v>
      </c>
      <c r="C316" t="s">
        <v>125</v>
      </c>
      <c r="D316" t="s">
        <v>315</v>
      </c>
    </row>
    <row r="317" spans="1:4" x14ac:dyDescent="0.25">
      <c r="A317" t="s">
        <v>420</v>
      </c>
      <c r="B317">
        <v>39</v>
      </c>
      <c r="C317" t="s">
        <v>125</v>
      </c>
      <c r="D317" t="s">
        <v>401</v>
      </c>
    </row>
    <row r="318" spans="1:4" x14ac:dyDescent="0.25">
      <c r="A318" t="s">
        <v>220</v>
      </c>
      <c r="B318">
        <v>39</v>
      </c>
      <c r="C318" t="s">
        <v>886</v>
      </c>
      <c r="D318" t="s">
        <v>221</v>
      </c>
    </row>
    <row r="319" spans="1:4" x14ac:dyDescent="0.25">
      <c r="A319" t="s">
        <v>419</v>
      </c>
      <c r="B319">
        <v>36</v>
      </c>
      <c r="C319" t="s">
        <v>125</v>
      </c>
      <c r="D319" t="s">
        <v>401</v>
      </c>
    </row>
    <row r="320" spans="1:4" x14ac:dyDescent="0.25">
      <c r="A320" t="s">
        <v>330</v>
      </c>
      <c r="B320">
        <v>24</v>
      </c>
      <c r="C320" t="s">
        <v>125</v>
      </c>
      <c r="D320" t="s">
        <v>331</v>
      </c>
    </row>
    <row r="321" spans="1:4" x14ac:dyDescent="0.25">
      <c r="A321" t="s">
        <v>250</v>
      </c>
      <c r="B321">
        <v>24</v>
      </c>
      <c r="C321" t="s">
        <v>125</v>
      </c>
      <c r="D321" t="s">
        <v>249</v>
      </c>
    </row>
    <row r="322" spans="1:4" x14ac:dyDescent="0.25">
      <c r="A322" t="s">
        <v>345</v>
      </c>
      <c r="B322">
        <v>23</v>
      </c>
      <c r="C322" t="s">
        <v>125</v>
      </c>
      <c r="D322" t="s">
        <v>346</v>
      </c>
    </row>
    <row r="323" spans="1:4" x14ac:dyDescent="0.25">
      <c r="A323" t="s">
        <v>473</v>
      </c>
      <c r="B323">
        <v>23</v>
      </c>
      <c r="C323" t="s">
        <v>125</v>
      </c>
      <c r="D323" t="s">
        <v>474</v>
      </c>
    </row>
    <row r="324" spans="1:4" x14ac:dyDescent="0.25">
      <c r="A324" t="s">
        <v>475</v>
      </c>
      <c r="B324">
        <v>19</v>
      </c>
      <c r="C324" t="s">
        <v>125</v>
      </c>
      <c r="D324" t="s">
        <v>476</v>
      </c>
    </row>
    <row r="325" spans="1:4" x14ac:dyDescent="0.25">
      <c r="A325" t="s">
        <v>251</v>
      </c>
      <c r="B325">
        <v>16</v>
      </c>
      <c r="C325" t="s">
        <v>125</v>
      </c>
      <c r="D325" t="s">
        <v>249</v>
      </c>
    </row>
    <row r="326" spans="1:4" x14ac:dyDescent="0.25">
      <c r="A326" t="s">
        <v>471</v>
      </c>
      <c r="B326">
        <v>15</v>
      </c>
      <c r="C326" t="s">
        <v>125</v>
      </c>
      <c r="D326" t="s">
        <v>472</v>
      </c>
    </row>
    <row r="327" spans="1:4" x14ac:dyDescent="0.25">
      <c r="A327" t="s">
        <v>260</v>
      </c>
      <c r="B327">
        <v>14</v>
      </c>
      <c r="C327" t="s">
        <v>125</v>
      </c>
      <c r="D327" t="s">
        <v>249</v>
      </c>
    </row>
    <row r="328" spans="1:4" x14ac:dyDescent="0.25">
      <c r="A328" t="s">
        <v>258</v>
      </c>
      <c r="B328">
        <v>13</v>
      </c>
      <c r="C328" t="s">
        <v>125</v>
      </c>
      <c r="D328" t="s">
        <v>249</v>
      </c>
    </row>
    <row r="329" spans="1:4" x14ac:dyDescent="0.25">
      <c r="A329" t="s">
        <v>421</v>
      </c>
      <c r="B329">
        <v>11</v>
      </c>
      <c r="C329" t="s">
        <v>125</v>
      </c>
      <c r="D329" t="s">
        <v>401</v>
      </c>
    </row>
    <row r="330" spans="1:4" x14ac:dyDescent="0.25">
      <c r="A330" t="s">
        <v>359</v>
      </c>
      <c r="B330">
        <v>10</v>
      </c>
      <c r="C330" t="s">
        <v>125</v>
      </c>
      <c r="D330" t="s">
        <v>360</v>
      </c>
    </row>
    <row r="331" spans="1:4" x14ac:dyDescent="0.25">
      <c r="A331" t="s">
        <v>448</v>
      </c>
      <c r="B331">
        <v>9</v>
      </c>
      <c r="C331" t="s">
        <v>125</v>
      </c>
      <c r="D331" t="s">
        <v>442</v>
      </c>
    </row>
    <row r="332" spans="1:4" x14ac:dyDescent="0.25">
      <c r="A332" t="s">
        <v>395</v>
      </c>
      <c r="B332">
        <v>8</v>
      </c>
      <c r="C332" t="s">
        <v>125</v>
      </c>
      <c r="D332" t="s">
        <v>396</v>
      </c>
    </row>
    <row r="333" spans="1:4" x14ac:dyDescent="0.25">
      <c r="A333" t="s">
        <v>468</v>
      </c>
      <c r="B333">
        <v>7</v>
      </c>
      <c r="C333" t="s">
        <v>125</v>
      </c>
      <c r="D333" t="s">
        <v>469</v>
      </c>
    </row>
    <row r="334" spans="1:4" x14ac:dyDescent="0.25">
      <c r="A334" t="s">
        <v>293</v>
      </c>
      <c r="B334">
        <v>7</v>
      </c>
      <c r="C334" t="s">
        <v>125</v>
      </c>
      <c r="D334" t="s">
        <v>294</v>
      </c>
    </row>
    <row r="335" spans="1:4" x14ac:dyDescent="0.25">
      <c r="A335" t="s">
        <v>423</v>
      </c>
      <c r="B335">
        <v>6</v>
      </c>
      <c r="C335" t="s">
        <v>125</v>
      </c>
      <c r="D335" t="s">
        <v>401</v>
      </c>
    </row>
    <row r="336" spans="1:4" x14ac:dyDescent="0.25">
      <c r="A336" t="s">
        <v>299</v>
      </c>
      <c r="B336">
        <v>5</v>
      </c>
      <c r="C336" t="s">
        <v>125</v>
      </c>
      <c r="D336" t="s">
        <v>298</v>
      </c>
    </row>
    <row r="337" spans="1:4" x14ac:dyDescent="0.25">
      <c r="A337" t="s">
        <v>234</v>
      </c>
      <c r="B337">
        <v>4</v>
      </c>
      <c r="C337" t="s">
        <v>886</v>
      </c>
      <c r="D337" t="s">
        <v>235</v>
      </c>
    </row>
    <row r="338" spans="1:4" x14ac:dyDescent="0.25">
      <c r="A338" t="s">
        <v>271</v>
      </c>
      <c r="B338">
        <v>3</v>
      </c>
      <c r="C338" t="s">
        <v>125</v>
      </c>
      <c r="D338" t="s">
        <v>249</v>
      </c>
    </row>
    <row r="339" spans="1:4" x14ac:dyDescent="0.25">
      <c r="A339" t="s">
        <v>402</v>
      </c>
      <c r="B339">
        <v>3</v>
      </c>
      <c r="C339" t="s">
        <v>125</v>
      </c>
      <c r="D339" t="s">
        <v>401</v>
      </c>
    </row>
    <row r="340" spans="1:4" x14ac:dyDescent="0.25">
      <c r="A340" t="s">
        <v>272</v>
      </c>
      <c r="B340">
        <v>2</v>
      </c>
      <c r="C340" t="s">
        <v>125</v>
      </c>
      <c r="D340" t="s">
        <v>249</v>
      </c>
    </row>
    <row r="341" spans="1:4" x14ac:dyDescent="0.25">
      <c r="A341" t="s">
        <v>17</v>
      </c>
      <c r="B341">
        <v>26</v>
      </c>
    </row>
    <row r="342" spans="1:4" x14ac:dyDescent="0.25">
      <c r="A342" t="s">
        <v>191</v>
      </c>
      <c r="B342">
        <v>4934</v>
      </c>
      <c r="C342" t="s">
        <v>886</v>
      </c>
      <c r="D342" t="s">
        <v>192</v>
      </c>
    </row>
    <row r="343" spans="1:4" x14ac:dyDescent="0.25">
      <c r="A343" t="s">
        <v>208</v>
      </c>
      <c r="B343">
        <v>2029</v>
      </c>
      <c r="C343" t="s">
        <v>886</v>
      </c>
      <c r="D343" t="s">
        <v>209</v>
      </c>
    </row>
    <row r="344" spans="1:4" x14ac:dyDescent="0.25">
      <c r="A344" t="s">
        <v>185</v>
      </c>
      <c r="B344">
        <v>1023</v>
      </c>
      <c r="C344" t="s">
        <v>886</v>
      </c>
      <c r="D344" t="s">
        <v>186</v>
      </c>
    </row>
    <row r="345" spans="1:4" x14ac:dyDescent="0.25">
      <c r="A345" t="s">
        <v>326</v>
      </c>
      <c r="B345">
        <v>259</v>
      </c>
      <c r="C345" t="s">
        <v>125</v>
      </c>
      <c r="D345" t="s">
        <v>325</v>
      </c>
    </row>
    <row r="346" spans="1:4" x14ac:dyDescent="0.25">
      <c r="A346" t="s">
        <v>188</v>
      </c>
      <c r="B346">
        <v>175</v>
      </c>
      <c r="C346" t="s">
        <v>886</v>
      </c>
      <c r="D346" t="s">
        <v>189</v>
      </c>
    </row>
    <row r="347" spans="1:4" x14ac:dyDescent="0.25">
      <c r="A347" t="s">
        <v>314</v>
      </c>
      <c r="B347">
        <v>32</v>
      </c>
      <c r="C347" t="s">
        <v>125</v>
      </c>
      <c r="D347" t="s">
        <v>315</v>
      </c>
    </row>
    <row r="348" spans="1:4" x14ac:dyDescent="0.25">
      <c r="A348" t="s">
        <v>473</v>
      </c>
      <c r="B348">
        <v>31</v>
      </c>
      <c r="C348" t="s">
        <v>125</v>
      </c>
      <c r="D348" t="s">
        <v>474</v>
      </c>
    </row>
    <row r="349" spans="1:4" x14ac:dyDescent="0.25">
      <c r="A349" t="s">
        <v>200</v>
      </c>
      <c r="B349">
        <v>28</v>
      </c>
      <c r="C349" t="s">
        <v>886</v>
      </c>
      <c r="D349" t="s">
        <v>201</v>
      </c>
    </row>
    <row r="350" spans="1:4" x14ac:dyDescent="0.25">
      <c r="A350" t="s">
        <v>340</v>
      </c>
      <c r="B350">
        <v>26</v>
      </c>
      <c r="C350" t="s">
        <v>125</v>
      </c>
      <c r="D350" t="s">
        <v>341</v>
      </c>
    </row>
    <row r="351" spans="1:4" x14ac:dyDescent="0.25">
      <c r="A351" t="s">
        <v>316</v>
      </c>
      <c r="B351">
        <v>25</v>
      </c>
      <c r="C351" t="s">
        <v>125</v>
      </c>
      <c r="D351" t="s">
        <v>315</v>
      </c>
    </row>
    <row r="352" spans="1:4" x14ac:dyDescent="0.25">
      <c r="A352" t="s">
        <v>479</v>
      </c>
      <c r="B352">
        <v>21</v>
      </c>
      <c r="C352" t="s">
        <v>125</v>
      </c>
      <c r="D352" t="s">
        <v>478</v>
      </c>
    </row>
    <row r="353" spans="1:4" x14ac:dyDescent="0.25">
      <c r="A353" t="s">
        <v>446</v>
      </c>
      <c r="B353">
        <v>18</v>
      </c>
      <c r="C353" t="s">
        <v>125</v>
      </c>
      <c r="D353" t="s">
        <v>442</v>
      </c>
    </row>
    <row r="354" spans="1:4" x14ac:dyDescent="0.25">
      <c r="A354" t="s">
        <v>289</v>
      </c>
      <c r="B354">
        <v>15</v>
      </c>
      <c r="C354" t="s">
        <v>125</v>
      </c>
      <c r="D354" t="s">
        <v>290</v>
      </c>
    </row>
    <row r="355" spans="1:4" x14ac:dyDescent="0.25">
      <c r="A355" t="s">
        <v>353</v>
      </c>
      <c r="B355">
        <v>13</v>
      </c>
      <c r="C355" t="s">
        <v>125</v>
      </c>
      <c r="D355" t="s">
        <v>354</v>
      </c>
    </row>
    <row r="356" spans="1:4" x14ac:dyDescent="0.25">
      <c r="A356" t="s">
        <v>259</v>
      </c>
      <c r="B356">
        <v>12</v>
      </c>
      <c r="C356" t="s">
        <v>125</v>
      </c>
      <c r="D356" t="s">
        <v>249</v>
      </c>
    </row>
    <row r="357" spans="1:4" x14ac:dyDescent="0.25">
      <c r="A357" t="s">
        <v>355</v>
      </c>
      <c r="B357">
        <v>11</v>
      </c>
      <c r="C357" t="s">
        <v>125</v>
      </c>
      <c r="D357" t="s">
        <v>356</v>
      </c>
    </row>
    <row r="358" spans="1:4" x14ac:dyDescent="0.25">
      <c r="A358" t="s">
        <v>251</v>
      </c>
      <c r="B358">
        <v>9</v>
      </c>
      <c r="C358" t="s">
        <v>125</v>
      </c>
      <c r="D358" t="s">
        <v>249</v>
      </c>
    </row>
    <row r="359" spans="1:4" x14ac:dyDescent="0.25">
      <c r="A359" t="s">
        <v>194</v>
      </c>
      <c r="B359">
        <v>9</v>
      </c>
      <c r="C359" t="s">
        <v>886</v>
      </c>
      <c r="D359" t="s">
        <v>195</v>
      </c>
    </row>
    <row r="360" spans="1:4" x14ac:dyDescent="0.25">
      <c r="A360" t="s">
        <v>217</v>
      </c>
      <c r="B360">
        <v>8</v>
      </c>
      <c r="C360" t="s">
        <v>886</v>
      </c>
      <c r="D360" t="s">
        <v>218</v>
      </c>
    </row>
    <row r="361" spans="1:4" x14ac:dyDescent="0.25">
      <c r="A361" t="s">
        <v>461</v>
      </c>
      <c r="B361">
        <v>8</v>
      </c>
      <c r="C361" t="s">
        <v>125</v>
      </c>
      <c r="D361" t="s">
        <v>462</v>
      </c>
    </row>
    <row r="362" spans="1:4" x14ac:dyDescent="0.25">
      <c r="A362" t="s">
        <v>214</v>
      </c>
      <c r="B362">
        <v>8</v>
      </c>
      <c r="C362" t="s">
        <v>886</v>
      </c>
      <c r="D362" t="s">
        <v>215</v>
      </c>
    </row>
    <row r="363" spans="1:4" x14ac:dyDescent="0.25">
      <c r="A363" t="s">
        <v>220</v>
      </c>
      <c r="B363">
        <v>5</v>
      </c>
      <c r="C363" t="s">
        <v>886</v>
      </c>
      <c r="D363" t="s">
        <v>221</v>
      </c>
    </row>
    <row r="364" spans="1:4" x14ac:dyDescent="0.25">
      <c r="A364" t="s">
        <v>203</v>
      </c>
      <c r="B364">
        <v>4</v>
      </c>
      <c r="C364" t="s">
        <v>886</v>
      </c>
      <c r="D364" t="s">
        <v>204</v>
      </c>
    </row>
    <row r="365" spans="1:4" x14ac:dyDescent="0.25">
      <c r="A365" t="s">
        <v>310</v>
      </c>
      <c r="B365">
        <v>4</v>
      </c>
      <c r="C365" t="s">
        <v>125</v>
      </c>
      <c r="D365" t="s">
        <v>311</v>
      </c>
    </row>
    <row r="366" spans="1:4" x14ac:dyDescent="0.25">
      <c r="A366" t="s">
        <v>258</v>
      </c>
      <c r="B366">
        <v>4</v>
      </c>
      <c r="C366" t="s">
        <v>125</v>
      </c>
      <c r="D366" t="s">
        <v>249</v>
      </c>
    </row>
    <row r="367" spans="1:4" x14ac:dyDescent="0.25">
      <c r="A367" t="s">
        <v>484</v>
      </c>
      <c r="B367">
        <v>2</v>
      </c>
      <c r="C367" t="s">
        <v>125</v>
      </c>
      <c r="D367" t="s">
        <v>478</v>
      </c>
    </row>
    <row r="368" spans="1:4" x14ac:dyDescent="0.25">
      <c r="A368" t="s">
        <v>18</v>
      </c>
      <c r="B368">
        <v>40</v>
      </c>
    </row>
    <row r="369" spans="1:4" x14ac:dyDescent="0.25">
      <c r="A369" t="s">
        <v>191</v>
      </c>
      <c r="B369">
        <v>7342</v>
      </c>
      <c r="C369" t="s">
        <v>886</v>
      </c>
      <c r="D369" t="s">
        <v>192</v>
      </c>
    </row>
    <row r="370" spans="1:4" x14ac:dyDescent="0.25">
      <c r="A370" t="s">
        <v>185</v>
      </c>
      <c r="B370">
        <v>5567</v>
      </c>
      <c r="C370" t="s">
        <v>886</v>
      </c>
      <c r="D370" t="s">
        <v>186</v>
      </c>
    </row>
    <row r="371" spans="1:4" x14ac:dyDescent="0.25">
      <c r="A371" t="s">
        <v>188</v>
      </c>
      <c r="B371">
        <v>911</v>
      </c>
      <c r="C371" t="s">
        <v>886</v>
      </c>
      <c r="D371" t="s">
        <v>189</v>
      </c>
    </row>
    <row r="372" spans="1:4" x14ac:dyDescent="0.25">
      <c r="A372" t="s">
        <v>208</v>
      </c>
      <c r="B372">
        <v>828</v>
      </c>
      <c r="C372" t="s">
        <v>886</v>
      </c>
      <c r="D372" t="s">
        <v>209</v>
      </c>
    </row>
    <row r="373" spans="1:4" x14ac:dyDescent="0.25">
      <c r="A373" t="s">
        <v>206</v>
      </c>
      <c r="B373">
        <v>788</v>
      </c>
      <c r="C373" t="s">
        <v>886</v>
      </c>
      <c r="D373" t="s">
        <v>189</v>
      </c>
    </row>
    <row r="374" spans="1:4" x14ac:dyDescent="0.25">
      <c r="A374" t="s">
        <v>314</v>
      </c>
      <c r="B374">
        <v>359</v>
      </c>
      <c r="C374" t="s">
        <v>125</v>
      </c>
      <c r="D374" t="s">
        <v>315</v>
      </c>
    </row>
    <row r="375" spans="1:4" x14ac:dyDescent="0.25">
      <c r="A375" t="s">
        <v>419</v>
      </c>
      <c r="B375">
        <v>165</v>
      </c>
      <c r="C375" t="s">
        <v>125</v>
      </c>
      <c r="D375" t="s">
        <v>401</v>
      </c>
    </row>
    <row r="376" spans="1:4" x14ac:dyDescent="0.25">
      <c r="A376" t="s">
        <v>317</v>
      </c>
      <c r="B376">
        <v>145</v>
      </c>
      <c r="C376" t="s">
        <v>125</v>
      </c>
      <c r="D376" t="s">
        <v>318</v>
      </c>
    </row>
    <row r="377" spans="1:4" x14ac:dyDescent="0.25">
      <c r="A377" t="s">
        <v>326</v>
      </c>
      <c r="B377">
        <v>130</v>
      </c>
      <c r="C377" t="s">
        <v>125</v>
      </c>
      <c r="D377" t="s">
        <v>325</v>
      </c>
    </row>
    <row r="378" spans="1:4" x14ac:dyDescent="0.25">
      <c r="A378" t="s">
        <v>200</v>
      </c>
      <c r="B378">
        <v>130</v>
      </c>
      <c r="C378" t="s">
        <v>886</v>
      </c>
      <c r="D378" t="s">
        <v>201</v>
      </c>
    </row>
    <row r="379" spans="1:4" x14ac:dyDescent="0.25">
      <c r="A379" t="s">
        <v>340</v>
      </c>
      <c r="B379">
        <v>119</v>
      </c>
      <c r="C379" t="s">
        <v>125</v>
      </c>
      <c r="D379" t="s">
        <v>341</v>
      </c>
    </row>
    <row r="380" spans="1:4" x14ac:dyDescent="0.25">
      <c r="A380" t="s">
        <v>383</v>
      </c>
      <c r="B380">
        <v>116</v>
      </c>
      <c r="C380" t="s">
        <v>125</v>
      </c>
      <c r="D380" t="s">
        <v>382</v>
      </c>
    </row>
    <row r="381" spans="1:4" x14ac:dyDescent="0.25">
      <c r="A381" t="s">
        <v>214</v>
      </c>
      <c r="B381">
        <v>101</v>
      </c>
      <c r="C381" t="s">
        <v>886</v>
      </c>
      <c r="D381" t="s">
        <v>215</v>
      </c>
    </row>
    <row r="382" spans="1:4" x14ac:dyDescent="0.25">
      <c r="A382" t="s">
        <v>203</v>
      </c>
      <c r="B382">
        <v>56</v>
      </c>
      <c r="C382" t="s">
        <v>886</v>
      </c>
      <c r="D382" t="s">
        <v>204</v>
      </c>
    </row>
    <row r="383" spans="1:4" x14ac:dyDescent="0.25">
      <c r="A383" t="s">
        <v>479</v>
      </c>
      <c r="B383">
        <v>53</v>
      </c>
      <c r="C383" t="s">
        <v>125</v>
      </c>
      <c r="D383" t="s">
        <v>478</v>
      </c>
    </row>
    <row r="384" spans="1:4" x14ac:dyDescent="0.25">
      <c r="A384" t="s">
        <v>446</v>
      </c>
      <c r="B384">
        <v>51</v>
      </c>
      <c r="C384" t="s">
        <v>125</v>
      </c>
      <c r="D384" t="s">
        <v>442</v>
      </c>
    </row>
    <row r="385" spans="1:4" x14ac:dyDescent="0.25">
      <c r="A385" t="s">
        <v>328</v>
      </c>
      <c r="B385">
        <v>38</v>
      </c>
      <c r="C385" t="s">
        <v>125</v>
      </c>
      <c r="D385" t="s">
        <v>325</v>
      </c>
    </row>
    <row r="386" spans="1:4" x14ac:dyDescent="0.25">
      <c r="A386" t="s">
        <v>324</v>
      </c>
      <c r="B386">
        <v>38</v>
      </c>
      <c r="C386" t="s">
        <v>125</v>
      </c>
      <c r="D386" t="s">
        <v>325</v>
      </c>
    </row>
    <row r="387" spans="1:4" x14ac:dyDescent="0.25">
      <c r="A387" t="s">
        <v>289</v>
      </c>
      <c r="B387">
        <v>35</v>
      </c>
      <c r="C387" t="s">
        <v>125</v>
      </c>
      <c r="D387" t="s">
        <v>290</v>
      </c>
    </row>
    <row r="388" spans="1:4" x14ac:dyDescent="0.25">
      <c r="A388" t="s">
        <v>316</v>
      </c>
      <c r="B388">
        <v>34</v>
      </c>
      <c r="C388" t="s">
        <v>125</v>
      </c>
      <c r="D388" t="s">
        <v>315</v>
      </c>
    </row>
    <row r="389" spans="1:4" x14ac:dyDescent="0.25">
      <c r="A389" t="s">
        <v>217</v>
      </c>
      <c r="B389">
        <v>34</v>
      </c>
      <c r="C389" t="s">
        <v>886</v>
      </c>
      <c r="D389" t="s">
        <v>218</v>
      </c>
    </row>
    <row r="390" spans="1:4" x14ac:dyDescent="0.25">
      <c r="A390" t="s">
        <v>259</v>
      </c>
      <c r="B390">
        <v>33</v>
      </c>
      <c r="C390" t="s">
        <v>125</v>
      </c>
      <c r="D390" t="s">
        <v>249</v>
      </c>
    </row>
    <row r="391" spans="1:4" x14ac:dyDescent="0.25">
      <c r="A391" t="s">
        <v>194</v>
      </c>
      <c r="B391">
        <v>32</v>
      </c>
      <c r="C391" t="s">
        <v>886</v>
      </c>
      <c r="D391" t="s">
        <v>195</v>
      </c>
    </row>
    <row r="392" spans="1:4" x14ac:dyDescent="0.25">
      <c r="A392" t="s">
        <v>251</v>
      </c>
      <c r="B392">
        <v>29</v>
      </c>
      <c r="C392" t="s">
        <v>125</v>
      </c>
      <c r="D392" t="s">
        <v>249</v>
      </c>
    </row>
    <row r="393" spans="1:4" x14ac:dyDescent="0.25">
      <c r="A393" t="s">
        <v>226</v>
      </c>
      <c r="B393">
        <v>26</v>
      </c>
      <c r="C393" t="s">
        <v>886</v>
      </c>
      <c r="D393" t="s">
        <v>227</v>
      </c>
    </row>
    <row r="394" spans="1:4" x14ac:dyDescent="0.25">
      <c r="A394" t="s">
        <v>255</v>
      </c>
      <c r="B394">
        <v>25</v>
      </c>
      <c r="C394" t="s">
        <v>125</v>
      </c>
      <c r="D394" t="s">
        <v>249</v>
      </c>
    </row>
    <row r="395" spans="1:4" x14ac:dyDescent="0.25">
      <c r="A395" t="s">
        <v>473</v>
      </c>
      <c r="B395">
        <v>25</v>
      </c>
      <c r="C395" t="s">
        <v>125</v>
      </c>
      <c r="D395" t="s">
        <v>474</v>
      </c>
    </row>
    <row r="396" spans="1:4" x14ac:dyDescent="0.25">
      <c r="A396" t="s">
        <v>471</v>
      </c>
      <c r="B396">
        <v>24</v>
      </c>
      <c r="C396" t="s">
        <v>125</v>
      </c>
      <c r="D396" t="s">
        <v>472</v>
      </c>
    </row>
    <row r="397" spans="1:4" x14ac:dyDescent="0.25">
      <c r="A397" t="s">
        <v>304</v>
      </c>
      <c r="B397">
        <v>22</v>
      </c>
      <c r="C397" t="s">
        <v>125</v>
      </c>
      <c r="D397" t="s">
        <v>305</v>
      </c>
    </row>
    <row r="398" spans="1:4" x14ac:dyDescent="0.25">
      <c r="A398" t="s">
        <v>220</v>
      </c>
      <c r="B398">
        <v>17</v>
      </c>
      <c r="C398" t="s">
        <v>886</v>
      </c>
      <c r="D398" t="s">
        <v>221</v>
      </c>
    </row>
    <row r="399" spans="1:4" x14ac:dyDescent="0.25">
      <c r="A399" t="s">
        <v>330</v>
      </c>
      <c r="B399">
        <v>17</v>
      </c>
      <c r="C399" t="s">
        <v>125</v>
      </c>
      <c r="D399" t="s">
        <v>331</v>
      </c>
    </row>
    <row r="400" spans="1:4" x14ac:dyDescent="0.25">
      <c r="A400" t="s">
        <v>273</v>
      </c>
      <c r="B400">
        <v>17</v>
      </c>
      <c r="C400" t="s">
        <v>125</v>
      </c>
      <c r="D400" t="s">
        <v>249</v>
      </c>
    </row>
    <row r="401" spans="1:4" x14ac:dyDescent="0.25">
      <c r="A401" t="s">
        <v>260</v>
      </c>
      <c r="B401">
        <v>10</v>
      </c>
      <c r="C401" t="s">
        <v>125</v>
      </c>
      <c r="D401" t="s">
        <v>249</v>
      </c>
    </row>
    <row r="402" spans="1:4" x14ac:dyDescent="0.25">
      <c r="A402" t="s">
        <v>453</v>
      </c>
      <c r="B402">
        <v>8</v>
      </c>
      <c r="C402" t="s">
        <v>125</v>
      </c>
      <c r="D402" t="s">
        <v>442</v>
      </c>
    </row>
    <row r="403" spans="1:4" x14ac:dyDescent="0.25">
      <c r="A403" t="s">
        <v>355</v>
      </c>
      <c r="B403">
        <v>7</v>
      </c>
      <c r="C403" t="s">
        <v>125</v>
      </c>
      <c r="D403" t="s">
        <v>356</v>
      </c>
    </row>
    <row r="404" spans="1:4" x14ac:dyDescent="0.25">
      <c r="A404" t="s">
        <v>468</v>
      </c>
      <c r="B404">
        <v>7</v>
      </c>
      <c r="C404" t="s">
        <v>125</v>
      </c>
      <c r="D404" t="s">
        <v>469</v>
      </c>
    </row>
    <row r="405" spans="1:4" x14ac:dyDescent="0.25">
      <c r="A405" t="s">
        <v>299</v>
      </c>
      <c r="B405">
        <v>5</v>
      </c>
      <c r="C405" t="s">
        <v>125</v>
      </c>
      <c r="D405" t="s">
        <v>298</v>
      </c>
    </row>
    <row r="406" spans="1:4" x14ac:dyDescent="0.25">
      <c r="A406" t="s">
        <v>271</v>
      </c>
      <c r="B406">
        <v>4</v>
      </c>
      <c r="C406" t="s">
        <v>125</v>
      </c>
      <c r="D406" t="s">
        <v>249</v>
      </c>
    </row>
    <row r="407" spans="1:4" x14ac:dyDescent="0.25">
      <c r="A407" t="s">
        <v>421</v>
      </c>
      <c r="B407">
        <v>3</v>
      </c>
      <c r="C407" t="s">
        <v>125</v>
      </c>
      <c r="D407" t="s">
        <v>401</v>
      </c>
    </row>
    <row r="408" spans="1:4" x14ac:dyDescent="0.25">
      <c r="A408" t="s">
        <v>223</v>
      </c>
      <c r="B408">
        <v>3</v>
      </c>
      <c r="C408" t="s">
        <v>886</v>
      </c>
      <c r="D408" t="s">
        <v>224</v>
      </c>
    </row>
    <row r="409" spans="1:4" x14ac:dyDescent="0.25">
      <c r="A409" t="s">
        <v>19</v>
      </c>
      <c r="B409">
        <v>30</v>
      </c>
    </row>
    <row r="410" spans="1:4" x14ac:dyDescent="0.25">
      <c r="A410" t="s">
        <v>185</v>
      </c>
      <c r="B410">
        <v>8126</v>
      </c>
      <c r="C410" t="s">
        <v>886</v>
      </c>
      <c r="D410" t="s">
        <v>186</v>
      </c>
    </row>
    <row r="411" spans="1:4" x14ac:dyDescent="0.25">
      <c r="A411" t="s">
        <v>340</v>
      </c>
      <c r="B411">
        <v>3165</v>
      </c>
      <c r="C411" t="s">
        <v>125</v>
      </c>
      <c r="D411" t="s">
        <v>341</v>
      </c>
    </row>
    <row r="412" spans="1:4" x14ac:dyDescent="0.25">
      <c r="A412" t="s">
        <v>191</v>
      </c>
      <c r="B412">
        <v>1050</v>
      </c>
      <c r="C412" t="s">
        <v>886</v>
      </c>
      <c r="D412" t="s">
        <v>192</v>
      </c>
    </row>
    <row r="413" spans="1:4" x14ac:dyDescent="0.25">
      <c r="A413" t="s">
        <v>214</v>
      </c>
      <c r="B413">
        <v>987</v>
      </c>
      <c r="C413" t="s">
        <v>886</v>
      </c>
      <c r="D413" t="s">
        <v>215</v>
      </c>
    </row>
    <row r="414" spans="1:4" x14ac:dyDescent="0.25">
      <c r="A414" t="s">
        <v>385</v>
      </c>
      <c r="B414">
        <v>430</v>
      </c>
      <c r="C414" t="s">
        <v>125</v>
      </c>
      <c r="D414" t="s">
        <v>386</v>
      </c>
    </row>
    <row r="415" spans="1:4" x14ac:dyDescent="0.25">
      <c r="A415" t="s">
        <v>208</v>
      </c>
      <c r="B415">
        <v>259</v>
      </c>
      <c r="C415" t="s">
        <v>886</v>
      </c>
      <c r="D415" t="s">
        <v>209</v>
      </c>
    </row>
    <row r="416" spans="1:4" x14ac:dyDescent="0.25">
      <c r="A416" t="s">
        <v>320</v>
      </c>
      <c r="B416">
        <v>222</v>
      </c>
      <c r="C416" t="s">
        <v>125</v>
      </c>
      <c r="D416" t="s">
        <v>321</v>
      </c>
    </row>
    <row r="417" spans="1:4" x14ac:dyDescent="0.25">
      <c r="A417" t="s">
        <v>326</v>
      </c>
      <c r="B417">
        <v>197</v>
      </c>
      <c r="C417" t="s">
        <v>125</v>
      </c>
      <c r="D417" t="s">
        <v>325</v>
      </c>
    </row>
    <row r="418" spans="1:4" x14ac:dyDescent="0.25">
      <c r="A418" t="s">
        <v>203</v>
      </c>
      <c r="B418">
        <v>88</v>
      </c>
      <c r="C418" t="s">
        <v>886</v>
      </c>
      <c r="D418" t="s">
        <v>204</v>
      </c>
    </row>
    <row r="419" spans="1:4" x14ac:dyDescent="0.25">
      <c r="A419" t="s">
        <v>330</v>
      </c>
      <c r="B419">
        <v>74</v>
      </c>
      <c r="C419" t="s">
        <v>125</v>
      </c>
      <c r="D419" t="s">
        <v>331</v>
      </c>
    </row>
    <row r="420" spans="1:4" x14ac:dyDescent="0.25">
      <c r="A420" t="s">
        <v>206</v>
      </c>
      <c r="B420">
        <v>50</v>
      </c>
      <c r="C420" t="s">
        <v>886</v>
      </c>
      <c r="D420" t="s">
        <v>189</v>
      </c>
    </row>
    <row r="421" spans="1:4" x14ac:dyDescent="0.25">
      <c r="A421" t="s">
        <v>479</v>
      </c>
      <c r="B421">
        <v>47</v>
      </c>
      <c r="C421" t="s">
        <v>125</v>
      </c>
      <c r="D421" t="s">
        <v>478</v>
      </c>
    </row>
    <row r="422" spans="1:4" x14ac:dyDescent="0.25">
      <c r="A422" t="s">
        <v>314</v>
      </c>
      <c r="B422">
        <v>38</v>
      </c>
      <c r="C422" t="s">
        <v>125</v>
      </c>
      <c r="D422" t="s">
        <v>315</v>
      </c>
    </row>
    <row r="423" spans="1:4" x14ac:dyDescent="0.25">
      <c r="A423" t="s">
        <v>473</v>
      </c>
      <c r="B423">
        <v>38</v>
      </c>
      <c r="C423" t="s">
        <v>125</v>
      </c>
      <c r="D423" t="s">
        <v>474</v>
      </c>
    </row>
    <row r="424" spans="1:4" x14ac:dyDescent="0.25">
      <c r="A424" t="s">
        <v>266</v>
      </c>
      <c r="B424">
        <v>35</v>
      </c>
      <c r="C424" t="s">
        <v>125</v>
      </c>
      <c r="D424" t="s">
        <v>249</v>
      </c>
    </row>
    <row r="425" spans="1:4" x14ac:dyDescent="0.25">
      <c r="A425" t="s">
        <v>200</v>
      </c>
      <c r="B425">
        <v>35</v>
      </c>
      <c r="C425" t="s">
        <v>886</v>
      </c>
      <c r="D425" t="s">
        <v>201</v>
      </c>
    </row>
    <row r="426" spans="1:4" x14ac:dyDescent="0.25">
      <c r="A426" t="s">
        <v>446</v>
      </c>
      <c r="B426">
        <v>33</v>
      </c>
      <c r="C426" t="s">
        <v>125</v>
      </c>
      <c r="D426" t="s">
        <v>442</v>
      </c>
    </row>
    <row r="427" spans="1:4" x14ac:dyDescent="0.25">
      <c r="A427" t="s">
        <v>250</v>
      </c>
      <c r="B427">
        <v>32</v>
      </c>
      <c r="C427" t="s">
        <v>125</v>
      </c>
      <c r="D427" t="s">
        <v>249</v>
      </c>
    </row>
    <row r="428" spans="1:4" x14ac:dyDescent="0.25">
      <c r="A428" t="s">
        <v>217</v>
      </c>
      <c r="B428">
        <v>22</v>
      </c>
      <c r="C428" t="s">
        <v>886</v>
      </c>
      <c r="D428" t="s">
        <v>218</v>
      </c>
    </row>
    <row r="429" spans="1:4" x14ac:dyDescent="0.25">
      <c r="A429" t="s">
        <v>419</v>
      </c>
      <c r="B429">
        <v>19</v>
      </c>
      <c r="C429" t="s">
        <v>125</v>
      </c>
      <c r="D429" t="s">
        <v>401</v>
      </c>
    </row>
    <row r="430" spans="1:4" x14ac:dyDescent="0.25">
      <c r="A430" t="s">
        <v>300</v>
      </c>
      <c r="B430">
        <v>19</v>
      </c>
      <c r="C430" t="s">
        <v>125</v>
      </c>
      <c r="D430" t="s">
        <v>301</v>
      </c>
    </row>
    <row r="431" spans="1:4" x14ac:dyDescent="0.25">
      <c r="A431" t="s">
        <v>304</v>
      </c>
      <c r="B431">
        <v>11</v>
      </c>
      <c r="C431" t="s">
        <v>125</v>
      </c>
      <c r="D431" t="s">
        <v>305</v>
      </c>
    </row>
    <row r="432" spans="1:4" x14ac:dyDescent="0.25">
      <c r="A432" t="s">
        <v>455</v>
      </c>
      <c r="B432">
        <v>10</v>
      </c>
      <c r="C432" t="s">
        <v>125</v>
      </c>
      <c r="D432" t="s">
        <v>442</v>
      </c>
    </row>
    <row r="433" spans="1:4" x14ac:dyDescent="0.25">
      <c r="A433" t="s">
        <v>293</v>
      </c>
      <c r="B433">
        <v>7</v>
      </c>
      <c r="C433" t="s">
        <v>125</v>
      </c>
      <c r="D433" t="s">
        <v>294</v>
      </c>
    </row>
    <row r="434" spans="1:4" x14ac:dyDescent="0.25">
      <c r="A434" t="s">
        <v>220</v>
      </c>
      <c r="B434">
        <v>5</v>
      </c>
      <c r="C434" t="s">
        <v>886</v>
      </c>
      <c r="D434" t="s">
        <v>221</v>
      </c>
    </row>
    <row r="435" spans="1:4" x14ac:dyDescent="0.25">
      <c r="A435" t="s">
        <v>274</v>
      </c>
      <c r="B435">
        <v>5</v>
      </c>
      <c r="C435" t="s">
        <v>125</v>
      </c>
      <c r="D435" t="s">
        <v>249</v>
      </c>
    </row>
    <row r="436" spans="1:4" x14ac:dyDescent="0.25">
      <c r="A436" t="s">
        <v>270</v>
      </c>
      <c r="B436">
        <v>5</v>
      </c>
      <c r="C436" t="s">
        <v>125</v>
      </c>
      <c r="D436" t="s">
        <v>249</v>
      </c>
    </row>
    <row r="437" spans="1:4" x14ac:dyDescent="0.25">
      <c r="A437" t="s">
        <v>447</v>
      </c>
      <c r="B437">
        <v>3</v>
      </c>
      <c r="C437" t="s">
        <v>125</v>
      </c>
      <c r="D437" t="s">
        <v>442</v>
      </c>
    </row>
    <row r="438" spans="1:4" x14ac:dyDescent="0.25">
      <c r="A438" t="s">
        <v>258</v>
      </c>
      <c r="B438">
        <v>3</v>
      </c>
      <c r="C438" t="s">
        <v>125</v>
      </c>
      <c r="D438" t="s">
        <v>249</v>
      </c>
    </row>
    <row r="439" spans="1:4" x14ac:dyDescent="0.25">
      <c r="A439" t="s">
        <v>454</v>
      </c>
      <c r="B439">
        <v>3</v>
      </c>
      <c r="C439" t="s">
        <v>125</v>
      </c>
      <c r="D439" t="s">
        <v>442</v>
      </c>
    </row>
    <row r="440" spans="1:4" x14ac:dyDescent="0.25">
      <c r="A440" t="s">
        <v>20</v>
      </c>
      <c r="B440">
        <v>15</v>
      </c>
    </row>
    <row r="441" spans="1:4" x14ac:dyDescent="0.25">
      <c r="A441" t="s">
        <v>191</v>
      </c>
      <c r="B441">
        <v>10712</v>
      </c>
      <c r="C441" t="s">
        <v>886</v>
      </c>
      <c r="D441" t="s">
        <v>192</v>
      </c>
    </row>
    <row r="442" spans="1:4" x14ac:dyDescent="0.25">
      <c r="A442" t="s">
        <v>185</v>
      </c>
      <c r="B442">
        <v>2067</v>
      </c>
      <c r="C442" t="s">
        <v>886</v>
      </c>
      <c r="D442" t="s">
        <v>186</v>
      </c>
    </row>
    <row r="443" spans="1:4" x14ac:dyDescent="0.25">
      <c r="A443" t="s">
        <v>424</v>
      </c>
      <c r="B443">
        <v>2032</v>
      </c>
      <c r="C443" t="s">
        <v>125</v>
      </c>
      <c r="D443" t="s">
        <v>401</v>
      </c>
    </row>
    <row r="444" spans="1:4" x14ac:dyDescent="0.25">
      <c r="A444" t="s">
        <v>353</v>
      </c>
      <c r="B444">
        <v>1828</v>
      </c>
      <c r="C444" t="s">
        <v>125</v>
      </c>
      <c r="D444" t="s">
        <v>354</v>
      </c>
    </row>
    <row r="445" spans="1:4" x14ac:dyDescent="0.25">
      <c r="A445" t="s">
        <v>240</v>
      </c>
      <c r="B445">
        <v>373</v>
      </c>
      <c r="C445" t="s">
        <v>886</v>
      </c>
      <c r="D445" t="s">
        <v>241</v>
      </c>
    </row>
    <row r="446" spans="1:4" x14ac:dyDescent="0.25">
      <c r="A446" t="s">
        <v>208</v>
      </c>
      <c r="B446">
        <v>182</v>
      </c>
      <c r="C446" t="s">
        <v>886</v>
      </c>
      <c r="D446" t="s">
        <v>209</v>
      </c>
    </row>
    <row r="447" spans="1:4" x14ac:dyDescent="0.25">
      <c r="A447" t="s">
        <v>203</v>
      </c>
      <c r="B447">
        <v>151</v>
      </c>
      <c r="C447" t="s">
        <v>886</v>
      </c>
      <c r="D447" t="s">
        <v>204</v>
      </c>
    </row>
    <row r="448" spans="1:4" x14ac:dyDescent="0.25">
      <c r="A448" t="s">
        <v>425</v>
      </c>
      <c r="B448">
        <v>147</v>
      </c>
      <c r="C448" t="s">
        <v>125</v>
      </c>
      <c r="D448" t="s">
        <v>401</v>
      </c>
    </row>
    <row r="449" spans="1:4" x14ac:dyDescent="0.25">
      <c r="A449" t="s">
        <v>188</v>
      </c>
      <c r="B449">
        <v>146</v>
      </c>
      <c r="C449" t="s">
        <v>886</v>
      </c>
      <c r="D449" t="s">
        <v>189</v>
      </c>
    </row>
    <row r="450" spans="1:4" x14ac:dyDescent="0.25">
      <c r="A450" t="s">
        <v>258</v>
      </c>
      <c r="B450">
        <v>53</v>
      </c>
      <c r="C450" t="s">
        <v>125</v>
      </c>
      <c r="D450" t="s">
        <v>249</v>
      </c>
    </row>
    <row r="451" spans="1:4" x14ac:dyDescent="0.25">
      <c r="A451" t="s">
        <v>314</v>
      </c>
      <c r="B451">
        <v>45</v>
      </c>
      <c r="C451" t="s">
        <v>125</v>
      </c>
      <c r="D451" t="s">
        <v>315</v>
      </c>
    </row>
    <row r="452" spans="1:4" x14ac:dyDescent="0.25">
      <c r="A452" t="s">
        <v>351</v>
      </c>
      <c r="B452">
        <v>30</v>
      </c>
      <c r="C452" t="s">
        <v>125</v>
      </c>
      <c r="D452" t="s">
        <v>352</v>
      </c>
    </row>
    <row r="453" spans="1:4" x14ac:dyDescent="0.25">
      <c r="A453" t="s">
        <v>214</v>
      </c>
      <c r="B453">
        <v>27</v>
      </c>
      <c r="C453" t="s">
        <v>886</v>
      </c>
      <c r="D453" t="s">
        <v>215</v>
      </c>
    </row>
    <row r="454" spans="1:4" x14ac:dyDescent="0.25">
      <c r="A454" t="s">
        <v>426</v>
      </c>
      <c r="B454">
        <v>15</v>
      </c>
      <c r="C454" t="s">
        <v>125</v>
      </c>
      <c r="D454" t="s">
        <v>401</v>
      </c>
    </row>
    <row r="455" spans="1:4" x14ac:dyDescent="0.25">
      <c r="A455" t="s">
        <v>326</v>
      </c>
      <c r="B455">
        <v>13</v>
      </c>
      <c r="C455" t="s">
        <v>125</v>
      </c>
      <c r="D455" t="s">
        <v>325</v>
      </c>
    </row>
    <row r="456" spans="1:4" x14ac:dyDescent="0.25">
      <c r="A456" t="s">
        <v>21</v>
      </c>
      <c r="B456">
        <v>15</v>
      </c>
    </row>
    <row r="457" spans="1:4" x14ac:dyDescent="0.25">
      <c r="A457" t="s">
        <v>340</v>
      </c>
      <c r="B457">
        <v>9558</v>
      </c>
      <c r="C457" t="s">
        <v>125</v>
      </c>
      <c r="D457" t="s">
        <v>341</v>
      </c>
    </row>
    <row r="458" spans="1:4" x14ac:dyDescent="0.25">
      <c r="A458" t="s">
        <v>191</v>
      </c>
      <c r="B458">
        <v>1124</v>
      </c>
      <c r="C458" t="s">
        <v>886</v>
      </c>
      <c r="D458" t="s">
        <v>192</v>
      </c>
    </row>
    <row r="459" spans="1:4" x14ac:dyDescent="0.25">
      <c r="A459" t="s">
        <v>185</v>
      </c>
      <c r="B459">
        <v>357</v>
      </c>
      <c r="C459" t="s">
        <v>886</v>
      </c>
      <c r="D459" t="s">
        <v>186</v>
      </c>
    </row>
    <row r="460" spans="1:4" x14ac:dyDescent="0.25">
      <c r="A460" t="s">
        <v>214</v>
      </c>
      <c r="B460">
        <v>70</v>
      </c>
      <c r="C460" t="s">
        <v>886</v>
      </c>
      <c r="D460" t="s">
        <v>215</v>
      </c>
    </row>
    <row r="461" spans="1:4" x14ac:dyDescent="0.25">
      <c r="A461" t="s">
        <v>320</v>
      </c>
      <c r="B461">
        <v>52</v>
      </c>
      <c r="C461" t="s">
        <v>125</v>
      </c>
      <c r="D461" t="s">
        <v>321</v>
      </c>
    </row>
    <row r="462" spans="1:4" x14ac:dyDescent="0.25">
      <c r="A462" t="s">
        <v>304</v>
      </c>
      <c r="B462">
        <v>34</v>
      </c>
      <c r="C462" t="s">
        <v>125</v>
      </c>
      <c r="D462" t="s">
        <v>305</v>
      </c>
    </row>
    <row r="463" spans="1:4" x14ac:dyDescent="0.25">
      <c r="A463" t="s">
        <v>208</v>
      </c>
      <c r="B463">
        <v>31</v>
      </c>
      <c r="C463" t="s">
        <v>886</v>
      </c>
      <c r="D463" t="s">
        <v>209</v>
      </c>
    </row>
    <row r="464" spans="1:4" x14ac:dyDescent="0.25">
      <c r="A464" t="s">
        <v>326</v>
      </c>
      <c r="B464">
        <v>18</v>
      </c>
      <c r="C464" t="s">
        <v>125</v>
      </c>
      <c r="D464" t="s">
        <v>325</v>
      </c>
    </row>
    <row r="465" spans="1:4" x14ac:dyDescent="0.25">
      <c r="A465" t="s">
        <v>446</v>
      </c>
      <c r="B465">
        <v>14</v>
      </c>
      <c r="C465" t="s">
        <v>125</v>
      </c>
      <c r="D465" t="s">
        <v>442</v>
      </c>
    </row>
    <row r="466" spans="1:4" x14ac:dyDescent="0.25">
      <c r="A466" t="s">
        <v>203</v>
      </c>
      <c r="B466">
        <v>14</v>
      </c>
      <c r="C466" t="s">
        <v>886</v>
      </c>
      <c r="D466" t="s">
        <v>204</v>
      </c>
    </row>
    <row r="467" spans="1:4" x14ac:dyDescent="0.25">
      <c r="A467" t="s">
        <v>206</v>
      </c>
      <c r="B467">
        <v>11</v>
      </c>
      <c r="C467" t="s">
        <v>886</v>
      </c>
      <c r="D467" t="s">
        <v>189</v>
      </c>
    </row>
    <row r="468" spans="1:4" x14ac:dyDescent="0.25">
      <c r="A468" t="s">
        <v>194</v>
      </c>
      <c r="B468">
        <v>10</v>
      </c>
      <c r="C468" t="s">
        <v>886</v>
      </c>
      <c r="D468" t="s">
        <v>195</v>
      </c>
    </row>
    <row r="469" spans="1:4" x14ac:dyDescent="0.25">
      <c r="A469" t="s">
        <v>273</v>
      </c>
      <c r="B469">
        <v>8</v>
      </c>
      <c r="C469" t="s">
        <v>125</v>
      </c>
      <c r="D469" t="s">
        <v>249</v>
      </c>
    </row>
    <row r="470" spans="1:4" x14ac:dyDescent="0.25">
      <c r="A470" t="s">
        <v>479</v>
      </c>
      <c r="B470">
        <v>5</v>
      </c>
      <c r="C470" t="s">
        <v>125</v>
      </c>
      <c r="D470" t="s">
        <v>478</v>
      </c>
    </row>
    <row r="471" spans="1:4" x14ac:dyDescent="0.25">
      <c r="A471" t="s">
        <v>471</v>
      </c>
      <c r="B471">
        <v>5</v>
      </c>
      <c r="C471" t="s">
        <v>125</v>
      </c>
      <c r="D471" t="s">
        <v>472</v>
      </c>
    </row>
    <row r="472" spans="1:4" x14ac:dyDescent="0.25">
      <c r="A472" t="s">
        <v>22</v>
      </c>
      <c r="B472">
        <v>23</v>
      </c>
    </row>
    <row r="473" spans="1:4" x14ac:dyDescent="0.25">
      <c r="A473" t="s">
        <v>340</v>
      </c>
      <c r="B473">
        <v>17790</v>
      </c>
      <c r="C473" t="s">
        <v>125</v>
      </c>
      <c r="D473" t="s">
        <v>341</v>
      </c>
    </row>
    <row r="474" spans="1:4" x14ac:dyDescent="0.25">
      <c r="A474" t="s">
        <v>185</v>
      </c>
      <c r="B474">
        <v>3803</v>
      </c>
      <c r="C474" t="s">
        <v>886</v>
      </c>
      <c r="D474" t="s">
        <v>186</v>
      </c>
    </row>
    <row r="475" spans="1:4" x14ac:dyDescent="0.25">
      <c r="A475" t="s">
        <v>191</v>
      </c>
      <c r="B475">
        <v>366</v>
      </c>
      <c r="C475" t="s">
        <v>886</v>
      </c>
      <c r="D475" t="s">
        <v>192</v>
      </c>
    </row>
    <row r="476" spans="1:4" x14ac:dyDescent="0.25">
      <c r="A476" t="s">
        <v>208</v>
      </c>
      <c r="B476">
        <v>125</v>
      </c>
      <c r="C476" t="s">
        <v>886</v>
      </c>
      <c r="D476" t="s">
        <v>209</v>
      </c>
    </row>
    <row r="477" spans="1:4" x14ac:dyDescent="0.25">
      <c r="A477" t="s">
        <v>326</v>
      </c>
      <c r="B477">
        <v>61</v>
      </c>
      <c r="C477" t="s">
        <v>125</v>
      </c>
      <c r="D477" t="s">
        <v>325</v>
      </c>
    </row>
    <row r="478" spans="1:4" x14ac:dyDescent="0.25">
      <c r="A478" t="s">
        <v>446</v>
      </c>
      <c r="B478">
        <v>49</v>
      </c>
      <c r="C478" t="s">
        <v>125</v>
      </c>
      <c r="D478" t="s">
        <v>442</v>
      </c>
    </row>
    <row r="479" spans="1:4" x14ac:dyDescent="0.25">
      <c r="A479" t="s">
        <v>206</v>
      </c>
      <c r="B479">
        <v>37</v>
      </c>
      <c r="C479" t="s">
        <v>886</v>
      </c>
      <c r="D479" t="s">
        <v>189</v>
      </c>
    </row>
    <row r="480" spans="1:4" x14ac:dyDescent="0.25">
      <c r="A480" t="s">
        <v>314</v>
      </c>
      <c r="B480">
        <v>32</v>
      </c>
      <c r="C480" t="s">
        <v>125</v>
      </c>
      <c r="D480" t="s">
        <v>315</v>
      </c>
    </row>
    <row r="481" spans="1:4" x14ac:dyDescent="0.25">
      <c r="A481" t="s">
        <v>203</v>
      </c>
      <c r="B481">
        <v>31</v>
      </c>
      <c r="C481" t="s">
        <v>886</v>
      </c>
      <c r="D481" t="s">
        <v>204</v>
      </c>
    </row>
    <row r="482" spans="1:4" x14ac:dyDescent="0.25">
      <c r="A482" t="s">
        <v>217</v>
      </c>
      <c r="B482">
        <v>28</v>
      </c>
      <c r="C482" t="s">
        <v>886</v>
      </c>
      <c r="D482" t="s">
        <v>218</v>
      </c>
    </row>
    <row r="483" spans="1:4" x14ac:dyDescent="0.25">
      <c r="A483" t="s">
        <v>250</v>
      </c>
      <c r="B483">
        <v>27</v>
      </c>
      <c r="C483" t="s">
        <v>125</v>
      </c>
      <c r="D483" t="s">
        <v>249</v>
      </c>
    </row>
    <row r="484" spans="1:4" x14ac:dyDescent="0.25">
      <c r="A484" t="s">
        <v>330</v>
      </c>
      <c r="B484">
        <v>20</v>
      </c>
      <c r="C484" t="s">
        <v>125</v>
      </c>
      <c r="D484" t="s">
        <v>331</v>
      </c>
    </row>
    <row r="485" spans="1:4" x14ac:dyDescent="0.25">
      <c r="A485" t="s">
        <v>200</v>
      </c>
      <c r="B485">
        <v>19</v>
      </c>
      <c r="C485" t="s">
        <v>886</v>
      </c>
      <c r="D485" t="s">
        <v>201</v>
      </c>
    </row>
    <row r="486" spans="1:4" x14ac:dyDescent="0.25">
      <c r="A486" t="s">
        <v>479</v>
      </c>
      <c r="B486">
        <v>18</v>
      </c>
      <c r="C486" t="s">
        <v>125</v>
      </c>
      <c r="D486" t="s">
        <v>478</v>
      </c>
    </row>
    <row r="487" spans="1:4" x14ac:dyDescent="0.25">
      <c r="A487" t="s">
        <v>385</v>
      </c>
      <c r="B487">
        <v>16</v>
      </c>
      <c r="C487" t="s">
        <v>125</v>
      </c>
      <c r="D487" t="s">
        <v>386</v>
      </c>
    </row>
    <row r="488" spans="1:4" x14ac:dyDescent="0.25">
      <c r="A488" t="s">
        <v>471</v>
      </c>
      <c r="B488">
        <v>13</v>
      </c>
      <c r="C488" t="s">
        <v>125</v>
      </c>
      <c r="D488" t="s">
        <v>472</v>
      </c>
    </row>
    <row r="489" spans="1:4" x14ac:dyDescent="0.25">
      <c r="A489" t="s">
        <v>473</v>
      </c>
      <c r="B489">
        <v>11</v>
      </c>
      <c r="C489" t="s">
        <v>125</v>
      </c>
      <c r="D489" t="s">
        <v>474</v>
      </c>
    </row>
    <row r="490" spans="1:4" x14ac:dyDescent="0.25">
      <c r="A490" t="s">
        <v>261</v>
      </c>
      <c r="B490">
        <v>7</v>
      </c>
      <c r="C490" t="s">
        <v>125</v>
      </c>
      <c r="D490" t="s">
        <v>249</v>
      </c>
    </row>
    <row r="491" spans="1:4" x14ac:dyDescent="0.25">
      <c r="A491" t="s">
        <v>275</v>
      </c>
      <c r="B491">
        <v>6</v>
      </c>
      <c r="C491" t="s">
        <v>125</v>
      </c>
      <c r="D491" t="s">
        <v>249</v>
      </c>
    </row>
    <row r="492" spans="1:4" x14ac:dyDescent="0.25">
      <c r="A492" t="s">
        <v>445</v>
      </c>
      <c r="B492">
        <v>6</v>
      </c>
      <c r="C492" t="s">
        <v>125</v>
      </c>
      <c r="D492" t="s">
        <v>442</v>
      </c>
    </row>
    <row r="493" spans="1:4" x14ac:dyDescent="0.25">
      <c r="A493" t="s">
        <v>468</v>
      </c>
      <c r="B493">
        <v>3</v>
      </c>
      <c r="C493" t="s">
        <v>125</v>
      </c>
      <c r="D493" t="s">
        <v>469</v>
      </c>
    </row>
    <row r="494" spans="1:4" x14ac:dyDescent="0.25">
      <c r="A494" t="s">
        <v>293</v>
      </c>
      <c r="B494">
        <v>3</v>
      </c>
      <c r="C494" t="s">
        <v>125</v>
      </c>
      <c r="D494" t="s">
        <v>294</v>
      </c>
    </row>
    <row r="495" spans="1:4" x14ac:dyDescent="0.25">
      <c r="A495" t="s">
        <v>304</v>
      </c>
      <c r="B495">
        <v>2</v>
      </c>
      <c r="C495" t="s">
        <v>125</v>
      </c>
      <c r="D495" t="s">
        <v>305</v>
      </c>
    </row>
    <row r="496" spans="1:4" x14ac:dyDescent="0.25">
      <c r="A496" t="s">
        <v>23</v>
      </c>
      <c r="B496">
        <v>20</v>
      </c>
    </row>
    <row r="497" spans="1:4" x14ac:dyDescent="0.25">
      <c r="A497" t="s">
        <v>214</v>
      </c>
      <c r="B497">
        <v>5899</v>
      </c>
      <c r="C497" t="s">
        <v>886</v>
      </c>
      <c r="D497" t="s">
        <v>215</v>
      </c>
    </row>
    <row r="498" spans="1:4" x14ac:dyDescent="0.25">
      <c r="A498" t="s">
        <v>191</v>
      </c>
      <c r="B498">
        <v>2815</v>
      </c>
      <c r="C498" t="s">
        <v>886</v>
      </c>
      <c r="D498" t="s">
        <v>192</v>
      </c>
    </row>
    <row r="499" spans="1:4" x14ac:dyDescent="0.25">
      <c r="A499" t="s">
        <v>340</v>
      </c>
      <c r="B499">
        <v>364</v>
      </c>
      <c r="C499" t="s">
        <v>125</v>
      </c>
      <c r="D499" t="s">
        <v>341</v>
      </c>
    </row>
    <row r="500" spans="1:4" x14ac:dyDescent="0.25">
      <c r="A500" t="s">
        <v>258</v>
      </c>
      <c r="B500">
        <v>319</v>
      </c>
      <c r="C500" t="s">
        <v>125</v>
      </c>
      <c r="D500" t="s">
        <v>249</v>
      </c>
    </row>
    <row r="501" spans="1:4" x14ac:dyDescent="0.25">
      <c r="A501" t="s">
        <v>185</v>
      </c>
      <c r="B501">
        <v>185</v>
      </c>
      <c r="C501" t="s">
        <v>886</v>
      </c>
      <c r="D501" t="s">
        <v>186</v>
      </c>
    </row>
    <row r="502" spans="1:4" x14ac:dyDescent="0.25">
      <c r="A502" t="s">
        <v>208</v>
      </c>
      <c r="B502">
        <v>148</v>
      </c>
      <c r="C502" t="s">
        <v>886</v>
      </c>
      <c r="D502" t="s">
        <v>209</v>
      </c>
    </row>
    <row r="503" spans="1:4" x14ac:dyDescent="0.25">
      <c r="A503" t="s">
        <v>328</v>
      </c>
      <c r="B503">
        <v>113</v>
      </c>
      <c r="C503" t="s">
        <v>125</v>
      </c>
      <c r="D503" t="s">
        <v>325</v>
      </c>
    </row>
    <row r="504" spans="1:4" x14ac:dyDescent="0.25">
      <c r="A504" t="s">
        <v>314</v>
      </c>
      <c r="B504">
        <v>68</v>
      </c>
      <c r="C504" t="s">
        <v>125</v>
      </c>
      <c r="D504" t="s">
        <v>315</v>
      </c>
    </row>
    <row r="505" spans="1:4" x14ac:dyDescent="0.25">
      <c r="A505" t="s">
        <v>194</v>
      </c>
      <c r="B505">
        <v>40</v>
      </c>
      <c r="C505" t="s">
        <v>886</v>
      </c>
      <c r="D505" t="s">
        <v>195</v>
      </c>
    </row>
    <row r="506" spans="1:4" x14ac:dyDescent="0.25">
      <c r="A506" t="s">
        <v>226</v>
      </c>
      <c r="B506">
        <v>36</v>
      </c>
      <c r="C506" t="s">
        <v>886</v>
      </c>
      <c r="D506" t="s">
        <v>227</v>
      </c>
    </row>
    <row r="507" spans="1:4" x14ac:dyDescent="0.25">
      <c r="A507" t="s">
        <v>422</v>
      </c>
      <c r="B507">
        <v>25</v>
      </c>
      <c r="C507" t="s">
        <v>125</v>
      </c>
      <c r="D507" t="s">
        <v>401</v>
      </c>
    </row>
    <row r="508" spans="1:4" x14ac:dyDescent="0.25">
      <c r="A508" t="s">
        <v>188</v>
      </c>
      <c r="B508">
        <v>22</v>
      </c>
      <c r="C508" t="s">
        <v>886</v>
      </c>
      <c r="D508" t="s">
        <v>189</v>
      </c>
    </row>
    <row r="509" spans="1:4" x14ac:dyDescent="0.25">
      <c r="A509" t="s">
        <v>389</v>
      </c>
      <c r="B509">
        <v>11</v>
      </c>
      <c r="C509" t="s">
        <v>125</v>
      </c>
      <c r="D509" t="s">
        <v>390</v>
      </c>
    </row>
    <row r="510" spans="1:4" x14ac:dyDescent="0.25">
      <c r="A510" t="s">
        <v>339</v>
      </c>
      <c r="B510">
        <v>10</v>
      </c>
      <c r="C510" t="s">
        <v>125</v>
      </c>
      <c r="D510" t="s">
        <v>338</v>
      </c>
    </row>
    <row r="511" spans="1:4" x14ac:dyDescent="0.25">
      <c r="A511" t="s">
        <v>229</v>
      </c>
      <c r="B511">
        <v>9</v>
      </c>
      <c r="C511" t="s">
        <v>886</v>
      </c>
      <c r="D511" t="s">
        <v>230</v>
      </c>
    </row>
    <row r="512" spans="1:4" x14ac:dyDescent="0.25">
      <c r="A512" t="s">
        <v>441</v>
      </c>
      <c r="B512">
        <v>5</v>
      </c>
      <c r="C512" t="s">
        <v>125</v>
      </c>
      <c r="D512" t="s">
        <v>442</v>
      </c>
    </row>
    <row r="513" spans="1:4" x14ac:dyDescent="0.25">
      <c r="A513" t="s">
        <v>450</v>
      </c>
      <c r="B513">
        <v>4</v>
      </c>
      <c r="C513" t="s">
        <v>125</v>
      </c>
      <c r="D513" t="s">
        <v>442</v>
      </c>
    </row>
    <row r="514" spans="1:4" x14ac:dyDescent="0.25">
      <c r="A514" t="s">
        <v>489</v>
      </c>
      <c r="B514">
        <v>3</v>
      </c>
      <c r="C514" t="s">
        <v>125</v>
      </c>
      <c r="D514" t="s">
        <v>488</v>
      </c>
    </row>
    <row r="515" spans="1:4" x14ac:dyDescent="0.25">
      <c r="A515" t="s">
        <v>353</v>
      </c>
      <c r="B515">
        <v>3</v>
      </c>
      <c r="C515" t="s">
        <v>125</v>
      </c>
      <c r="D515" t="s">
        <v>354</v>
      </c>
    </row>
    <row r="516" spans="1:4" x14ac:dyDescent="0.25">
      <c r="A516" t="s">
        <v>276</v>
      </c>
      <c r="B516">
        <v>2</v>
      </c>
      <c r="C516" t="s">
        <v>125</v>
      </c>
      <c r="D516" t="s">
        <v>249</v>
      </c>
    </row>
    <row r="517" spans="1:4" x14ac:dyDescent="0.25">
      <c r="A517" t="s">
        <v>24</v>
      </c>
      <c r="B517">
        <v>38</v>
      </c>
    </row>
    <row r="518" spans="1:4" x14ac:dyDescent="0.25">
      <c r="A518" t="s">
        <v>185</v>
      </c>
      <c r="B518">
        <v>14036</v>
      </c>
      <c r="C518" t="s">
        <v>886</v>
      </c>
      <c r="D518" t="s">
        <v>186</v>
      </c>
    </row>
    <row r="519" spans="1:4" x14ac:dyDescent="0.25">
      <c r="A519" t="s">
        <v>326</v>
      </c>
      <c r="B519">
        <v>1375</v>
      </c>
      <c r="C519" t="s">
        <v>125</v>
      </c>
      <c r="D519" t="s">
        <v>325</v>
      </c>
    </row>
    <row r="520" spans="1:4" x14ac:dyDescent="0.25">
      <c r="A520" t="s">
        <v>191</v>
      </c>
      <c r="B520">
        <v>850</v>
      </c>
      <c r="C520" t="s">
        <v>886</v>
      </c>
      <c r="D520" t="s">
        <v>192</v>
      </c>
    </row>
    <row r="521" spans="1:4" x14ac:dyDescent="0.25">
      <c r="A521" t="s">
        <v>208</v>
      </c>
      <c r="B521">
        <v>694</v>
      </c>
      <c r="C521" t="s">
        <v>886</v>
      </c>
      <c r="D521" t="s">
        <v>209</v>
      </c>
    </row>
    <row r="522" spans="1:4" x14ac:dyDescent="0.25">
      <c r="A522" t="s">
        <v>340</v>
      </c>
      <c r="B522">
        <v>177</v>
      </c>
      <c r="C522" t="s">
        <v>125</v>
      </c>
      <c r="D522" t="s">
        <v>341</v>
      </c>
    </row>
    <row r="523" spans="1:4" x14ac:dyDescent="0.25">
      <c r="A523" t="s">
        <v>200</v>
      </c>
      <c r="B523">
        <v>71</v>
      </c>
      <c r="C523" t="s">
        <v>886</v>
      </c>
      <c r="D523" t="s">
        <v>201</v>
      </c>
    </row>
    <row r="524" spans="1:4" x14ac:dyDescent="0.25">
      <c r="A524" t="s">
        <v>217</v>
      </c>
      <c r="B524">
        <v>54</v>
      </c>
      <c r="C524" t="s">
        <v>886</v>
      </c>
      <c r="D524" t="s">
        <v>218</v>
      </c>
    </row>
    <row r="525" spans="1:4" x14ac:dyDescent="0.25">
      <c r="A525" t="s">
        <v>203</v>
      </c>
      <c r="B525">
        <v>51</v>
      </c>
      <c r="C525" t="s">
        <v>886</v>
      </c>
      <c r="D525" t="s">
        <v>204</v>
      </c>
    </row>
    <row r="526" spans="1:4" x14ac:dyDescent="0.25">
      <c r="A526" t="s">
        <v>420</v>
      </c>
      <c r="B526">
        <v>51</v>
      </c>
      <c r="C526" t="s">
        <v>125</v>
      </c>
      <c r="D526" t="s">
        <v>401</v>
      </c>
    </row>
    <row r="527" spans="1:4" x14ac:dyDescent="0.25">
      <c r="A527" t="s">
        <v>314</v>
      </c>
      <c r="B527">
        <v>46</v>
      </c>
      <c r="C527" t="s">
        <v>125</v>
      </c>
      <c r="D527" t="s">
        <v>315</v>
      </c>
    </row>
    <row r="528" spans="1:4" x14ac:dyDescent="0.25">
      <c r="A528" t="s">
        <v>251</v>
      </c>
      <c r="B528">
        <v>45</v>
      </c>
      <c r="C528" t="s">
        <v>125</v>
      </c>
      <c r="D528" t="s">
        <v>249</v>
      </c>
    </row>
    <row r="529" spans="1:4" x14ac:dyDescent="0.25">
      <c r="A529" t="s">
        <v>266</v>
      </c>
      <c r="B529">
        <v>44</v>
      </c>
      <c r="C529" t="s">
        <v>125</v>
      </c>
      <c r="D529" t="s">
        <v>249</v>
      </c>
    </row>
    <row r="530" spans="1:4" x14ac:dyDescent="0.25">
      <c r="A530" t="s">
        <v>206</v>
      </c>
      <c r="B530">
        <v>37</v>
      </c>
      <c r="C530" t="s">
        <v>886</v>
      </c>
      <c r="D530" t="s">
        <v>189</v>
      </c>
    </row>
    <row r="531" spans="1:4" x14ac:dyDescent="0.25">
      <c r="A531" t="s">
        <v>446</v>
      </c>
      <c r="B531">
        <v>35</v>
      </c>
      <c r="C531" t="s">
        <v>125</v>
      </c>
      <c r="D531" t="s">
        <v>442</v>
      </c>
    </row>
    <row r="532" spans="1:4" x14ac:dyDescent="0.25">
      <c r="A532" t="s">
        <v>479</v>
      </c>
      <c r="B532">
        <v>34</v>
      </c>
      <c r="C532" t="s">
        <v>125</v>
      </c>
      <c r="D532" t="s">
        <v>478</v>
      </c>
    </row>
    <row r="533" spans="1:4" x14ac:dyDescent="0.25">
      <c r="A533" t="s">
        <v>304</v>
      </c>
      <c r="B533">
        <v>30</v>
      </c>
      <c r="C533" t="s">
        <v>125</v>
      </c>
      <c r="D533" t="s">
        <v>305</v>
      </c>
    </row>
    <row r="534" spans="1:4" x14ac:dyDescent="0.25">
      <c r="A534" t="s">
        <v>473</v>
      </c>
      <c r="B534">
        <v>28</v>
      </c>
      <c r="C534" t="s">
        <v>125</v>
      </c>
      <c r="D534" t="s">
        <v>474</v>
      </c>
    </row>
    <row r="535" spans="1:4" x14ac:dyDescent="0.25">
      <c r="A535" t="s">
        <v>328</v>
      </c>
      <c r="B535">
        <v>27</v>
      </c>
      <c r="C535" t="s">
        <v>125</v>
      </c>
      <c r="D535" t="s">
        <v>325</v>
      </c>
    </row>
    <row r="536" spans="1:4" x14ac:dyDescent="0.25">
      <c r="A536" t="s">
        <v>214</v>
      </c>
      <c r="B536">
        <v>25</v>
      </c>
      <c r="C536" t="s">
        <v>886</v>
      </c>
      <c r="D536" t="s">
        <v>215</v>
      </c>
    </row>
    <row r="537" spans="1:4" x14ac:dyDescent="0.25">
      <c r="A537" t="s">
        <v>293</v>
      </c>
      <c r="B537">
        <v>21</v>
      </c>
      <c r="C537" t="s">
        <v>125</v>
      </c>
      <c r="D537" t="s">
        <v>294</v>
      </c>
    </row>
    <row r="538" spans="1:4" x14ac:dyDescent="0.25">
      <c r="A538" t="s">
        <v>226</v>
      </c>
      <c r="B538">
        <v>14</v>
      </c>
      <c r="C538" t="s">
        <v>886</v>
      </c>
      <c r="D538" t="s">
        <v>227</v>
      </c>
    </row>
    <row r="539" spans="1:4" x14ac:dyDescent="0.25">
      <c r="A539" t="s">
        <v>197</v>
      </c>
      <c r="B539">
        <v>13</v>
      </c>
      <c r="C539" t="s">
        <v>886</v>
      </c>
      <c r="D539" t="s">
        <v>198</v>
      </c>
    </row>
    <row r="540" spans="1:4" x14ac:dyDescent="0.25">
      <c r="A540" t="s">
        <v>271</v>
      </c>
      <c r="B540">
        <v>13</v>
      </c>
      <c r="C540" t="s">
        <v>125</v>
      </c>
      <c r="D540" t="s">
        <v>249</v>
      </c>
    </row>
    <row r="541" spans="1:4" x14ac:dyDescent="0.25">
      <c r="A541" t="s">
        <v>358</v>
      </c>
      <c r="B541">
        <v>12</v>
      </c>
      <c r="C541" t="s">
        <v>125</v>
      </c>
      <c r="D541" t="s">
        <v>356</v>
      </c>
    </row>
    <row r="542" spans="1:4" x14ac:dyDescent="0.25">
      <c r="A542" t="s">
        <v>194</v>
      </c>
      <c r="B542">
        <v>11</v>
      </c>
      <c r="C542" t="s">
        <v>886</v>
      </c>
      <c r="D542" t="s">
        <v>195</v>
      </c>
    </row>
    <row r="543" spans="1:4" x14ac:dyDescent="0.25">
      <c r="A543" t="s">
        <v>261</v>
      </c>
      <c r="B543">
        <v>10</v>
      </c>
      <c r="C543" t="s">
        <v>125</v>
      </c>
      <c r="D543" t="s">
        <v>249</v>
      </c>
    </row>
    <row r="544" spans="1:4" x14ac:dyDescent="0.25">
      <c r="A544" t="s">
        <v>297</v>
      </c>
      <c r="B544">
        <v>8</v>
      </c>
      <c r="C544" t="s">
        <v>125</v>
      </c>
      <c r="D544" t="s">
        <v>298</v>
      </c>
    </row>
    <row r="545" spans="1:4" x14ac:dyDescent="0.25">
      <c r="A545" t="s">
        <v>471</v>
      </c>
      <c r="B545">
        <v>7</v>
      </c>
      <c r="C545" t="s">
        <v>125</v>
      </c>
      <c r="D545" t="s">
        <v>472</v>
      </c>
    </row>
    <row r="546" spans="1:4" x14ac:dyDescent="0.25">
      <c r="A546" t="s">
        <v>270</v>
      </c>
      <c r="B546">
        <v>6</v>
      </c>
      <c r="C546" t="s">
        <v>125</v>
      </c>
      <c r="D546" t="s">
        <v>249</v>
      </c>
    </row>
    <row r="547" spans="1:4" x14ac:dyDescent="0.25">
      <c r="A547" t="s">
        <v>453</v>
      </c>
      <c r="B547">
        <v>6</v>
      </c>
      <c r="C547" t="s">
        <v>125</v>
      </c>
      <c r="D547" t="s">
        <v>442</v>
      </c>
    </row>
    <row r="548" spans="1:4" x14ac:dyDescent="0.25">
      <c r="A548" t="s">
        <v>484</v>
      </c>
      <c r="B548">
        <v>6</v>
      </c>
      <c r="C548" t="s">
        <v>125</v>
      </c>
      <c r="D548" t="s">
        <v>478</v>
      </c>
    </row>
    <row r="549" spans="1:4" x14ac:dyDescent="0.25">
      <c r="A549" t="s">
        <v>274</v>
      </c>
      <c r="B549">
        <v>5</v>
      </c>
      <c r="C549" t="s">
        <v>125</v>
      </c>
      <c r="D549" t="s">
        <v>249</v>
      </c>
    </row>
    <row r="550" spans="1:4" x14ac:dyDescent="0.25">
      <c r="A550" t="s">
        <v>421</v>
      </c>
      <c r="B550">
        <v>3</v>
      </c>
      <c r="C550" t="s">
        <v>125</v>
      </c>
      <c r="D550" t="s">
        <v>401</v>
      </c>
    </row>
    <row r="551" spans="1:4" x14ac:dyDescent="0.25">
      <c r="A551" t="s">
        <v>234</v>
      </c>
      <c r="B551">
        <v>3</v>
      </c>
      <c r="C551" t="s">
        <v>886</v>
      </c>
      <c r="D551" t="s">
        <v>235</v>
      </c>
    </row>
    <row r="552" spans="1:4" x14ac:dyDescent="0.25">
      <c r="A552" t="s">
        <v>339</v>
      </c>
      <c r="B552">
        <v>3</v>
      </c>
      <c r="C552" t="s">
        <v>125</v>
      </c>
      <c r="D552" t="s">
        <v>338</v>
      </c>
    </row>
    <row r="553" spans="1:4" x14ac:dyDescent="0.25">
      <c r="A553" t="s">
        <v>347</v>
      </c>
      <c r="B553">
        <v>2</v>
      </c>
      <c r="C553" t="s">
        <v>125</v>
      </c>
      <c r="D553" t="s">
        <v>346</v>
      </c>
    </row>
    <row r="554" spans="1:4" x14ac:dyDescent="0.25">
      <c r="A554" t="s">
        <v>454</v>
      </c>
      <c r="B554">
        <v>2</v>
      </c>
      <c r="C554" t="s">
        <v>125</v>
      </c>
      <c r="D554" t="s">
        <v>442</v>
      </c>
    </row>
    <row r="555" spans="1:4" x14ac:dyDescent="0.25">
      <c r="A555" t="s">
        <v>295</v>
      </c>
      <c r="B555">
        <v>2</v>
      </c>
      <c r="C555" t="s">
        <v>125</v>
      </c>
      <c r="D555" t="s">
        <v>296</v>
      </c>
    </row>
    <row r="556" spans="1:4" x14ac:dyDescent="0.25">
      <c r="A556" t="s">
        <v>25</v>
      </c>
      <c r="B556">
        <v>41</v>
      </c>
    </row>
    <row r="557" spans="1:4" x14ac:dyDescent="0.25">
      <c r="A557" t="s">
        <v>208</v>
      </c>
      <c r="B557">
        <v>10002</v>
      </c>
      <c r="C557" t="s">
        <v>886</v>
      </c>
      <c r="D557" t="s">
        <v>209</v>
      </c>
    </row>
    <row r="558" spans="1:4" x14ac:dyDescent="0.25">
      <c r="A558" t="s">
        <v>185</v>
      </c>
      <c r="B558">
        <v>4118</v>
      </c>
      <c r="C558" t="s">
        <v>886</v>
      </c>
      <c r="D558" t="s">
        <v>186</v>
      </c>
    </row>
    <row r="559" spans="1:4" x14ac:dyDescent="0.25">
      <c r="A559" t="s">
        <v>191</v>
      </c>
      <c r="B559">
        <v>2006</v>
      </c>
      <c r="C559" t="s">
        <v>886</v>
      </c>
      <c r="D559" t="s">
        <v>192</v>
      </c>
    </row>
    <row r="560" spans="1:4" x14ac:dyDescent="0.25">
      <c r="A560" t="s">
        <v>326</v>
      </c>
      <c r="B560">
        <v>437</v>
      </c>
      <c r="C560" t="s">
        <v>125</v>
      </c>
      <c r="D560" t="s">
        <v>325</v>
      </c>
    </row>
    <row r="561" spans="1:4" x14ac:dyDescent="0.25">
      <c r="A561" t="s">
        <v>479</v>
      </c>
      <c r="B561">
        <v>405</v>
      </c>
      <c r="C561" t="s">
        <v>125</v>
      </c>
      <c r="D561" t="s">
        <v>478</v>
      </c>
    </row>
    <row r="562" spans="1:4" x14ac:dyDescent="0.25">
      <c r="A562" t="s">
        <v>340</v>
      </c>
      <c r="B562">
        <v>331</v>
      </c>
      <c r="C562" t="s">
        <v>125</v>
      </c>
      <c r="D562" t="s">
        <v>341</v>
      </c>
    </row>
    <row r="563" spans="1:4" x14ac:dyDescent="0.25">
      <c r="A563" t="s">
        <v>200</v>
      </c>
      <c r="B563">
        <v>265</v>
      </c>
      <c r="C563" t="s">
        <v>886</v>
      </c>
      <c r="D563" t="s">
        <v>201</v>
      </c>
    </row>
    <row r="564" spans="1:4" x14ac:dyDescent="0.25">
      <c r="A564" t="s">
        <v>255</v>
      </c>
      <c r="B564">
        <v>206</v>
      </c>
      <c r="C564" t="s">
        <v>125</v>
      </c>
      <c r="D564" t="s">
        <v>249</v>
      </c>
    </row>
    <row r="565" spans="1:4" x14ac:dyDescent="0.25">
      <c r="A565" t="s">
        <v>251</v>
      </c>
      <c r="B565">
        <v>202</v>
      </c>
      <c r="C565" t="s">
        <v>125</v>
      </c>
      <c r="D565" t="s">
        <v>249</v>
      </c>
    </row>
    <row r="566" spans="1:4" x14ac:dyDescent="0.25">
      <c r="A566" t="s">
        <v>446</v>
      </c>
      <c r="B566">
        <v>157</v>
      </c>
      <c r="C566" t="s">
        <v>125</v>
      </c>
      <c r="D566" t="s">
        <v>442</v>
      </c>
    </row>
    <row r="567" spans="1:4" x14ac:dyDescent="0.25">
      <c r="A567" t="s">
        <v>203</v>
      </c>
      <c r="B567">
        <v>154</v>
      </c>
      <c r="C567" t="s">
        <v>886</v>
      </c>
      <c r="D567" t="s">
        <v>204</v>
      </c>
    </row>
    <row r="568" spans="1:4" x14ac:dyDescent="0.25">
      <c r="A568" t="s">
        <v>274</v>
      </c>
      <c r="B568">
        <v>151</v>
      </c>
      <c r="C568" t="s">
        <v>125</v>
      </c>
      <c r="D568" t="s">
        <v>249</v>
      </c>
    </row>
    <row r="569" spans="1:4" x14ac:dyDescent="0.25">
      <c r="A569" t="s">
        <v>314</v>
      </c>
      <c r="B569">
        <v>136</v>
      </c>
      <c r="C569" t="s">
        <v>125</v>
      </c>
      <c r="D569" t="s">
        <v>315</v>
      </c>
    </row>
    <row r="570" spans="1:4" x14ac:dyDescent="0.25">
      <c r="A570" t="s">
        <v>232</v>
      </c>
      <c r="B570">
        <v>122</v>
      </c>
      <c r="C570" t="s">
        <v>886</v>
      </c>
      <c r="D570" t="s">
        <v>204</v>
      </c>
    </row>
    <row r="571" spans="1:4" x14ac:dyDescent="0.25">
      <c r="A571" t="s">
        <v>485</v>
      </c>
      <c r="B571">
        <v>83</v>
      </c>
      <c r="C571" t="s">
        <v>125</v>
      </c>
      <c r="D571" t="s">
        <v>478</v>
      </c>
    </row>
    <row r="572" spans="1:4" x14ac:dyDescent="0.25">
      <c r="A572" t="s">
        <v>206</v>
      </c>
      <c r="B572">
        <v>82</v>
      </c>
      <c r="C572" t="s">
        <v>886</v>
      </c>
      <c r="D572" t="s">
        <v>189</v>
      </c>
    </row>
    <row r="573" spans="1:4" x14ac:dyDescent="0.25">
      <c r="A573" t="s">
        <v>214</v>
      </c>
      <c r="B573">
        <v>80</v>
      </c>
      <c r="C573" t="s">
        <v>886</v>
      </c>
      <c r="D573" t="s">
        <v>215</v>
      </c>
    </row>
    <row r="574" spans="1:4" x14ac:dyDescent="0.25">
      <c r="A574" t="s">
        <v>304</v>
      </c>
      <c r="B574">
        <v>54</v>
      </c>
      <c r="C574" t="s">
        <v>125</v>
      </c>
      <c r="D574" t="s">
        <v>305</v>
      </c>
    </row>
    <row r="575" spans="1:4" x14ac:dyDescent="0.25">
      <c r="A575" t="s">
        <v>473</v>
      </c>
      <c r="B575">
        <v>53</v>
      </c>
      <c r="C575" t="s">
        <v>125</v>
      </c>
      <c r="D575" t="s">
        <v>474</v>
      </c>
    </row>
    <row r="576" spans="1:4" x14ac:dyDescent="0.25">
      <c r="A576" t="s">
        <v>385</v>
      </c>
      <c r="B576">
        <v>51</v>
      </c>
      <c r="C576" t="s">
        <v>125</v>
      </c>
      <c r="D576" t="s">
        <v>386</v>
      </c>
    </row>
    <row r="577" spans="1:4" x14ac:dyDescent="0.25">
      <c r="A577" t="s">
        <v>217</v>
      </c>
      <c r="B577">
        <v>44</v>
      </c>
      <c r="C577" t="s">
        <v>886</v>
      </c>
      <c r="D577" t="s">
        <v>218</v>
      </c>
    </row>
    <row r="578" spans="1:4" x14ac:dyDescent="0.25">
      <c r="A578" t="s">
        <v>330</v>
      </c>
      <c r="B578">
        <v>42</v>
      </c>
      <c r="C578" t="s">
        <v>125</v>
      </c>
      <c r="D578" t="s">
        <v>331</v>
      </c>
    </row>
    <row r="579" spans="1:4" x14ac:dyDescent="0.25">
      <c r="A579" t="s">
        <v>220</v>
      </c>
      <c r="B579">
        <v>35</v>
      </c>
      <c r="C579" t="s">
        <v>886</v>
      </c>
      <c r="D579" t="s">
        <v>221</v>
      </c>
    </row>
    <row r="580" spans="1:4" x14ac:dyDescent="0.25">
      <c r="A580" t="s">
        <v>289</v>
      </c>
      <c r="B580">
        <v>33</v>
      </c>
      <c r="C580" t="s">
        <v>125</v>
      </c>
      <c r="D580" t="s">
        <v>290</v>
      </c>
    </row>
    <row r="581" spans="1:4" x14ac:dyDescent="0.25">
      <c r="A581" t="s">
        <v>269</v>
      </c>
      <c r="B581">
        <v>28</v>
      </c>
      <c r="C581" t="s">
        <v>125</v>
      </c>
      <c r="D581" t="s">
        <v>249</v>
      </c>
    </row>
    <row r="582" spans="1:4" x14ac:dyDescent="0.25">
      <c r="A582" t="s">
        <v>421</v>
      </c>
      <c r="B582">
        <v>23</v>
      </c>
      <c r="C582" t="s">
        <v>125</v>
      </c>
      <c r="D582" t="s">
        <v>401</v>
      </c>
    </row>
    <row r="583" spans="1:4" x14ac:dyDescent="0.25">
      <c r="A583" t="s">
        <v>471</v>
      </c>
      <c r="B583">
        <v>22</v>
      </c>
      <c r="C583" t="s">
        <v>125</v>
      </c>
      <c r="D583" t="s">
        <v>472</v>
      </c>
    </row>
    <row r="584" spans="1:4" x14ac:dyDescent="0.25">
      <c r="A584" t="s">
        <v>250</v>
      </c>
      <c r="B584">
        <v>19</v>
      </c>
      <c r="C584" t="s">
        <v>125</v>
      </c>
      <c r="D584" t="s">
        <v>249</v>
      </c>
    </row>
    <row r="585" spans="1:4" x14ac:dyDescent="0.25">
      <c r="A585" t="s">
        <v>226</v>
      </c>
      <c r="B585">
        <v>18</v>
      </c>
      <c r="C585" t="s">
        <v>886</v>
      </c>
      <c r="D585" t="s">
        <v>227</v>
      </c>
    </row>
    <row r="586" spans="1:4" x14ac:dyDescent="0.25">
      <c r="A586" t="s">
        <v>454</v>
      </c>
      <c r="B586">
        <v>13</v>
      </c>
      <c r="C586" t="s">
        <v>125</v>
      </c>
      <c r="D586" t="s">
        <v>442</v>
      </c>
    </row>
    <row r="587" spans="1:4" x14ac:dyDescent="0.25">
      <c r="A587" t="s">
        <v>453</v>
      </c>
      <c r="B587">
        <v>12</v>
      </c>
      <c r="C587" t="s">
        <v>125</v>
      </c>
      <c r="D587" t="s">
        <v>442</v>
      </c>
    </row>
    <row r="588" spans="1:4" x14ac:dyDescent="0.25">
      <c r="A588" t="s">
        <v>355</v>
      </c>
      <c r="B588">
        <v>11</v>
      </c>
      <c r="C588" t="s">
        <v>125</v>
      </c>
      <c r="D588" t="s">
        <v>356</v>
      </c>
    </row>
    <row r="589" spans="1:4" x14ac:dyDescent="0.25">
      <c r="A589" t="s">
        <v>260</v>
      </c>
      <c r="B589">
        <v>10</v>
      </c>
      <c r="C589" t="s">
        <v>125</v>
      </c>
      <c r="D589" t="s">
        <v>249</v>
      </c>
    </row>
    <row r="590" spans="1:4" x14ac:dyDescent="0.25">
      <c r="A590" t="s">
        <v>468</v>
      </c>
      <c r="B590">
        <v>9</v>
      </c>
      <c r="C590" t="s">
        <v>125</v>
      </c>
      <c r="D590" t="s">
        <v>469</v>
      </c>
    </row>
    <row r="591" spans="1:4" x14ac:dyDescent="0.25">
      <c r="A591" t="s">
        <v>293</v>
      </c>
      <c r="B591">
        <v>6</v>
      </c>
      <c r="C591" t="s">
        <v>125</v>
      </c>
      <c r="D591" t="s">
        <v>294</v>
      </c>
    </row>
    <row r="592" spans="1:4" x14ac:dyDescent="0.25">
      <c r="A592" t="s">
        <v>197</v>
      </c>
      <c r="B592">
        <v>4</v>
      </c>
      <c r="C592" t="s">
        <v>886</v>
      </c>
      <c r="D592" t="s">
        <v>198</v>
      </c>
    </row>
    <row r="593" spans="1:4" x14ac:dyDescent="0.25">
      <c r="A593" t="s">
        <v>361</v>
      </c>
      <c r="B593">
        <v>4</v>
      </c>
      <c r="C593" t="s">
        <v>125</v>
      </c>
      <c r="D593" t="s">
        <v>360</v>
      </c>
    </row>
    <row r="594" spans="1:4" x14ac:dyDescent="0.25">
      <c r="A594" t="s">
        <v>299</v>
      </c>
      <c r="B594">
        <v>3</v>
      </c>
      <c r="C594" t="s">
        <v>125</v>
      </c>
      <c r="D594" t="s">
        <v>298</v>
      </c>
    </row>
    <row r="595" spans="1:4" x14ac:dyDescent="0.25">
      <c r="A595" t="s">
        <v>258</v>
      </c>
      <c r="B595">
        <v>3</v>
      </c>
      <c r="C595" t="s">
        <v>125</v>
      </c>
      <c r="D595" t="s">
        <v>249</v>
      </c>
    </row>
    <row r="596" spans="1:4" x14ac:dyDescent="0.25">
      <c r="A596" t="s">
        <v>418</v>
      </c>
      <c r="B596">
        <v>3</v>
      </c>
      <c r="C596" t="s">
        <v>125</v>
      </c>
      <c r="D596" t="s">
        <v>401</v>
      </c>
    </row>
    <row r="597" spans="1:4" x14ac:dyDescent="0.25">
      <c r="A597" t="s">
        <v>261</v>
      </c>
      <c r="B597">
        <v>2</v>
      </c>
      <c r="C597" t="s">
        <v>125</v>
      </c>
      <c r="D597" t="s">
        <v>249</v>
      </c>
    </row>
    <row r="598" spans="1:4" x14ac:dyDescent="0.25">
      <c r="A598" t="s">
        <v>26</v>
      </c>
      <c r="B598">
        <v>38</v>
      </c>
    </row>
    <row r="599" spans="1:4" x14ac:dyDescent="0.25">
      <c r="A599" t="s">
        <v>191</v>
      </c>
      <c r="B599">
        <v>7692</v>
      </c>
      <c r="C599" t="s">
        <v>886</v>
      </c>
      <c r="D599" t="s">
        <v>192</v>
      </c>
    </row>
    <row r="600" spans="1:4" x14ac:dyDescent="0.25">
      <c r="A600" t="s">
        <v>188</v>
      </c>
      <c r="B600">
        <v>4179</v>
      </c>
      <c r="C600" t="s">
        <v>886</v>
      </c>
      <c r="D600" t="s">
        <v>189</v>
      </c>
    </row>
    <row r="601" spans="1:4" x14ac:dyDescent="0.25">
      <c r="A601" t="s">
        <v>185</v>
      </c>
      <c r="B601">
        <v>2552</v>
      </c>
      <c r="C601" t="s">
        <v>886</v>
      </c>
      <c r="D601" t="s">
        <v>186</v>
      </c>
    </row>
    <row r="602" spans="1:4" x14ac:dyDescent="0.25">
      <c r="A602" t="s">
        <v>206</v>
      </c>
      <c r="B602">
        <v>830</v>
      </c>
      <c r="C602" t="s">
        <v>886</v>
      </c>
      <c r="D602" t="s">
        <v>189</v>
      </c>
    </row>
    <row r="603" spans="1:4" x14ac:dyDescent="0.25">
      <c r="A603" t="s">
        <v>208</v>
      </c>
      <c r="B603">
        <v>777</v>
      </c>
      <c r="C603" t="s">
        <v>886</v>
      </c>
      <c r="D603" t="s">
        <v>209</v>
      </c>
    </row>
    <row r="604" spans="1:4" x14ac:dyDescent="0.25">
      <c r="A604" t="s">
        <v>314</v>
      </c>
      <c r="B604">
        <v>620</v>
      </c>
      <c r="C604" t="s">
        <v>125</v>
      </c>
      <c r="D604" t="s">
        <v>315</v>
      </c>
    </row>
    <row r="605" spans="1:4" x14ac:dyDescent="0.25">
      <c r="A605" t="s">
        <v>316</v>
      </c>
      <c r="B605">
        <v>146</v>
      </c>
      <c r="C605" t="s">
        <v>125</v>
      </c>
      <c r="D605" t="s">
        <v>315</v>
      </c>
    </row>
    <row r="606" spans="1:4" x14ac:dyDescent="0.25">
      <c r="A606" t="s">
        <v>328</v>
      </c>
      <c r="B606">
        <v>106</v>
      </c>
      <c r="C606" t="s">
        <v>125</v>
      </c>
      <c r="D606" t="s">
        <v>325</v>
      </c>
    </row>
    <row r="607" spans="1:4" x14ac:dyDescent="0.25">
      <c r="A607" t="s">
        <v>289</v>
      </c>
      <c r="B607">
        <v>99</v>
      </c>
      <c r="C607" t="s">
        <v>125</v>
      </c>
      <c r="D607" t="s">
        <v>290</v>
      </c>
    </row>
    <row r="608" spans="1:4" x14ac:dyDescent="0.25">
      <c r="A608" t="s">
        <v>479</v>
      </c>
      <c r="B608">
        <v>87</v>
      </c>
      <c r="C608" t="s">
        <v>125</v>
      </c>
      <c r="D608" t="s">
        <v>478</v>
      </c>
    </row>
    <row r="609" spans="1:4" x14ac:dyDescent="0.25">
      <c r="A609" t="s">
        <v>200</v>
      </c>
      <c r="B609">
        <v>83</v>
      </c>
      <c r="C609" t="s">
        <v>886</v>
      </c>
      <c r="D609" t="s">
        <v>201</v>
      </c>
    </row>
    <row r="610" spans="1:4" x14ac:dyDescent="0.25">
      <c r="A610" t="s">
        <v>266</v>
      </c>
      <c r="B610">
        <v>65</v>
      </c>
      <c r="C610" t="s">
        <v>125</v>
      </c>
      <c r="D610" t="s">
        <v>249</v>
      </c>
    </row>
    <row r="611" spans="1:4" x14ac:dyDescent="0.25">
      <c r="A611" t="s">
        <v>446</v>
      </c>
      <c r="B611">
        <v>58</v>
      </c>
      <c r="C611" t="s">
        <v>125</v>
      </c>
      <c r="D611" t="s">
        <v>442</v>
      </c>
    </row>
    <row r="612" spans="1:4" x14ac:dyDescent="0.25">
      <c r="A612" t="s">
        <v>357</v>
      </c>
      <c r="B612">
        <v>51</v>
      </c>
      <c r="C612" t="s">
        <v>125</v>
      </c>
      <c r="D612" t="s">
        <v>356</v>
      </c>
    </row>
    <row r="613" spans="1:4" x14ac:dyDescent="0.25">
      <c r="A613" t="s">
        <v>194</v>
      </c>
      <c r="B613">
        <v>39</v>
      </c>
      <c r="C613" t="s">
        <v>886</v>
      </c>
      <c r="D613" t="s">
        <v>195</v>
      </c>
    </row>
    <row r="614" spans="1:4" x14ac:dyDescent="0.25">
      <c r="A614" t="s">
        <v>217</v>
      </c>
      <c r="B614">
        <v>35</v>
      </c>
      <c r="C614" t="s">
        <v>886</v>
      </c>
      <c r="D614" t="s">
        <v>218</v>
      </c>
    </row>
    <row r="615" spans="1:4" x14ac:dyDescent="0.25">
      <c r="A615" t="s">
        <v>220</v>
      </c>
      <c r="B615">
        <v>32</v>
      </c>
      <c r="C615" t="s">
        <v>886</v>
      </c>
      <c r="D615" t="s">
        <v>221</v>
      </c>
    </row>
    <row r="616" spans="1:4" x14ac:dyDescent="0.25">
      <c r="A616" t="s">
        <v>251</v>
      </c>
      <c r="B616">
        <v>25</v>
      </c>
      <c r="C616" t="s">
        <v>125</v>
      </c>
      <c r="D616" t="s">
        <v>249</v>
      </c>
    </row>
    <row r="617" spans="1:4" x14ac:dyDescent="0.25">
      <c r="A617" t="s">
        <v>260</v>
      </c>
      <c r="B617">
        <v>25</v>
      </c>
      <c r="C617" t="s">
        <v>125</v>
      </c>
      <c r="D617" t="s">
        <v>249</v>
      </c>
    </row>
    <row r="618" spans="1:4" x14ac:dyDescent="0.25">
      <c r="A618" t="s">
        <v>340</v>
      </c>
      <c r="B618">
        <v>22</v>
      </c>
      <c r="C618" t="s">
        <v>125</v>
      </c>
      <c r="D618" t="s">
        <v>341</v>
      </c>
    </row>
    <row r="619" spans="1:4" x14ac:dyDescent="0.25">
      <c r="A619" t="s">
        <v>473</v>
      </c>
      <c r="B619">
        <v>19</v>
      </c>
      <c r="C619" t="s">
        <v>125</v>
      </c>
      <c r="D619" t="s">
        <v>474</v>
      </c>
    </row>
    <row r="620" spans="1:4" x14ac:dyDescent="0.25">
      <c r="A620" t="s">
        <v>324</v>
      </c>
      <c r="B620">
        <v>18</v>
      </c>
      <c r="C620" t="s">
        <v>125</v>
      </c>
      <c r="D620" t="s">
        <v>325</v>
      </c>
    </row>
    <row r="621" spans="1:4" x14ac:dyDescent="0.25">
      <c r="A621" t="s">
        <v>461</v>
      </c>
      <c r="B621">
        <v>17</v>
      </c>
      <c r="C621" t="s">
        <v>125</v>
      </c>
      <c r="D621" t="s">
        <v>462</v>
      </c>
    </row>
    <row r="622" spans="1:4" x14ac:dyDescent="0.25">
      <c r="A622" t="s">
        <v>355</v>
      </c>
      <c r="B622">
        <v>14</v>
      </c>
      <c r="C622" t="s">
        <v>125</v>
      </c>
      <c r="D622" t="s">
        <v>356</v>
      </c>
    </row>
    <row r="623" spans="1:4" x14ac:dyDescent="0.25">
      <c r="A623" t="s">
        <v>368</v>
      </c>
      <c r="B623">
        <v>11</v>
      </c>
      <c r="C623" t="s">
        <v>125</v>
      </c>
      <c r="D623" t="s">
        <v>369</v>
      </c>
    </row>
    <row r="624" spans="1:4" x14ac:dyDescent="0.25">
      <c r="A624" t="s">
        <v>319</v>
      </c>
      <c r="B624">
        <v>10</v>
      </c>
      <c r="C624" t="s">
        <v>125</v>
      </c>
      <c r="D624" t="s">
        <v>318</v>
      </c>
    </row>
    <row r="625" spans="1:4" x14ac:dyDescent="0.25">
      <c r="A625" t="s">
        <v>248</v>
      </c>
      <c r="B625">
        <v>8</v>
      </c>
      <c r="C625" t="s">
        <v>125</v>
      </c>
      <c r="D625" t="s">
        <v>249</v>
      </c>
    </row>
    <row r="626" spans="1:4" x14ac:dyDescent="0.25">
      <c r="A626" t="s">
        <v>304</v>
      </c>
      <c r="B626">
        <v>7</v>
      </c>
      <c r="C626" t="s">
        <v>125</v>
      </c>
      <c r="D626" t="s">
        <v>305</v>
      </c>
    </row>
    <row r="627" spans="1:4" x14ac:dyDescent="0.25">
      <c r="A627" t="s">
        <v>445</v>
      </c>
      <c r="B627">
        <v>7</v>
      </c>
      <c r="C627" t="s">
        <v>125</v>
      </c>
      <c r="D627" t="s">
        <v>442</v>
      </c>
    </row>
    <row r="628" spans="1:4" x14ac:dyDescent="0.25">
      <c r="A628" t="s">
        <v>471</v>
      </c>
      <c r="B628">
        <v>6</v>
      </c>
      <c r="C628" t="s">
        <v>125</v>
      </c>
      <c r="D628" t="s">
        <v>472</v>
      </c>
    </row>
    <row r="629" spans="1:4" x14ac:dyDescent="0.25">
      <c r="A629" t="s">
        <v>484</v>
      </c>
      <c r="B629">
        <v>5</v>
      </c>
      <c r="C629" t="s">
        <v>125</v>
      </c>
      <c r="D629" t="s">
        <v>478</v>
      </c>
    </row>
    <row r="630" spans="1:4" x14ac:dyDescent="0.25">
      <c r="A630" t="s">
        <v>272</v>
      </c>
      <c r="B630">
        <v>5</v>
      </c>
      <c r="C630" t="s">
        <v>125</v>
      </c>
      <c r="D630" t="s">
        <v>249</v>
      </c>
    </row>
    <row r="631" spans="1:4" x14ac:dyDescent="0.25">
      <c r="A631" t="s">
        <v>482</v>
      </c>
      <c r="B631">
        <v>4</v>
      </c>
      <c r="C631" t="s">
        <v>125</v>
      </c>
      <c r="D631" t="s">
        <v>478</v>
      </c>
    </row>
    <row r="632" spans="1:4" x14ac:dyDescent="0.25">
      <c r="A632" t="s">
        <v>258</v>
      </c>
      <c r="B632">
        <v>3</v>
      </c>
      <c r="C632" t="s">
        <v>125</v>
      </c>
      <c r="D632" t="s">
        <v>249</v>
      </c>
    </row>
    <row r="633" spans="1:4" x14ac:dyDescent="0.25">
      <c r="A633" t="s">
        <v>293</v>
      </c>
      <c r="B633">
        <v>3</v>
      </c>
      <c r="C633" t="s">
        <v>125</v>
      </c>
      <c r="D633" t="s">
        <v>294</v>
      </c>
    </row>
    <row r="634" spans="1:4" x14ac:dyDescent="0.25">
      <c r="A634" t="s">
        <v>261</v>
      </c>
      <c r="B634">
        <v>2</v>
      </c>
      <c r="C634" t="s">
        <v>125</v>
      </c>
      <c r="D634" t="s">
        <v>249</v>
      </c>
    </row>
    <row r="635" spans="1:4" x14ac:dyDescent="0.25">
      <c r="A635" t="s">
        <v>398</v>
      </c>
      <c r="B635">
        <v>2</v>
      </c>
      <c r="C635" t="s">
        <v>125</v>
      </c>
      <c r="D635" t="s">
        <v>399</v>
      </c>
    </row>
    <row r="636" spans="1:4" x14ac:dyDescent="0.25">
      <c r="A636" t="s">
        <v>257</v>
      </c>
      <c r="B636">
        <v>2</v>
      </c>
      <c r="C636" t="s">
        <v>125</v>
      </c>
      <c r="D636" t="s">
        <v>249</v>
      </c>
    </row>
    <row r="637" spans="1:4" x14ac:dyDescent="0.25">
      <c r="A637" t="s">
        <v>27</v>
      </c>
      <c r="B637">
        <v>26</v>
      </c>
    </row>
    <row r="638" spans="1:4" x14ac:dyDescent="0.25">
      <c r="A638" t="s">
        <v>427</v>
      </c>
      <c r="B638">
        <v>1484</v>
      </c>
      <c r="C638" t="s">
        <v>125</v>
      </c>
      <c r="D638" t="s">
        <v>401</v>
      </c>
    </row>
    <row r="639" spans="1:4" x14ac:dyDescent="0.25">
      <c r="A639" t="s">
        <v>441</v>
      </c>
      <c r="B639">
        <v>614</v>
      </c>
      <c r="C639" t="s">
        <v>125</v>
      </c>
      <c r="D639" t="s">
        <v>442</v>
      </c>
    </row>
    <row r="640" spans="1:4" x14ac:dyDescent="0.25">
      <c r="A640" t="s">
        <v>307</v>
      </c>
      <c r="B640">
        <v>418</v>
      </c>
      <c r="C640" t="s">
        <v>125</v>
      </c>
      <c r="D640" t="s">
        <v>308</v>
      </c>
    </row>
    <row r="641" spans="1:4" x14ac:dyDescent="0.25">
      <c r="A641" t="s">
        <v>248</v>
      </c>
      <c r="B641">
        <v>403</v>
      </c>
      <c r="C641" t="s">
        <v>125</v>
      </c>
      <c r="D641" t="s">
        <v>249</v>
      </c>
    </row>
    <row r="642" spans="1:4" x14ac:dyDescent="0.25">
      <c r="A642" t="s">
        <v>208</v>
      </c>
      <c r="B642">
        <v>333</v>
      </c>
      <c r="C642" t="s">
        <v>886</v>
      </c>
      <c r="D642" t="s">
        <v>209</v>
      </c>
    </row>
    <row r="643" spans="1:4" x14ac:dyDescent="0.25">
      <c r="A643" t="s">
        <v>188</v>
      </c>
      <c r="B643">
        <v>298</v>
      </c>
      <c r="C643" t="s">
        <v>886</v>
      </c>
      <c r="D643" t="s">
        <v>189</v>
      </c>
    </row>
    <row r="644" spans="1:4" x14ac:dyDescent="0.25">
      <c r="A644" t="s">
        <v>250</v>
      </c>
      <c r="B644">
        <v>274</v>
      </c>
      <c r="C644" t="s">
        <v>125</v>
      </c>
      <c r="D644" t="s">
        <v>249</v>
      </c>
    </row>
    <row r="645" spans="1:4" x14ac:dyDescent="0.25">
      <c r="A645" t="s">
        <v>197</v>
      </c>
      <c r="B645">
        <v>173</v>
      </c>
      <c r="C645" t="s">
        <v>886</v>
      </c>
      <c r="D645" t="s">
        <v>198</v>
      </c>
    </row>
    <row r="646" spans="1:4" x14ac:dyDescent="0.25">
      <c r="A646" t="s">
        <v>265</v>
      </c>
      <c r="B646">
        <v>170</v>
      </c>
      <c r="C646" t="s">
        <v>125</v>
      </c>
      <c r="D646" t="s">
        <v>249</v>
      </c>
    </row>
    <row r="647" spans="1:4" x14ac:dyDescent="0.25">
      <c r="A647" t="s">
        <v>194</v>
      </c>
      <c r="B647">
        <v>169</v>
      </c>
      <c r="C647" t="s">
        <v>886</v>
      </c>
      <c r="D647" t="s">
        <v>195</v>
      </c>
    </row>
    <row r="648" spans="1:4" x14ac:dyDescent="0.25">
      <c r="A648" t="s">
        <v>410</v>
      </c>
      <c r="B648">
        <v>139</v>
      </c>
      <c r="C648" t="s">
        <v>125</v>
      </c>
      <c r="D648" t="s">
        <v>401</v>
      </c>
    </row>
    <row r="649" spans="1:4" x14ac:dyDescent="0.25">
      <c r="A649" t="s">
        <v>237</v>
      </c>
      <c r="B649">
        <v>136</v>
      </c>
      <c r="C649" t="s">
        <v>886</v>
      </c>
      <c r="D649" t="s">
        <v>238</v>
      </c>
    </row>
    <row r="650" spans="1:4" x14ac:dyDescent="0.25">
      <c r="A650" t="s">
        <v>332</v>
      </c>
      <c r="B650">
        <v>134</v>
      </c>
      <c r="C650" t="s">
        <v>125</v>
      </c>
      <c r="D650" t="s">
        <v>333</v>
      </c>
    </row>
    <row r="651" spans="1:4" x14ac:dyDescent="0.25">
      <c r="A651" t="s">
        <v>200</v>
      </c>
      <c r="B651">
        <v>131</v>
      </c>
      <c r="C651" t="s">
        <v>886</v>
      </c>
      <c r="D651" t="s">
        <v>201</v>
      </c>
    </row>
    <row r="652" spans="1:4" x14ac:dyDescent="0.25">
      <c r="A652" t="s">
        <v>277</v>
      </c>
      <c r="B652">
        <v>100</v>
      </c>
      <c r="C652" t="s">
        <v>125</v>
      </c>
      <c r="D652" t="s">
        <v>249</v>
      </c>
    </row>
    <row r="653" spans="1:4" x14ac:dyDescent="0.25">
      <c r="A653" t="s">
        <v>257</v>
      </c>
      <c r="B653">
        <v>95</v>
      </c>
      <c r="C653" t="s">
        <v>125</v>
      </c>
      <c r="D653" t="s">
        <v>249</v>
      </c>
    </row>
    <row r="654" spans="1:4" x14ac:dyDescent="0.25">
      <c r="A654" t="s">
        <v>490</v>
      </c>
      <c r="B654">
        <v>88</v>
      </c>
      <c r="C654" t="s">
        <v>125</v>
      </c>
      <c r="D654" t="s">
        <v>488</v>
      </c>
    </row>
    <row r="655" spans="1:4" x14ac:dyDescent="0.25">
      <c r="A655" t="s">
        <v>309</v>
      </c>
      <c r="B655">
        <v>78</v>
      </c>
      <c r="C655" t="s">
        <v>125</v>
      </c>
      <c r="D655" t="s">
        <v>308</v>
      </c>
    </row>
    <row r="656" spans="1:4" x14ac:dyDescent="0.25">
      <c r="A656" t="s">
        <v>379</v>
      </c>
      <c r="B656">
        <v>74</v>
      </c>
      <c r="C656" t="s">
        <v>125</v>
      </c>
      <c r="D656" t="s">
        <v>373</v>
      </c>
    </row>
    <row r="657" spans="1:4" x14ac:dyDescent="0.25">
      <c r="A657" t="s">
        <v>253</v>
      </c>
      <c r="B657">
        <v>70</v>
      </c>
      <c r="C657" t="s">
        <v>125</v>
      </c>
      <c r="D657" t="s">
        <v>249</v>
      </c>
    </row>
    <row r="658" spans="1:4" x14ac:dyDescent="0.25">
      <c r="A658" t="s">
        <v>206</v>
      </c>
      <c r="B658">
        <v>67</v>
      </c>
      <c r="C658" t="s">
        <v>886</v>
      </c>
      <c r="D658" t="s">
        <v>189</v>
      </c>
    </row>
    <row r="659" spans="1:4" x14ac:dyDescent="0.25">
      <c r="A659" t="s">
        <v>326</v>
      </c>
      <c r="B659">
        <v>65</v>
      </c>
      <c r="C659" t="s">
        <v>125</v>
      </c>
      <c r="D659" t="s">
        <v>325</v>
      </c>
    </row>
    <row r="660" spans="1:4" x14ac:dyDescent="0.25">
      <c r="A660" t="s">
        <v>403</v>
      </c>
      <c r="B660">
        <v>57</v>
      </c>
      <c r="C660" t="s">
        <v>125</v>
      </c>
      <c r="D660" t="s">
        <v>401</v>
      </c>
    </row>
    <row r="661" spans="1:4" x14ac:dyDescent="0.25">
      <c r="A661" t="s">
        <v>405</v>
      </c>
      <c r="B661">
        <v>56</v>
      </c>
      <c r="C661" t="s">
        <v>125</v>
      </c>
      <c r="D661" t="s">
        <v>401</v>
      </c>
    </row>
    <row r="662" spans="1:4" x14ac:dyDescent="0.25">
      <c r="A662" t="s">
        <v>387</v>
      </c>
      <c r="B662">
        <v>45</v>
      </c>
      <c r="C662" t="s">
        <v>125</v>
      </c>
      <c r="D662" t="s">
        <v>388</v>
      </c>
    </row>
    <row r="663" spans="1:4" x14ac:dyDescent="0.25">
      <c r="A663" t="s">
        <v>226</v>
      </c>
      <c r="B663">
        <v>44</v>
      </c>
      <c r="C663" t="s">
        <v>886</v>
      </c>
      <c r="D663" t="s">
        <v>227</v>
      </c>
    </row>
    <row r="664" spans="1:4" x14ac:dyDescent="0.25">
      <c r="A664" t="s">
        <v>28</v>
      </c>
      <c r="B664">
        <v>29</v>
      </c>
    </row>
    <row r="665" spans="1:4" x14ac:dyDescent="0.25">
      <c r="A665" t="s">
        <v>191</v>
      </c>
      <c r="B665">
        <v>8496</v>
      </c>
      <c r="C665" t="s">
        <v>886</v>
      </c>
      <c r="D665" t="s">
        <v>192</v>
      </c>
    </row>
    <row r="666" spans="1:4" x14ac:dyDescent="0.25">
      <c r="A666" t="s">
        <v>208</v>
      </c>
      <c r="B666">
        <v>3910</v>
      </c>
      <c r="C666" t="s">
        <v>886</v>
      </c>
      <c r="D666" t="s">
        <v>209</v>
      </c>
    </row>
    <row r="667" spans="1:4" x14ac:dyDescent="0.25">
      <c r="A667" t="s">
        <v>185</v>
      </c>
      <c r="B667">
        <v>2612</v>
      </c>
      <c r="C667" t="s">
        <v>886</v>
      </c>
      <c r="D667" t="s">
        <v>186</v>
      </c>
    </row>
    <row r="668" spans="1:4" x14ac:dyDescent="0.25">
      <c r="A668" t="s">
        <v>340</v>
      </c>
      <c r="B668">
        <v>669</v>
      </c>
      <c r="C668" t="s">
        <v>125</v>
      </c>
      <c r="D668" t="s">
        <v>341</v>
      </c>
    </row>
    <row r="669" spans="1:4" x14ac:dyDescent="0.25">
      <c r="A669" t="s">
        <v>188</v>
      </c>
      <c r="B669">
        <v>518</v>
      </c>
      <c r="C669" t="s">
        <v>886</v>
      </c>
      <c r="D669" t="s">
        <v>189</v>
      </c>
    </row>
    <row r="670" spans="1:4" x14ac:dyDescent="0.25">
      <c r="A670" t="s">
        <v>206</v>
      </c>
      <c r="B670">
        <v>380</v>
      </c>
      <c r="C670" t="s">
        <v>886</v>
      </c>
      <c r="D670" t="s">
        <v>189</v>
      </c>
    </row>
    <row r="671" spans="1:4" x14ac:dyDescent="0.25">
      <c r="A671" t="s">
        <v>314</v>
      </c>
      <c r="B671">
        <v>349</v>
      </c>
      <c r="C671" t="s">
        <v>125</v>
      </c>
      <c r="D671" t="s">
        <v>315</v>
      </c>
    </row>
    <row r="672" spans="1:4" x14ac:dyDescent="0.25">
      <c r="A672" t="s">
        <v>200</v>
      </c>
      <c r="B672">
        <v>167</v>
      </c>
      <c r="C672" t="s">
        <v>886</v>
      </c>
      <c r="D672" t="s">
        <v>201</v>
      </c>
    </row>
    <row r="673" spans="1:4" x14ac:dyDescent="0.25">
      <c r="A673" t="s">
        <v>428</v>
      </c>
      <c r="B673">
        <v>59</v>
      </c>
      <c r="C673" t="s">
        <v>125</v>
      </c>
      <c r="D673" t="s">
        <v>401</v>
      </c>
    </row>
    <row r="674" spans="1:4" x14ac:dyDescent="0.25">
      <c r="A674" t="s">
        <v>479</v>
      </c>
      <c r="B674">
        <v>45</v>
      </c>
      <c r="C674" t="s">
        <v>125</v>
      </c>
      <c r="D674" t="s">
        <v>478</v>
      </c>
    </row>
    <row r="675" spans="1:4" x14ac:dyDescent="0.25">
      <c r="A675" t="s">
        <v>251</v>
      </c>
      <c r="B675">
        <v>43</v>
      </c>
      <c r="C675" t="s">
        <v>125</v>
      </c>
      <c r="D675" t="s">
        <v>249</v>
      </c>
    </row>
    <row r="676" spans="1:4" x14ac:dyDescent="0.25">
      <c r="A676" t="s">
        <v>463</v>
      </c>
      <c r="B676">
        <v>24</v>
      </c>
      <c r="C676" t="s">
        <v>125</v>
      </c>
      <c r="D676" t="s">
        <v>464</v>
      </c>
    </row>
    <row r="677" spans="1:4" x14ac:dyDescent="0.25">
      <c r="A677" t="s">
        <v>278</v>
      </c>
      <c r="B677">
        <v>22</v>
      </c>
      <c r="C677" t="s">
        <v>125</v>
      </c>
      <c r="D677" t="s">
        <v>249</v>
      </c>
    </row>
    <row r="678" spans="1:4" x14ac:dyDescent="0.25">
      <c r="A678" t="s">
        <v>446</v>
      </c>
      <c r="B678">
        <v>22</v>
      </c>
      <c r="C678" t="s">
        <v>125</v>
      </c>
      <c r="D678" t="s">
        <v>442</v>
      </c>
    </row>
    <row r="679" spans="1:4" x14ac:dyDescent="0.25">
      <c r="A679" t="s">
        <v>324</v>
      </c>
      <c r="B679">
        <v>19</v>
      </c>
      <c r="C679" t="s">
        <v>125</v>
      </c>
      <c r="D679" t="s">
        <v>325</v>
      </c>
    </row>
    <row r="680" spans="1:4" x14ac:dyDescent="0.25">
      <c r="A680" t="s">
        <v>299</v>
      </c>
      <c r="B680">
        <v>19</v>
      </c>
      <c r="C680" t="s">
        <v>125</v>
      </c>
      <c r="D680" t="s">
        <v>298</v>
      </c>
    </row>
    <row r="681" spans="1:4" x14ac:dyDescent="0.25">
      <c r="A681" t="s">
        <v>448</v>
      </c>
      <c r="B681">
        <v>15</v>
      </c>
      <c r="C681" t="s">
        <v>125</v>
      </c>
      <c r="D681" t="s">
        <v>442</v>
      </c>
    </row>
    <row r="682" spans="1:4" x14ac:dyDescent="0.25">
      <c r="A682" t="s">
        <v>385</v>
      </c>
      <c r="B682">
        <v>12</v>
      </c>
      <c r="C682" t="s">
        <v>125</v>
      </c>
      <c r="D682" t="s">
        <v>386</v>
      </c>
    </row>
    <row r="683" spans="1:4" x14ac:dyDescent="0.25">
      <c r="A683" t="s">
        <v>203</v>
      </c>
      <c r="B683">
        <v>11</v>
      </c>
      <c r="C683" t="s">
        <v>886</v>
      </c>
      <c r="D683" t="s">
        <v>204</v>
      </c>
    </row>
    <row r="684" spans="1:4" x14ac:dyDescent="0.25">
      <c r="A684" t="s">
        <v>384</v>
      </c>
      <c r="B684">
        <v>10</v>
      </c>
      <c r="C684" t="s">
        <v>125</v>
      </c>
      <c r="D684" t="s">
        <v>382</v>
      </c>
    </row>
    <row r="685" spans="1:4" x14ac:dyDescent="0.25">
      <c r="A685" t="s">
        <v>447</v>
      </c>
      <c r="B685">
        <v>10</v>
      </c>
      <c r="C685" t="s">
        <v>125</v>
      </c>
      <c r="D685" t="s">
        <v>442</v>
      </c>
    </row>
    <row r="686" spans="1:4" x14ac:dyDescent="0.25">
      <c r="A686" t="s">
        <v>353</v>
      </c>
      <c r="B686">
        <v>8</v>
      </c>
      <c r="C686" t="s">
        <v>125</v>
      </c>
      <c r="D686" t="s">
        <v>354</v>
      </c>
    </row>
    <row r="687" spans="1:4" x14ac:dyDescent="0.25">
      <c r="A687" t="s">
        <v>421</v>
      </c>
      <c r="B687">
        <v>7</v>
      </c>
      <c r="C687" t="s">
        <v>125</v>
      </c>
      <c r="D687" t="s">
        <v>401</v>
      </c>
    </row>
    <row r="688" spans="1:4" x14ac:dyDescent="0.25">
      <c r="A688" t="s">
        <v>217</v>
      </c>
      <c r="B688">
        <v>7</v>
      </c>
      <c r="C688" t="s">
        <v>886</v>
      </c>
      <c r="D688" t="s">
        <v>218</v>
      </c>
    </row>
    <row r="689" spans="1:4" x14ac:dyDescent="0.25">
      <c r="A689" t="s">
        <v>289</v>
      </c>
      <c r="B689">
        <v>7</v>
      </c>
      <c r="C689" t="s">
        <v>125</v>
      </c>
      <c r="D689" t="s">
        <v>290</v>
      </c>
    </row>
    <row r="690" spans="1:4" x14ac:dyDescent="0.25">
      <c r="A690" t="s">
        <v>258</v>
      </c>
      <c r="B690">
        <v>7</v>
      </c>
      <c r="C690" t="s">
        <v>125</v>
      </c>
      <c r="D690" t="s">
        <v>249</v>
      </c>
    </row>
    <row r="691" spans="1:4" x14ac:dyDescent="0.25">
      <c r="A691" t="s">
        <v>304</v>
      </c>
      <c r="B691">
        <v>5</v>
      </c>
      <c r="C691" t="s">
        <v>125</v>
      </c>
      <c r="D691" t="s">
        <v>305</v>
      </c>
    </row>
    <row r="692" spans="1:4" x14ac:dyDescent="0.25">
      <c r="A692" t="s">
        <v>475</v>
      </c>
      <c r="B692">
        <v>4</v>
      </c>
      <c r="C692" t="s">
        <v>125</v>
      </c>
      <c r="D692" t="s">
        <v>476</v>
      </c>
    </row>
    <row r="693" spans="1:4" x14ac:dyDescent="0.25">
      <c r="A693" t="s">
        <v>412</v>
      </c>
      <c r="B693">
        <v>2</v>
      </c>
      <c r="C693" t="s">
        <v>125</v>
      </c>
      <c r="D693" t="s">
        <v>401</v>
      </c>
    </row>
    <row r="694" spans="1:4" x14ac:dyDescent="0.25">
      <c r="A694" t="s">
        <v>29</v>
      </c>
      <c r="B694">
        <v>36</v>
      </c>
    </row>
    <row r="695" spans="1:4" x14ac:dyDescent="0.25">
      <c r="A695" t="s">
        <v>340</v>
      </c>
      <c r="B695">
        <v>11670</v>
      </c>
      <c r="C695" t="s">
        <v>125</v>
      </c>
      <c r="D695" t="s">
        <v>341</v>
      </c>
    </row>
    <row r="696" spans="1:4" x14ac:dyDescent="0.25">
      <c r="A696" t="s">
        <v>185</v>
      </c>
      <c r="B696">
        <v>4390</v>
      </c>
      <c r="C696" t="s">
        <v>886</v>
      </c>
      <c r="D696" t="s">
        <v>186</v>
      </c>
    </row>
    <row r="697" spans="1:4" x14ac:dyDescent="0.25">
      <c r="A697" t="s">
        <v>191</v>
      </c>
      <c r="B697">
        <v>2416</v>
      </c>
      <c r="C697" t="s">
        <v>886</v>
      </c>
      <c r="D697" t="s">
        <v>192</v>
      </c>
    </row>
    <row r="698" spans="1:4" x14ac:dyDescent="0.25">
      <c r="A698" t="s">
        <v>208</v>
      </c>
      <c r="B698">
        <v>2038</v>
      </c>
      <c r="C698" t="s">
        <v>886</v>
      </c>
      <c r="D698" t="s">
        <v>209</v>
      </c>
    </row>
    <row r="699" spans="1:4" x14ac:dyDescent="0.25">
      <c r="A699" t="s">
        <v>330</v>
      </c>
      <c r="B699">
        <v>488</v>
      </c>
      <c r="C699" t="s">
        <v>125</v>
      </c>
      <c r="D699" t="s">
        <v>331</v>
      </c>
    </row>
    <row r="700" spans="1:4" x14ac:dyDescent="0.25">
      <c r="A700" t="s">
        <v>326</v>
      </c>
      <c r="B700">
        <v>85</v>
      </c>
      <c r="C700" t="s">
        <v>125</v>
      </c>
      <c r="D700" t="s">
        <v>325</v>
      </c>
    </row>
    <row r="701" spans="1:4" x14ac:dyDescent="0.25">
      <c r="A701" t="s">
        <v>479</v>
      </c>
      <c r="B701">
        <v>78</v>
      </c>
      <c r="C701" t="s">
        <v>125</v>
      </c>
      <c r="D701" t="s">
        <v>478</v>
      </c>
    </row>
    <row r="702" spans="1:4" x14ac:dyDescent="0.25">
      <c r="A702" t="s">
        <v>251</v>
      </c>
      <c r="B702">
        <v>75</v>
      </c>
      <c r="C702" t="s">
        <v>125</v>
      </c>
      <c r="D702" t="s">
        <v>249</v>
      </c>
    </row>
    <row r="703" spans="1:4" x14ac:dyDescent="0.25">
      <c r="A703" t="s">
        <v>200</v>
      </c>
      <c r="B703">
        <v>75</v>
      </c>
      <c r="C703" t="s">
        <v>886</v>
      </c>
      <c r="D703" t="s">
        <v>201</v>
      </c>
    </row>
    <row r="704" spans="1:4" x14ac:dyDescent="0.25">
      <c r="A704" t="s">
        <v>217</v>
      </c>
      <c r="B704">
        <v>74</v>
      </c>
      <c r="C704" t="s">
        <v>886</v>
      </c>
      <c r="D704" t="s">
        <v>218</v>
      </c>
    </row>
    <row r="705" spans="1:4" x14ac:dyDescent="0.25">
      <c r="A705" t="s">
        <v>385</v>
      </c>
      <c r="B705">
        <v>65</v>
      </c>
      <c r="C705" t="s">
        <v>125</v>
      </c>
      <c r="D705" t="s">
        <v>386</v>
      </c>
    </row>
    <row r="706" spans="1:4" x14ac:dyDescent="0.25">
      <c r="A706" t="s">
        <v>188</v>
      </c>
      <c r="B706">
        <v>63</v>
      </c>
      <c r="C706" t="s">
        <v>886</v>
      </c>
      <c r="D706" t="s">
        <v>189</v>
      </c>
    </row>
    <row r="707" spans="1:4" x14ac:dyDescent="0.25">
      <c r="A707" t="s">
        <v>259</v>
      </c>
      <c r="B707">
        <v>55</v>
      </c>
      <c r="C707" t="s">
        <v>125</v>
      </c>
      <c r="D707" t="s">
        <v>249</v>
      </c>
    </row>
    <row r="708" spans="1:4" x14ac:dyDescent="0.25">
      <c r="A708" t="s">
        <v>473</v>
      </c>
      <c r="B708">
        <v>51</v>
      </c>
      <c r="C708" t="s">
        <v>125</v>
      </c>
      <c r="D708" t="s">
        <v>474</v>
      </c>
    </row>
    <row r="709" spans="1:4" x14ac:dyDescent="0.25">
      <c r="A709" t="s">
        <v>446</v>
      </c>
      <c r="B709">
        <v>50</v>
      </c>
      <c r="C709" t="s">
        <v>125</v>
      </c>
      <c r="D709" t="s">
        <v>442</v>
      </c>
    </row>
    <row r="710" spans="1:4" x14ac:dyDescent="0.25">
      <c r="A710" t="s">
        <v>314</v>
      </c>
      <c r="B710">
        <v>49</v>
      </c>
      <c r="C710" t="s">
        <v>125</v>
      </c>
      <c r="D710" t="s">
        <v>315</v>
      </c>
    </row>
    <row r="711" spans="1:4" x14ac:dyDescent="0.25">
      <c r="A711" t="s">
        <v>250</v>
      </c>
      <c r="B711">
        <v>46</v>
      </c>
      <c r="C711" t="s">
        <v>125</v>
      </c>
      <c r="D711" t="s">
        <v>249</v>
      </c>
    </row>
    <row r="712" spans="1:4" x14ac:dyDescent="0.25">
      <c r="A712" t="s">
        <v>232</v>
      </c>
      <c r="B712">
        <v>37</v>
      </c>
      <c r="C712" t="s">
        <v>886</v>
      </c>
      <c r="D712" t="s">
        <v>204</v>
      </c>
    </row>
    <row r="713" spans="1:4" x14ac:dyDescent="0.25">
      <c r="A713" t="s">
        <v>237</v>
      </c>
      <c r="B713">
        <v>35</v>
      </c>
      <c r="C713" t="s">
        <v>886</v>
      </c>
      <c r="D713" t="s">
        <v>238</v>
      </c>
    </row>
    <row r="714" spans="1:4" x14ac:dyDescent="0.25">
      <c r="A714" t="s">
        <v>203</v>
      </c>
      <c r="B714">
        <v>33</v>
      </c>
      <c r="C714" t="s">
        <v>886</v>
      </c>
      <c r="D714" t="s">
        <v>204</v>
      </c>
    </row>
    <row r="715" spans="1:4" x14ac:dyDescent="0.25">
      <c r="A715" t="s">
        <v>248</v>
      </c>
      <c r="B715">
        <v>28</v>
      </c>
      <c r="C715" t="s">
        <v>125</v>
      </c>
      <c r="D715" t="s">
        <v>249</v>
      </c>
    </row>
    <row r="716" spans="1:4" x14ac:dyDescent="0.25">
      <c r="A716" t="s">
        <v>328</v>
      </c>
      <c r="B716">
        <v>22</v>
      </c>
      <c r="C716" t="s">
        <v>125</v>
      </c>
      <c r="D716" t="s">
        <v>325</v>
      </c>
    </row>
    <row r="717" spans="1:4" x14ac:dyDescent="0.25">
      <c r="A717" t="s">
        <v>419</v>
      </c>
      <c r="B717">
        <v>16</v>
      </c>
      <c r="C717" t="s">
        <v>125</v>
      </c>
      <c r="D717" t="s">
        <v>401</v>
      </c>
    </row>
    <row r="718" spans="1:4" x14ac:dyDescent="0.25">
      <c r="A718" t="s">
        <v>257</v>
      </c>
      <c r="B718">
        <v>15</v>
      </c>
      <c r="C718" t="s">
        <v>125</v>
      </c>
      <c r="D718" t="s">
        <v>249</v>
      </c>
    </row>
    <row r="719" spans="1:4" x14ac:dyDescent="0.25">
      <c r="A719" t="s">
        <v>194</v>
      </c>
      <c r="B719">
        <v>15</v>
      </c>
      <c r="C719" t="s">
        <v>886</v>
      </c>
      <c r="D719" t="s">
        <v>195</v>
      </c>
    </row>
    <row r="720" spans="1:4" x14ac:dyDescent="0.25">
      <c r="A720" t="s">
        <v>276</v>
      </c>
      <c r="B720">
        <v>13</v>
      </c>
      <c r="C720" t="s">
        <v>125</v>
      </c>
      <c r="D720" t="s">
        <v>249</v>
      </c>
    </row>
    <row r="721" spans="1:4" x14ac:dyDescent="0.25">
      <c r="A721" t="s">
        <v>293</v>
      </c>
      <c r="B721">
        <v>12</v>
      </c>
      <c r="C721" t="s">
        <v>125</v>
      </c>
      <c r="D721" t="s">
        <v>294</v>
      </c>
    </row>
    <row r="722" spans="1:4" x14ac:dyDescent="0.25">
      <c r="A722" t="s">
        <v>355</v>
      </c>
      <c r="B722">
        <v>12</v>
      </c>
      <c r="C722" t="s">
        <v>125</v>
      </c>
      <c r="D722" t="s">
        <v>356</v>
      </c>
    </row>
    <row r="723" spans="1:4" x14ac:dyDescent="0.25">
      <c r="A723" t="s">
        <v>295</v>
      </c>
      <c r="B723">
        <v>11</v>
      </c>
      <c r="C723" t="s">
        <v>125</v>
      </c>
      <c r="D723" t="s">
        <v>296</v>
      </c>
    </row>
    <row r="724" spans="1:4" x14ac:dyDescent="0.25">
      <c r="A724" t="s">
        <v>445</v>
      </c>
      <c r="B724">
        <v>10</v>
      </c>
      <c r="C724" t="s">
        <v>125</v>
      </c>
      <c r="D724" t="s">
        <v>442</v>
      </c>
    </row>
    <row r="725" spans="1:4" x14ac:dyDescent="0.25">
      <c r="A725" t="s">
        <v>279</v>
      </c>
      <c r="B725">
        <v>8</v>
      </c>
      <c r="C725" t="s">
        <v>125</v>
      </c>
      <c r="D725" t="s">
        <v>249</v>
      </c>
    </row>
    <row r="726" spans="1:4" x14ac:dyDescent="0.25">
      <c r="A726" t="s">
        <v>487</v>
      </c>
      <c r="B726">
        <v>7</v>
      </c>
      <c r="C726" t="s">
        <v>125</v>
      </c>
      <c r="D726" t="s">
        <v>488</v>
      </c>
    </row>
    <row r="727" spans="1:4" x14ac:dyDescent="0.25">
      <c r="A727" t="s">
        <v>260</v>
      </c>
      <c r="B727">
        <v>6</v>
      </c>
      <c r="C727" t="s">
        <v>125</v>
      </c>
      <c r="D727" t="s">
        <v>249</v>
      </c>
    </row>
    <row r="728" spans="1:4" x14ac:dyDescent="0.25">
      <c r="A728" t="s">
        <v>411</v>
      </c>
      <c r="B728">
        <v>6</v>
      </c>
      <c r="C728" t="s">
        <v>125</v>
      </c>
      <c r="D728" t="s">
        <v>401</v>
      </c>
    </row>
    <row r="729" spans="1:4" x14ac:dyDescent="0.25">
      <c r="A729" t="s">
        <v>421</v>
      </c>
      <c r="B729">
        <v>3</v>
      </c>
      <c r="C729" t="s">
        <v>125</v>
      </c>
      <c r="D729" t="s">
        <v>401</v>
      </c>
    </row>
    <row r="730" spans="1:4" x14ac:dyDescent="0.25">
      <c r="A730" t="s">
        <v>271</v>
      </c>
      <c r="B730">
        <v>3</v>
      </c>
      <c r="C730" t="s">
        <v>125</v>
      </c>
      <c r="D730" t="s">
        <v>249</v>
      </c>
    </row>
    <row r="731" spans="1:4" x14ac:dyDescent="0.25">
      <c r="A731" t="s">
        <v>30</v>
      </c>
      <c r="B731">
        <v>14</v>
      </c>
    </row>
    <row r="732" spans="1:4" x14ac:dyDescent="0.25">
      <c r="A732" t="s">
        <v>340</v>
      </c>
      <c r="B732">
        <v>8281</v>
      </c>
      <c r="C732" t="s">
        <v>125</v>
      </c>
      <c r="D732" t="s">
        <v>341</v>
      </c>
    </row>
    <row r="733" spans="1:4" x14ac:dyDescent="0.25">
      <c r="A733" t="s">
        <v>185</v>
      </c>
      <c r="B733">
        <v>5617</v>
      </c>
      <c r="C733" t="s">
        <v>886</v>
      </c>
      <c r="D733" t="s">
        <v>186</v>
      </c>
    </row>
    <row r="734" spans="1:4" x14ac:dyDescent="0.25">
      <c r="A734" t="s">
        <v>203</v>
      </c>
      <c r="B734">
        <v>678</v>
      </c>
      <c r="C734" t="s">
        <v>886</v>
      </c>
      <c r="D734" t="s">
        <v>204</v>
      </c>
    </row>
    <row r="735" spans="1:4" x14ac:dyDescent="0.25">
      <c r="A735" t="s">
        <v>208</v>
      </c>
      <c r="B735">
        <v>646</v>
      </c>
      <c r="C735" t="s">
        <v>886</v>
      </c>
      <c r="D735" t="s">
        <v>209</v>
      </c>
    </row>
    <row r="736" spans="1:4" x14ac:dyDescent="0.25">
      <c r="A736" t="s">
        <v>191</v>
      </c>
      <c r="B736">
        <v>422</v>
      </c>
      <c r="C736" t="s">
        <v>886</v>
      </c>
      <c r="D736" t="s">
        <v>192</v>
      </c>
    </row>
    <row r="737" spans="1:4" x14ac:dyDescent="0.25">
      <c r="A737" t="s">
        <v>422</v>
      </c>
      <c r="B737">
        <v>158</v>
      </c>
      <c r="C737" t="s">
        <v>125</v>
      </c>
      <c r="D737" t="s">
        <v>401</v>
      </c>
    </row>
    <row r="738" spans="1:4" x14ac:dyDescent="0.25">
      <c r="A738" t="s">
        <v>314</v>
      </c>
      <c r="B738">
        <v>35</v>
      </c>
      <c r="C738" t="s">
        <v>125</v>
      </c>
      <c r="D738" t="s">
        <v>315</v>
      </c>
    </row>
    <row r="739" spans="1:4" x14ac:dyDescent="0.25">
      <c r="A739" t="s">
        <v>232</v>
      </c>
      <c r="B739">
        <v>25</v>
      </c>
      <c r="C739" t="s">
        <v>886</v>
      </c>
      <c r="D739" t="s">
        <v>204</v>
      </c>
    </row>
    <row r="740" spans="1:4" x14ac:dyDescent="0.25">
      <c r="A740" t="s">
        <v>326</v>
      </c>
      <c r="B740">
        <v>20</v>
      </c>
      <c r="C740" t="s">
        <v>125</v>
      </c>
      <c r="D740" t="s">
        <v>325</v>
      </c>
    </row>
    <row r="741" spans="1:4" x14ac:dyDescent="0.25">
      <c r="A741" t="s">
        <v>258</v>
      </c>
      <c r="B741">
        <v>13</v>
      </c>
      <c r="C741" t="s">
        <v>125</v>
      </c>
      <c r="D741" t="s">
        <v>249</v>
      </c>
    </row>
    <row r="742" spans="1:4" x14ac:dyDescent="0.25">
      <c r="A742" t="s">
        <v>389</v>
      </c>
      <c r="B742">
        <v>11</v>
      </c>
      <c r="C742" t="s">
        <v>125</v>
      </c>
      <c r="D742" t="s">
        <v>390</v>
      </c>
    </row>
    <row r="743" spans="1:4" x14ac:dyDescent="0.25">
      <c r="A743" t="s">
        <v>214</v>
      </c>
      <c r="B743">
        <v>9</v>
      </c>
      <c r="C743" t="s">
        <v>886</v>
      </c>
      <c r="D743" t="s">
        <v>215</v>
      </c>
    </row>
    <row r="744" spans="1:4" x14ac:dyDescent="0.25">
      <c r="A744" t="s">
        <v>243</v>
      </c>
      <c r="B744">
        <v>5</v>
      </c>
      <c r="C744" t="s">
        <v>886</v>
      </c>
      <c r="D744" t="s">
        <v>212</v>
      </c>
    </row>
    <row r="745" spans="1:4" x14ac:dyDescent="0.25">
      <c r="A745" t="s">
        <v>405</v>
      </c>
      <c r="B745">
        <v>4</v>
      </c>
      <c r="C745" t="s">
        <v>125</v>
      </c>
      <c r="D745" t="s">
        <v>401</v>
      </c>
    </row>
    <row r="746" spans="1:4" x14ac:dyDescent="0.25">
      <c r="A746" t="s">
        <v>31</v>
      </c>
      <c r="B746">
        <v>11</v>
      </c>
    </row>
    <row r="747" spans="1:4" x14ac:dyDescent="0.25">
      <c r="A747" t="s">
        <v>194</v>
      </c>
      <c r="B747">
        <v>11279</v>
      </c>
      <c r="C747" t="s">
        <v>886</v>
      </c>
      <c r="D747" t="s">
        <v>195</v>
      </c>
    </row>
    <row r="748" spans="1:4" x14ac:dyDescent="0.25">
      <c r="A748" t="s">
        <v>208</v>
      </c>
      <c r="B748">
        <v>3356</v>
      </c>
      <c r="C748" t="s">
        <v>886</v>
      </c>
      <c r="D748" t="s">
        <v>209</v>
      </c>
    </row>
    <row r="749" spans="1:4" x14ac:dyDescent="0.25">
      <c r="A749" t="s">
        <v>191</v>
      </c>
      <c r="B749">
        <v>855</v>
      </c>
      <c r="C749" t="s">
        <v>886</v>
      </c>
      <c r="D749" t="s">
        <v>192</v>
      </c>
    </row>
    <row r="750" spans="1:4" x14ac:dyDescent="0.25">
      <c r="A750" t="s">
        <v>362</v>
      </c>
      <c r="B750">
        <v>200</v>
      </c>
      <c r="C750" t="s">
        <v>125</v>
      </c>
      <c r="D750" t="s">
        <v>363</v>
      </c>
    </row>
    <row r="751" spans="1:4" x14ac:dyDescent="0.25">
      <c r="A751" t="s">
        <v>364</v>
      </c>
      <c r="B751">
        <v>181</v>
      </c>
      <c r="C751" t="s">
        <v>125</v>
      </c>
      <c r="D751" t="s">
        <v>365</v>
      </c>
    </row>
    <row r="752" spans="1:4" x14ac:dyDescent="0.25">
      <c r="A752" t="s">
        <v>328</v>
      </c>
      <c r="B752">
        <v>92</v>
      </c>
      <c r="C752" t="s">
        <v>125</v>
      </c>
      <c r="D752" t="s">
        <v>325</v>
      </c>
    </row>
    <row r="753" spans="1:4" x14ac:dyDescent="0.25">
      <c r="A753" t="s">
        <v>185</v>
      </c>
      <c r="B753">
        <v>77</v>
      </c>
      <c r="C753" t="s">
        <v>886</v>
      </c>
      <c r="D753" t="s">
        <v>186</v>
      </c>
    </row>
    <row r="754" spans="1:4" x14ac:dyDescent="0.25">
      <c r="A754" t="s">
        <v>206</v>
      </c>
      <c r="B754">
        <v>74</v>
      </c>
      <c r="C754" t="s">
        <v>886</v>
      </c>
      <c r="D754" t="s">
        <v>189</v>
      </c>
    </row>
    <row r="755" spans="1:4" x14ac:dyDescent="0.25">
      <c r="A755" t="s">
        <v>368</v>
      </c>
      <c r="B755">
        <v>41</v>
      </c>
      <c r="C755" t="s">
        <v>125</v>
      </c>
      <c r="D755" t="s">
        <v>369</v>
      </c>
    </row>
    <row r="756" spans="1:4" x14ac:dyDescent="0.25">
      <c r="A756" t="s">
        <v>389</v>
      </c>
      <c r="B756">
        <v>20</v>
      </c>
      <c r="C756" t="s">
        <v>125</v>
      </c>
      <c r="D756" t="s">
        <v>390</v>
      </c>
    </row>
    <row r="757" spans="1:4" x14ac:dyDescent="0.25">
      <c r="A757" t="s">
        <v>200</v>
      </c>
      <c r="B757">
        <v>11</v>
      </c>
      <c r="C757" t="s">
        <v>886</v>
      </c>
      <c r="D757" t="s">
        <v>201</v>
      </c>
    </row>
    <row r="758" spans="1:4" x14ac:dyDescent="0.25">
      <c r="A758" t="s">
        <v>32</v>
      </c>
      <c r="B758">
        <v>33</v>
      </c>
    </row>
    <row r="759" spans="1:4" x14ac:dyDescent="0.25">
      <c r="A759" t="s">
        <v>191</v>
      </c>
      <c r="B759">
        <v>6592</v>
      </c>
      <c r="C759" t="s">
        <v>886</v>
      </c>
      <c r="D759" t="s">
        <v>192</v>
      </c>
    </row>
    <row r="760" spans="1:4" x14ac:dyDescent="0.25">
      <c r="A760" t="s">
        <v>188</v>
      </c>
      <c r="B760">
        <v>2070</v>
      </c>
      <c r="C760" t="s">
        <v>886</v>
      </c>
      <c r="D760" t="s">
        <v>189</v>
      </c>
    </row>
    <row r="761" spans="1:4" x14ac:dyDescent="0.25">
      <c r="A761" t="s">
        <v>185</v>
      </c>
      <c r="B761">
        <v>1412</v>
      </c>
      <c r="C761" t="s">
        <v>886</v>
      </c>
      <c r="D761" t="s">
        <v>186</v>
      </c>
    </row>
    <row r="762" spans="1:4" x14ac:dyDescent="0.25">
      <c r="A762" t="s">
        <v>206</v>
      </c>
      <c r="B762">
        <v>826</v>
      </c>
      <c r="C762" t="s">
        <v>886</v>
      </c>
      <c r="D762" t="s">
        <v>189</v>
      </c>
    </row>
    <row r="763" spans="1:4" x14ac:dyDescent="0.25">
      <c r="A763" t="s">
        <v>208</v>
      </c>
      <c r="B763">
        <v>475</v>
      </c>
      <c r="C763" t="s">
        <v>886</v>
      </c>
      <c r="D763" t="s">
        <v>209</v>
      </c>
    </row>
    <row r="764" spans="1:4" x14ac:dyDescent="0.25">
      <c r="A764" t="s">
        <v>479</v>
      </c>
      <c r="B764">
        <v>189</v>
      </c>
      <c r="C764" t="s">
        <v>125</v>
      </c>
      <c r="D764" t="s">
        <v>478</v>
      </c>
    </row>
    <row r="765" spans="1:4" x14ac:dyDescent="0.25">
      <c r="A765" t="s">
        <v>314</v>
      </c>
      <c r="B765">
        <v>108</v>
      </c>
      <c r="C765" t="s">
        <v>125</v>
      </c>
      <c r="D765" t="s">
        <v>315</v>
      </c>
    </row>
    <row r="766" spans="1:4" x14ac:dyDescent="0.25">
      <c r="A766" t="s">
        <v>259</v>
      </c>
      <c r="B766">
        <v>100</v>
      </c>
      <c r="C766" t="s">
        <v>125</v>
      </c>
      <c r="D766" t="s">
        <v>249</v>
      </c>
    </row>
    <row r="767" spans="1:4" x14ac:dyDescent="0.25">
      <c r="A767" t="s">
        <v>194</v>
      </c>
      <c r="B767">
        <v>88</v>
      </c>
      <c r="C767" t="s">
        <v>886</v>
      </c>
      <c r="D767" t="s">
        <v>195</v>
      </c>
    </row>
    <row r="768" spans="1:4" x14ac:dyDescent="0.25">
      <c r="A768" t="s">
        <v>446</v>
      </c>
      <c r="B768">
        <v>80</v>
      </c>
      <c r="C768" t="s">
        <v>125</v>
      </c>
      <c r="D768" t="s">
        <v>442</v>
      </c>
    </row>
    <row r="769" spans="1:4" x14ac:dyDescent="0.25">
      <c r="A769" t="s">
        <v>357</v>
      </c>
      <c r="B769">
        <v>69</v>
      </c>
      <c r="C769" t="s">
        <v>125</v>
      </c>
      <c r="D769" t="s">
        <v>356</v>
      </c>
    </row>
    <row r="770" spans="1:4" x14ac:dyDescent="0.25">
      <c r="A770" t="s">
        <v>200</v>
      </c>
      <c r="B770">
        <v>47</v>
      </c>
      <c r="C770" t="s">
        <v>886</v>
      </c>
      <c r="D770" t="s">
        <v>201</v>
      </c>
    </row>
    <row r="771" spans="1:4" x14ac:dyDescent="0.25">
      <c r="A771" t="s">
        <v>203</v>
      </c>
      <c r="B771">
        <v>37</v>
      </c>
      <c r="C771" t="s">
        <v>886</v>
      </c>
      <c r="D771" t="s">
        <v>204</v>
      </c>
    </row>
    <row r="772" spans="1:4" x14ac:dyDescent="0.25">
      <c r="A772" t="s">
        <v>316</v>
      </c>
      <c r="B772">
        <v>32</v>
      </c>
      <c r="C772" t="s">
        <v>125</v>
      </c>
      <c r="D772" t="s">
        <v>315</v>
      </c>
    </row>
    <row r="773" spans="1:4" x14ac:dyDescent="0.25">
      <c r="A773" t="s">
        <v>449</v>
      </c>
      <c r="B773">
        <v>21</v>
      </c>
      <c r="C773" t="s">
        <v>125</v>
      </c>
      <c r="D773" t="s">
        <v>442</v>
      </c>
    </row>
    <row r="774" spans="1:4" x14ac:dyDescent="0.25">
      <c r="A774" t="s">
        <v>220</v>
      </c>
      <c r="B774">
        <v>20</v>
      </c>
      <c r="C774" t="s">
        <v>886</v>
      </c>
      <c r="D774" t="s">
        <v>221</v>
      </c>
    </row>
    <row r="775" spans="1:4" x14ac:dyDescent="0.25">
      <c r="A775" t="s">
        <v>473</v>
      </c>
      <c r="B775">
        <v>18</v>
      </c>
      <c r="C775" t="s">
        <v>125</v>
      </c>
      <c r="D775" t="s">
        <v>474</v>
      </c>
    </row>
    <row r="776" spans="1:4" x14ac:dyDescent="0.25">
      <c r="A776" t="s">
        <v>217</v>
      </c>
      <c r="B776">
        <v>17</v>
      </c>
      <c r="C776" t="s">
        <v>886</v>
      </c>
      <c r="D776" t="s">
        <v>218</v>
      </c>
    </row>
    <row r="777" spans="1:4" x14ac:dyDescent="0.25">
      <c r="A777" t="s">
        <v>358</v>
      </c>
      <c r="B777">
        <v>16</v>
      </c>
      <c r="C777" t="s">
        <v>125</v>
      </c>
      <c r="D777" t="s">
        <v>356</v>
      </c>
    </row>
    <row r="778" spans="1:4" x14ac:dyDescent="0.25">
      <c r="A778" t="s">
        <v>461</v>
      </c>
      <c r="B778">
        <v>15</v>
      </c>
      <c r="C778" t="s">
        <v>125</v>
      </c>
      <c r="D778" t="s">
        <v>462</v>
      </c>
    </row>
    <row r="779" spans="1:4" x14ac:dyDescent="0.25">
      <c r="A779" t="s">
        <v>355</v>
      </c>
      <c r="B779">
        <v>15</v>
      </c>
      <c r="C779" t="s">
        <v>125</v>
      </c>
      <c r="D779" t="s">
        <v>356</v>
      </c>
    </row>
    <row r="780" spans="1:4" x14ac:dyDescent="0.25">
      <c r="A780" t="s">
        <v>485</v>
      </c>
      <c r="B780">
        <v>15</v>
      </c>
      <c r="C780" t="s">
        <v>125</v>
      </c>
      <c r="D780" t="s">
        <v>478</v>
      </c>
    </row>
    <row r="781" spans="1:4" x14ac:dyDescent="0.25">
      <c r="A781" t="s">
        <v>324</v>
      </c>
      <c r="B781">
        <v>14</v>
      </c>
      <c r="C781" t="s">
        <v>125</v>
      </c>
      <c r="D781" t="s">
        <v>325</v>
      </c>
    </row>
    <row r="782" spans="1:4" x14ac:dyDescent="0.25">
      <c r="A782" t="s">
        <v>340</v>
      </c>
      <c r="B782">
        <v>10</v>
      </c>
      <c r="C782" t="s">
        <v>125</v>
      </c>
      <c r="D782" t="s">
        <v>341</v>
      </c>
    </row>
    <row r="783" spans="1:4" x14ac:dyDescent="0.25">
      <c r="A783" t="s">
        <v>270</v>
      </c>
      <c r="B783">
        <v>9</v>
      </c>
      <c r="C783" t="s">
        <v>125</v>
      </c>
      <c r="D783" t="s">
        <v>249</v>
      </c>
    </row>
    <row r="784" spans="1:4" x14ac:dyDescent="0.25">
      <c r="A784" t="s">
        <v>261</v>
      </c>
      <c r="B784">
        <v>9</v>
      </c>
      <c r="C784" t="s">
        <v>125</v>
      </c>
      <c r="D784" t="s">
        <v>249</v>
      </c>
    </row>
    <row r="785" spans="1:4" x14ac:dyDescent="0.25">
      <c r="A785" t="s">
        <v>471</v>
      </c>
      <c r="B785">
        <v>9</v>
      </c>
      <c r="C785" t="s">
        <v>125</v>
      </c>
      <c r="D785" t="s">
        <v>472</v>
      </c>
    </row>
    <row r="786" spans="1:4" x14ac:dyDescent="0.25">
      <c r="A786" t="s">
        <v>447</v>
      </c>
      <c r="B786">
        <v>9</v>
      </c>
      <c r="C786" t="s">
        <v>125</v>
      </c>
      <c r="D786" t="s">
        <v>442</v>
      </c>
    </row>
    <row r="787" spans="1:4" x14ac:dyDescent="0.25">
      <c r="A787" t="s">
        <v>251</v>
      </c>
      <c r="B787">
        <v>8</v>
      </c>
      <c r="C787" t="s">
        <v>125</v>
      </c>
      <c r="D787" t="s">
        <v>249</v>
      </c>
    </row>
    <row r="788" spans="1:4" x14ac:dyDescent="0.25">
      <c r="A788" t="s">
        <v>304</v>
      </c>
      <c r="B788">
        <v>7</v>
      </c>
      <c r="C788" t="s">
        <v>125</v>
      </c>
      <c r="D788" t="s">
        <v>305</v>
      </c>
    </row>
    <row r="789" spans="1:4" x14ac:dyDescent="0.25">
      <c r="A789" t="s">
        <v>456</v>
      </c>
      <c r="B789">
        <v>5</v>
      </c>
      <c r="C789" t="s">
        <v>125</v>
      </c>
      <c r="D789" t="s">
        <v>442</v>
      </c>
    </row>
    <row r="790" spans="1:4" x14ac:dyDescent="0.25">
      <c r="A790" t="s">
        <v>481</v>
      </c>
      <c r="B790">
        <v>5</v>
      </c>
      <c r="C790" t="s">
        <v>125</v>
      </c>
      <c r="D790" t="s">
        <v>478</v>
      </c>
    </row>
    <row r="791" spans="1:4" x14ac:dyDescent="0.25">
      <c r="A791" t="s">
        <v>278</v>
      </c>
      <c r="B791">
        <v>4</v>
      </c>
      <c r="C791" t="s">
        <v>125</v>
      </c>
      <c r="D791" t="s">
        <v>249</v>
      </c>
    </row>
    <row r="792" spans="1:4" x14ac:dyDescent="0.25">
      <c r="A792" t="s">
        <v>33</v>
      </c>
      <c r="B792">
        <v>22</v>
      </c>
    </row>
    <row r="793" spans="1:4" x14ac:dyDescent="0.25">
      <c r="A793" t="s">
        <v>340</v>
      </c>
      <c r="B793">
        <v>13096</v>
      </c>
      <c r="C793" t="s">
        <v>125</v>
      </c>
      <c r="D793" t="s">
        <v>341</v>
      </c>
    </row>
    <row r="794" spans="1:4" x14ac:dyDescent="0.25">
      <c r="A794" t="s">
        <v>185</v>
      </c>
      <c r="B794">
        <v>4238</v>
      </c>
      <c r="C794" t="s">
        <v>886</v>
      </c>
      <c r="D794" t="s">
        <v>186</v>
      </c>
    </row>
    <row r="795" spans="1:4" x14ac:dyDescent="0.25">
      <c r="A795" t="s">
        <v>191</v>
      </c>
      <c r="B795">
        <v>546</v>
      </c>
      <c r="C795" t="s">
        <v>886</v>
      </c>
      <c r="D795" t="s">
        <v>192</v>
      </c>
    </row>
    <row r="796" spans="1:4" x14ac:dyDescent="0.25">
      <c r="A796" t="s">
        <v>208</v>
      </c>
      <c r="B796">
        <v>326</v>
      </c>
      <c r="C796" t="s">
        <v>886</v>
      </c>
      <c r="D796" t="s">
        <v>209</v>
      </c>
    </row>
    <row r="797" spans="1:4" x14ac:dyDescent="0.25">
      <c r="A797" t="s">
        <v>326</v>
      </c>
      <c r="B797">
        <v>91</v>
      </c>
      <c r="C797" t="s">
        <v>125</v>
      </c>
      <c r="D797" t="s">
        <v>325</v>
      </c>
    </row>
    <row r="798" spans="1:4" x14ac:dyDescent="0.25">
      <c r="A798" t="s">
        <v>479</v>
      </c>
      <c r="B798">
        <v>75</v>
      </c>
      <c r="C798" t="s">
        <v>125</v>
      </c>
      <c r="D798" t="s">
        <v>478</v>
      </c>
    </row>
    <row r="799" spans="1:4" x14ac:dyDescent="0.25">
      <c r="A799" t="s">
        <v>314</v>
      </c>
      <c r="B799">
        <v>66</v>
      </c>
      <c r="C799" t="s">
        <v>125</v>
      </c>
      <c r="D799" t="s">
        <v>315</v>
      </c>
    </row>
    <row r="800" spans="1:4" x14ac:dyDescent="0.25">
      <c r="A800" t="s">
        <v>324</v>
      </c>
      <c r="B800">
        <v>36</v>
      </c>
      <c r="C800" t="s">
        <v>125</v>
      </c>
      <c r="D800" t="s">
        <v>325</v>
      </c>
    </row>
    <row r="801" spans="1:4" x14ac:dyDescent="0.25">
      <c r="A801" t="s">
        <v>206</v>
      </c>
      <c r="B801">
        <v>34</v>
      </c>
      <c r="C801" t="s">
        <v>886</v>
      </c>
      <c r="D801" t="s">
        <v>189</v>
      </c>
    </row>
    <row r="802" spans="1:4" x14ac:dyDescent="0.25">
      <c r="A802" t="s">
        <v>420</v>
      </c>
      <c r="B802">
        <v>33</v>
      </c>
      <c r="C802" t="s">
        <v>125</v>
      </c>
      <c r="D802" t="s">
        <v>401</v>
      </c>
    </row>
    <row r="803" spans="1:4" x14ac:dyDescent="0.25">
      <c r="A803" t="s">
        <v>385</v>
      </c>
      <c r="B803">
        <v>30</v>
      </c>
      <c r="C803" t="s">
        <v>125</v>
      </c>
      <c r="D803" t="s">
        <v>386</v>
      </c>
    </row>
    <row r="804" spans="1:4" x14ac:dyDescent="0.25">
      <c r="A804" t="s">
        <v>200</v>
      </c>
      <c r="B804">
        <v>25</v>
      </c>
      <c r="C804" t="s">
        <v>886</v>
      </c>
      <c r="D804" t="s">
        <v>201</v>
      </c>
    </row>
    <row r="805" spans="1:4" x14ac:dyDescent="0.25">
      <c r="A805" t="s">
        <v>203</v>
      </c>
      <c r="B805">
        <v>22</v>
      </c>
      <c r="C805" t="s">
        <v>886</v>
      </c>
      <c r="D805" t="s">
        <v>204</v>
      </c>
    </row>
    <row r="806" spans="1:4" x14ac:dyDescent="0.25">
      <c r="A806" t="s">
        <v>217</v>
      </c>
      <c r="B806">
        <v>19</v>
      </c>
      <c r="C806" t="s">
        <v>886</v>
      </c>
      <c r="D806" t="s">
        <v>218</v>
      </c>
    </row>
    <row r="807" spans="1:4" x14ac:dyDescent="0.25">
      <c r="A807" t="s">
        <v>251</v>
      </c>
      <c r="B807">
        <v>17</v>
      </c>
      <c r="C807" t="s">
        <v>125</v>
      </c>
      <c r="D807" t="s">
        <v>249</v>
      </c>
    </row>
    <row r="808" spans="1:4" x14ac:dyDescent="0.25">
      <c r="A808" t="s">
        <v>330</v>
      </c>
      <c r="B808">
        <v>17</v>
      </c>
      <c r="C808" t="s">
        <v>125</v>
      </c>
      <c r="D808" t="s">
        <v>331</v>
      </c>
    </row>
    <row r="809" spans="1:4" x14ac:dyDescent="0.25">
      <c r="A809" t="s">
        <v>250</v>
      </c>
      <c r="B809">
        <v>16</v>
      </c>
      <c r="C809" t="s">
        <v>125</v>
      </c>
      <c r="D809" t="s">
        <v>249</v>
      </c>
    </row>
    <row r="810" spans="1:4" x14ac:dyDescent="0.25">
      <c r="A810" t="s">
        <v>248</v>
      </c>
      <c r="B810">
        <v>16</v>
      </c>
      <c r="C810" t="s">
        <v>125</v>
      </c>
      <c r="D810" t="s">
        <v>249</v>
      </c>
    </row>
    <row r="811" spans="1:4" x14ac:dyDescent="0.25">
      <c r="A811" t="s">
        <v>468</v>
      </c>
      <c r="B811">
        <v>9</v>
      </c>
      <c r="C811" t="s">
        <v>125</v>
      </c>
      <c r="D811" t="s">
        <v>469</v>
      </c>
    </row>
    <row r="812" spans="1:4" x14ac:dyDescent="0.25">
      <c r="A812" t="s">
        <v>473</v>
      </c>
      <c r="B812">
        <v>6</v>
      </c>
      <c r="C812" t="s">
        <v>125</v>
      </c>
      <c r="D812" t="s">
        <v>474</v>
      </c>
    </row>
    <row r="813" spans="1:4" x14ac:dyDescent="0.25">
      <c r="A813" t="s">
        <v>455</v>
      </c>
      <c r="B813">
        <v>4</v>
      </c>
      <c r="C813" t="s">
        <v>125</v>
      </c>
      <c r="D813" t="s">
        <v>442</v>
      </c>
    </row>
    <row r="814" spans="1:4" x14ac:dyDescent="0.25">
      <c r="A814" t="s">
        <v>270</v>
      </c>
      <c r="B814">
        <v>2</v>
      </c>
      <c r="C814" t="s">
        <v>125</v>
      </c>
      <c r="D814" t="s">
        <v>249</v>
      </c>
    </row>
    <row r="815" spans="1:4" x14ac:dyDescent="0.25">
      <c r="A815" t="s">
        <v>34</v>
      </c>
      <c r="B815">
        <v>44</v>
      </c>
    </row>
    <row r="816" spans="1:4" x14ac:dyDescent="0.25">
      <c r="A816" t="s">
        <v>194</v>
      </c>
      <c r="B816">
        <v>4811</v>
      </c>
      <c r="C816" t="s">
        <v>886</v>
      </c>
      <c r="D816" t="s">
        <v>195</v>
      </c>
    </row>
    <row r="817" spans="1:4" x14ac:dyDescent="0.25">
      <c r="A817" t="s">
        <v>188</v>
      </c>
      <c r="B817">
        <v>2776</v>
      </c>
      <c r="C817" t="s">
        <v>886</v>
      </c>
      <c r="D817" t="s">
        <v>189</v>
      </c>
    </row>
    <row r="818" spans="1:4" x14ac:dyDescent="0.25">
      <c r="A818" t="s">
        <v>191</v>
      </c>
      <c r="B818">
        <v>2363</v>
      </c>
      <c r="C818" t="s">
        <v>886</v>
      </c>
      <c r="D818" t="s">
        <v>192</v>
      </c>
    </row>
    <row r="819" spans="1:4" x14ac:dyDescent="0.25">
      <c r="A819" t="s">
        <v>206</v>
      </c>
      <c r="B819">
        <v>2244</v>
      </c>
      <c r="C819" t="s">
        <v>886</v>
      </c>
      <c r="D819" t="s">
        <v>189</v>
      </c>
    </row>
    <row r="820" spans="1:4" x14ac:dyDescent="0.25">
      <c r="A820" t="s">
        <v>208</v>
      </c>
      <c r="B820">
        <v>1690</v>
      </c>
      <c r="C820" t="s">
        <v>886</v>
      </c>
      <c r="D820" t="s">
        <v>209</v>
      </c>
    </row>
    <row r="821" spans="1:4" x14ac:dyDescent="0.25">
      <c r="A821" t="s">
        <v>200</v>
      </c>
      <c r="B821">
        <v>370</v>
      </c>
      <c r="C821" t="s">
        <v>886</v>
      </c>
      <c r="D821" t="s">
        <v>201</v>
      </c>
    </row>
    <row r="822" spans="1:4" x14ac:dyDescent="0.25">
      <c r="A822" t="s">
        <v>427</v>
      </c>
      <c r="B822">
        <v>265</v>
      </c>
      <c r="C822" t="s">
        <v>125</v>
      </c>
      <c r="D822" t="s">
        <v>401</v>
      </c>
    </row>
    <row r="823" spans="1:4" x14ac:dyDescent="0.25">
      <c r="A823" t="s">
        <v>355</v>
      </c>
      <c r="B823">
        <v>153</v>
      </c>
      <c r="C823" t="s">
        <v>125</v>
      </c>
      <c r="D823" t="s">
        <v>356</v>
      </c>
    </row>
    <row r="824" spans="1:4" x14ac:dyDescent="0.25">
      <c r="A824" t="s">
        <v>366</v>
      </c>
      <c r="B824">
        <v>147</v>
      </c>
      <c r="C824" t="s">
        <v>125</v>
      </c>
      <c r="D824" t="s">
        <v>365</v>
      </c>
    </row>
    <row r="825" spans="1:4" x14ac:dyDescent="0.25">
      <c r="A825" t="s">
        <v>368</v>
      </c>
      <c r="B825">
        <v>129</v>
      </c>
      <c r="C825" t="s">
        <v>125</v>
      </c>
      <c r="D825" t="s">
        <v>369</v>
      </c>
    </row>
    <row r="826" spans="1:4" x14ac:dyDescent="0.25">
      <c r="A826" t="s">
        <v>362</v>
      </c>
      <c r="B826">
        <v>123</v>
      </c>
      <c r="C826" t="s">
        <v>125</v>
      </c>
      <c r="D826" t="s">
        <v>363</v>
      </c>
    </row>
    <row r="827" spans="1:4" x14ac:dyDescent="0.25">
      <c r="A827" t="s">
        <v>314</v>
      </c>
      <c r="B827">
        <v>118</v>
      </c>
      <c r="C827" t="s">
        <v>125</v>
      </c>
      <c r="D827" t="s">
        <v>315</v>
      </c>
    </row>
    <row r="828" spans="1:4" x14ac:dyDescent="0.25">
      <c r="A828" t="s">
        <v>446</v>
      </c>
      <c r="B828">
        <v>109</v>
      </c>
      <c r="C828" t="s">
        <v>125</v>
      </c>
      <c r="D828" t="s">
        <v>442</v>
      </c>
    </row>
    <row r="829" spans="1:4" x14ac:dyDescent="0.25">
      <c r="A829" t="s">
        <v>357</v>
      </c>
      <c r="B829">
        <v>49</v>
      </c>
      <c r="C829" t="s">
        <v>125</v>
      </c>
      <c r="D829" t="s">
        <v>356</v>
      </c>
    </row>
    <row r="830" spans="1:4" x14ac:dyDescent="0.25">
      <c r="A830" t="s">
        <v>471</v>
      </c>
      <c r="B830">
        <v>45</v>
      </c>
      <c r="C830" t="s">
        <v>125</v>
      </c>
      <c r="D830" t="s">
        <v>472</v>
      </c>
    </row>
    <row r="831" spans="1:4" x14ac:dyDescent="0.25">
      <c r="A831" t="s">
        <v>251</v>
      </c>
      <c r="B831">
        <v>39</v>
      </c>
      <c r="C831" t="s">
        <v>125</v>
      </c>
      <c r="D831" t="s">
        <v>249</v>
      </c>
    </row>
    <row r="832" spans="1:4" x14ac:dyDescent="0.25">
      <c r="A832" t="s">
        <v>479</v>
      </c>
      <c r="B832">
        <v>33</v>
      </c>
      <c r="C832" t="s">
        <v>125</v>
      </c>
      <c r="D832" t="s">
        <v>478</v>
      </c>
    </row>
    <row r="833" spans="1:4" x14ac:dyDescent="0.25">
      <c r="A833" t="s">
        <v>260</v>
      </c>
      <c r="B833">
        <v>32</v>
      </c>
      <c r="C833" t="s">
        <v>125</v>
      </c>
      <c r="D833" t="s">
        <v>249</v>
      </c>
    </row>
    <row r="834" spans="1:4" x14ac:dyDescent="0.25">
      <c r="A834" t="s">
        <v>337</v>
      </c>
      <c r="B834">
        <v>31</v>
      </c>
      <c r="C834" t="s">
        <v>125</v>
      </c>
      <c r="D834" t="s">
        <v>338</v>
      </c>
    </row>
    <row r="835" spans="1:4" x14ac:dyDescent="0.25">
      <c r="A835" t="s">
        <v>468</v>
      </c>
      <c r="B835">
        <v>26</v>
      </c>
      <c r="C835" t="s">
        <v>125</v>
      </c>
      <c r="D835" t="s">
        <v>469</v>
      </c>
    </row>
    <row r="836" spans="1:4" x14ac:dyDescent="0.25">
      <c r="A836" t="s">
        <v>328</v>
      </c>
      <c r="B836">
        <v>26</v>
      </c>
      <c r="C836" t="s">
        <v>125</v>
      </c>
      <c r="D836" t="s">
        <v>325</v>
      </c>
    </row>
    <row r="837" spans="1:4" x14ac:dyDescent="0.25">
      <c r="A837" t="s">
        <v>473</v>
      </c>
      <c r="B837">
        <v>22</v>
      </c>
      <c r="C837" t="s">
        <v>125</v>
      </c>
      <c r="D837" t="s">
        <v>474</v>
      </c>
    </row>
    <row r="838" spans="1:4" x14ac:dyDescent="0.25">
      <c r="A838" t="s">
        <v>324</v>
      </c>
      <c r="B838">
        <v>21</v>
      </c>
      <c r="C838" t="s">
        <v>125</v>
      </c>
      <c r="D838" t="s">
        <v>325</v>
      </c>
    </row>
    <row r="839" spans="1:4" x14ac:dyDescent="0.25">
      <c r="A839" t="s">
        <v>217</v>
      </c>
      <c r="B839">
        <v>20</v>
      </c>
      <c r="C839" t="s">
        <v>886</v>
      </c>
      <c r="D839" t="s">
        <v>218</v>
      </c>
    </row>
    <row r="840" spans="1:4" x14ac:dyDescent="0.25">
      <c r="A840" t="s">
        <v>457</v>
      </c>
      <c r="B840">
        <v>20</v>
      </c>
      <c r="C840" t="s">
        <v>125</v>
      </c>
      <c r="D840" t="s">
        <v>442</v>
      </c>
    </row>
    <row r="841" spans="1:4" x14ac:dyDescent="0.25">
      <c r="A841" t="s">
        <v>289</v>
      </c>
      <c r="B841">
        <v>19</v>
      </c>
      <c r="C841" t="s">
        <v>125</v>
      </c>
      <c r="D841" t="s">
        <v>290</v>
      </c>
    </row>
    <row r="842" spans="1:4" x14ac:dyDescent="0.25">
      <c r="A842" t="s">
        <v>270</v>
      </c>
      <c r="B842">
        <v>18</v>
      </c>
      <c r="C842" t="s">
        <v>125</v>
      </c>
      <c r="D842" t="s">
        <v>249</v>
      </c>
    </row>
    <row r="843" spans="1:4" x14ac:dyDescent="0.25">
      <c r="A843" t="s">
        <v>220</v>
      </c>
      <c r="B843">
        <v>17</v>
      </c>
      <c r="C843" t="s">
        <v>886</v>
      </c>
      <c r="D843" t="s">
        <v>221</v>
      </c>
    </row>
    <row r="844" spans="1:4" x14ac:dyDescent="0.25">
      <c r="A844" t="s">
        <v>348</v>
      </c>
      <c r="B844">
        <v>15</v>
      </c>
      <c r="C844" t="s">
        <v>125</v>
      </c>
      <c r="D844" t="s">
        <v>346</v>
      </c>
    </row>
    <row r="845" spans="1:4" x14ac:dyDescent="0.25">
      <c r="A845" t="s">
        <v>454</v>
      </c>
      <c r="B845">
        <v>14</v>
      </c>
      <c r="C845" t="s">
        <v>125</v>
      </c>
      <c r="D845" t="s">
        <v>442</v>
      </c>
    </row>
    <row r="846" spans="1:4" x14ac:dyDescent="0.25">
      <c r="A846" t="s">
        <v>482</v>
      </c>
      <c r="B846">
        <v>13</v>
      </c>
      <c r="C846" t="s">
        <v>125</v>
      </c>
      <c r="D846" t="s">
        <v>478</v>
      </c>
    </row>
    <row r="847" spans="1:4" x14ac:dyDescent="0.25">
      <c r="A847" t="s">
        <v>232</v>
      </c>
      <c r="B847">
        <v>11</v>
      </c>
      <c r="C847" t="s">
        <v>886</v>
      </c>
      <c r="D847" t="s">
        <v>204</v>
      </c>
    </row>
    <row r="848" spans="1:4" x14ac:dyDescent="0.25">
      <c r="A848" t="s">
        <v>340</v>
      </c>
      <c r="B848">
        <v>11</v>
      </c>
      <c r="C848" t="s">
        <v>125</v>
      </c>
      <c r="D848" t="s">
        <v>341</v>
      </c>
    </row>
    <row r="849" spans="1:4" x14ac:dyDescent="0.25">
      <c r="A849" t="s">
        <v>453</v>
      </c>
      <c r="B849">
        <v>10</v>
      </c>
      <c r="C849" t="s">
        <v>125</v>
      </c>
      <c r="D849" t="s">
        <v>442</v>
      </c>
    </row>
    <row r="850" spans="1:4" x14ac:dyDescent="0.25">
      <c r="A850" t="s">
        <v>272</v>
      </c>
      <c r="B850">
        <v>10</v>
      </c>
      <c r="C850" t="s">
        <v>125</v>
      </c>
      <c r="D850" t="s">
        <v>249</v>
      </c>
    </row>
    <row r="851" spans="1:4" x14ac:dyDescent="0.25">
      <c r="A851" t="s">
        <v>223</v>
      </c>
      <c r="B851">
        <v>8</v>
      </c>
      <c r="C851" t="s">
        <v>886</v>
      </c>
      <c r="D851" t="s">
        <v>224</v>
      </c>
    </row>
    <row r="852" spans="1:4" x14ac:dyDescent="0.25">
      <c r="A852" t="s">
        <v>261</v>
      </c>
      <c r="B852">
        <v>8</v>
      </c>
      <c r="C852" t="s">
        <v>125</v>
      </c>
      <c r="D852" t="s">
        <v>249</v>
      </c>
    </row>
    <row r="853" spans="1:4" x14ac:dyDescent="0.25">
      <c r="A853" t="s">
        <v>456</v>
      </c>
      <c r="B853">
        <v>7</v>
      </c>
      <c r="C853" t="s">
        <v>125</v>
      </c>
      <c r="D853" t="s">
        <v>442</v>
      </c>
    </row>
    <row r="854" spans="1:4" x14ac:dyDescent="0.25">
      <c r="A854" t="s">
        <v>262</v>
      </c>
      <c r="B854">
        <v>7</v>
      </c>
      <c r="C854" t="s">
        <v>125</v>
      </c>
      <c r="D854" t="s">
        <v>249</v>
      </c>
    </row>
    <row r="855" spans="1:4" x14ac:dyDescent="0.25">
      <c r="A855" t="s">
        <v>280</v>
      </c>
      <c r="B855">
        <v>7</v>
      </c>
      <c r="C855" t="s">
        <v>125</v>
      </c>
      <c r="D855" t="s">
        <v>249</v>
      </c>
    </row>
    <row r="856" spans="1:4" x14ac:dyDescent="0.25">
      <c r="A856" t="s">
        <v>421</v>
      </c>
      <c r="B856">
        <v>7</v>
      </c>
      <c r="C856" t="s">
        <v>125</v>
      </c>
      <c r="D856" t="s">
        <v>401</v>
      </c>
    </row>
    <row r="857" spans="1:4" x14ac:dyDescent="0.25">
      <c r="A857" t="s">
        <v>398</v>
      </c>
      <c r="B857">
        <v>5</v>
      </c>
      <c r="C857" t="s">
        <v>125</v>
      </c>
      <c r="D857" t="s">
        <v>399</v>
      </c>
    </row>
    <row r="858" spans="1:4" x14ac:dyDescent="0.25">
      <c r="A858" t="s">
        <v>385</v>
      </c>
      <c r="B858">
        <v>4</v>
      </c>
      <c r="C858" t="s">
        <v>125</v>
      </c>
      <c r="D858" t="s">
        <v>386</v>
      </c>
    </row>
    <row r="859" spans="1:4" x14ac:dyDescent="0.25">
      <c r="A859" t="s">
        <v>412</v>
      </c>
      <c r="B859">
        <v>3</v>
      </c>
      <c r="C859" t="s">
        <v>125</v>
      </c>
      <c r="D859" t="s">
        <v>401</v>
      </c>
    </row>
    <row r="860" spans="1:4" x14ac:dyDescent="0.25">
      <c r="A860" t="s">
        <v>35</v>
      </c>
      <c r="B860">
        <v>29</v>
      </c>
    </row>
    <row r="861" spans="1:4" x14ac:dyDescent="0.25">
      <c r="A861" t="s">
        <v>314</v>
      </c>
      <c r="B861">
        <v>1073</v>
      </c>
      <c r="C861" t="s">
        <v>125</v>
      </c>
      <c r="D861" t="s">
        <v>315</v>
      </c>
    </row>
    <row r="862" spans="1:4" x14ac:dyDescent="0.25">
      <c r="A862" t="s">
        <v>191</v>
      </c>
      <c r="B862">
        <v>864</v>
      </c>
      <c r="C862" t="s">
        <v>886</v>
      </c>
      <c r="D862" t="s">
        <v>192</v>
      </c>
    </row>
    <row r="863" spans="1:4" x14ac:dyDescent="0.25">
      <c r="A863" t="s">
        <v>248</v>
      </c>
      <c r="B863">
        <v>463</v>
      </c>
      <c r="C863" t="s">
        <v>125</v>
      </c>
      <c r="D863" t="s">
        <v>249</v>
      </c>
    </row>
    <row r="864" spans="1:4" x14ac:dyDescent="0.25">
      <c r="A864" t="s">
        <v>487</v>
      </c>
      <c r="B864">
        <v>204</v>
      </c>
      <c r="C864" t="s">
        <v>125</v>
      </c>
      <c r="D864" t="s">
        <v>488</v>
      </c>
    </row>
    <row r="865" spans="1:4" x14ac:dyDescent="0.25">
      <c r="A865" t="s">
        <v>441</v>
      </c>
      <c r="B865">
        <v>151</v>
      </c>
      <c r="C865" t="s">
        <v>125</v>
      </c>
      <c r="D865" t="s">
        <v>442</v>
      </c>
    </row>
    <row r="866" spans="1:4" x14ac:dyDescent="0.25">
      <c r="A866" t="s">
        <v>366</v>
      </c>
      <c r="B866">
        <v>150</v>
      </c>
      <c r="C866" t="s">
        <v>125</v>
      </c>
      <c r="D866" t="s">
        <v>365</v>
      </c>
    </row>
    <row r="867" spans="1:4" x14ac:dyDescent="0.25">
      <c r="A867" t="s">
        <v>197</v>
      </c>
      <c r="B867">
        <v>137</v>
      </c>
      <c r="C867" t="s">
        <v>886</v>
      </c>
      <c r="D867" t="s">
        <v>198</v>
      </c>
    </row>
    <row r="868" spans="1:4" x14ac:dyDescent="0.25">
      <c r="A868" t="s">
        <v>253</v>
      </c>
      <c r="B868">
        <v>116</v>
      </c>
      <c r="C868" t="s">
        <v>125</v>
      </c>
      <c r="D868" t="s">
        <v>249</v>
      </c>
    </row>
    <row r="869" spans="1:4" x14ac:dyDescent="0.25">
      <c r="A869" t="s">
        <v>326</v>
      </c>
      <c r="B869">
        <v>111</v>
      </c>
      <c r="C869" t="s">
        <v>125</v>
      </c>
      <c r="D869" t="s">
        <v>325</v>
      </c>
    </row>
    <row r="870" spans="1:4" x14ac:dyDescent="0.25">
      <c r="A870" t="s">
        <v>334</v>
      </c>
      <c r="B870">
        <v>96</v>
      </c>
      <c r="C870" t="s">
        <v>125</v>
      </c>
      <c r="D870" t="s">
        <v>333</v>
      </c>
    </row>
    <row r="871" spans="1:4" x14ac:dyDescent="0.25">
      <c r="A871" t="s">
        <v>194</v>
      </c>
      <c r="B871">
        <v>84</v>
      </c>
      <c r="C871" t="s">
        <v>886</v>
      </c>
      <c r="D871" t="s">
        <v>195</v>
      </c>
    </row>
    <row r="872" spans="1:4" x14ac:dyDescent="0.25">
      <c r="A872" t="s">
        <v>307</v>
      </c>
      <c r="B872">
        <v>78</v>
      </c>
      <c r="C872" t="s">
        <v>125</v>
      </c>
      <c r="D872" t="s">
        <v>308</v>
      </c>
    </row>
    <row r="873" spans="1:4" x14ac:dyDescent="0.25">
      <c r="A873" t="s">
        <v>208</v>
      </c>
      <c r="B873">
        <v>77</v>
      </c>
      <c r="C873" t="s">
        <v>886</v>
      </c>
      <c r="D873" t="s">
        <v>209</v>
      </c>
    </row>
    <row r="874" spans="1:4" x14ac:dyDescent="0.25">
      <c r="A874" t="s">
        <v>250</v>
      </c>
      <c r="B874">
        <v>74</v>
      </c>
      <c r="C874" t="s">
        <v>125</v>
      </c>
      <c r="D874" t="s">
        <v>249</v>
      </c>
    </row>
    <row r="875" spans="1:4" x14ac:dyDescent="0.25">
      <c r="A875" t="s">
        <v>251</v>
      </c>
      <c r="B875">
        <v>73</v>
      </c>
      <c r="C875" t="s">
        <v>125</v>
      </c>
      <c r="D875" t="s">
        <v>249</v>
      </c>
    </row>
    <row r="876" spans="1:4" x14ac:dyDescent="0.25">
      <c r="A876" t="s">
        <v>429</v>
      </c>
      <c r="B876">
        <v>71</v>
      </c>
      <c r="C876" t="s">
        <v>125</v>
      </c>
      <c r="D876" t="s">
        <v>401</v>
      </c>
    </row>
    <row r="877" spans="1:4" x14ac:dyDescent="0.25">
      <c r="A877" t="s">
        <v>430</v>
      </c>
      <c r="B877">
        <v>70</v>
      </c>
      <c r="C877" t="s">
        <v>125</v>
      </c>
      <c r="D877" t="s">
        <v>401</v>
      </c>
    </row>
    <row r="878" spans="1:4" x14ac:dyDescent="0.25">
      <c r="A878" t="s">
        <v>263</v>
      </c>
      <c r="B878">
        <v>66</v>
      </c>
      <c r="C878" t="s">
        <v>125</v>
      </c>
      <c r="D878" t="s">
        <v>249</v>
      </c>
    </row>
    <row r="879" spans="1:4" x14ac:dyDescent="0.25">
      <c r="A879" t="s">
        <v>185</v>
      </c>
      <c r="B879">
        <v>64</v>
      </c>
      <c r="C879" t="s">
        <v>886</v>
      </c>
      <c r="D879" t="s">
        <v>186</v>
      </c>
    </row>
    <row r="880" spans="1:4" x14ac:dyDescent="0.25">
      <c r="A880" t="s">
        <v>302</v>
      </c>
      <c r="B880">
        <v>59</v>
      </c>
      <c r="C880" t="s">
        <v>125</v>
      </c>
      <c r="D880" t="s">
        <v>303</v>
      </c>
    </row>
    <row r="881" spans="1:4" x14ac:dyDescent="0.25">
      <c r="A881" t="s">
        <v>281</v>
      </c>
      <c r="B881">
        <v>57</v>
      </c>
      <c r="C881" t="s">
        <v>125</v>
      </c>
      <c r="D881" t="s">
        <v>249</v>
      </c>
    </row>
    <row r="882" spans="1:4" x14ac:dyDescent="0.25">
      <c r="A882" t="s">
        <v>232</v>
      </c>
      <c r="B882">
        <v>50</v>
      </c>
      <c r="C882" t="s">
        <v>886</v>
      </c>
      <c r="D882" t="s">
        <v>204</v>
      </c>
    </row>
    <row r="883" spans="1:4" x14ac:dyDescent="0.25">
      <c r="A883" t="s">
        <v>226</v>
      </c>
      <c r="B883">
        <v>39</v>
      </c>
      <c r="C883" t="s">
        <v>886</v>
      </c>
      <c r="D883" t="s">
        <v>227</v>
      </c>
    </row>
    <row r="884" spans="1:4" x14ac:dyDescent="0.25">
      <c r="A884" t="s">
        <v>335</v>
      </c>
      <c r="B884">
        <v>35</v>
      </c>
      <c r="C884" t="s">
        <v>125</v>
      </c>
      <c r="D884" t="s">
        <v>336</v>
      </c>
    </row>
    <row r="885" spans="1:4" x14ac:dyDescent="0.25">
      <c r="A885" t="s">
        <v>431</v>
      </c>
      <c r="B885">
        <v>32</v>
      </c>
      <c r="C885" t="s">
        <v>125</v>
      </c>
      <c r="D885" t="s">
        <v>401</v>
      </c>
    </row>
    <row r="886" spans="1:4" x14ac:dyDescent="0.25">
      <c r="A886" t="s">
        <v>411</v>
      </c>
      <c r="B886">
        <v>31</v>
      </c>
      <c r="C886" t="s">
        <v>125</v>
      </c>
      <c r="D886" t="s">
        <v>401</v>
      </c>
    </row>
    <row r="887" spans="1:4" x14ac:dyDescent="0.25">
      <c r="A887" t="s">
        <v>468</v>
      </c>
      <c r="B887">
        <v>28</v>
      </c>
      <c r="C887" t="s">
        <v>125</v>
      </c>
      <c r="D887" t="s">
        <v>469</v>
      </c>
    </row>
    <row r="888" spans="1:4" x14ac:dyDescent="0.25">
      <c r="A888" t="s">
        <v>391</v>
      </c>
      <c r="B888">
        <v>27</v>
      </c>
      <c r="C888" t="s">
        <v>125</v>
      </c>
      <c r="D888" t="s">
        <v>392</v>
      </c>
    </row>
    <row r="889" spans="1:4" x14ac:dyDescent="0.25">
      <c r="A889" t="s">
        <v>340</v>
      </c>
      <c r="B889">
        <v>23</v>
      </c>
      <c r="C889" t="s">
        <v>125</v>
      </c>
      <c r="D889" t="s">
        <v>341</v>
      </c>
    </row>
    <row r="890" spans="1:4" x14ac:dyDescent="0.25">
      <c r="A890" t="s">
        <v>36</v>
      </c>
      <c r="B890">
        <v>22</v>
      </c>
    </row>
    <row r="891" spans="1:4" x14ac:dyDescent="0.25">
      <c r="A891" t="s">
        <v>191</v>
      </c>
      <c r="B891">
        <v>8221</v>
      </c>
      <c r="C891" t="s">
        <v>886</v>
      </c>
      <c r="D891" t="s">
        <v>192</v>
      </c>
    </row>
    <row r="892" spans="1:4" x14ac:dyDescent="0.25">
      <c r="A892" t="s">
        <v>185</v>
      </c>
      <c r="B892">
        <v>2832</v>
      </c>
      <c r="C892" t="s">
        <v>886</v>
      </c>
      <c r="D892" t="s">
        <v>186</v>
      </c>
    </row>
    <row r="893" spans="1:4" x14ac:dyDescent="0.25">
      <c r="A893" t="s">
        <v>208</v>
      </c>
      <c r="B893">
        <v>209</v>
      </c>
      <c r="C893" t="s">
        <v>886</v>
      </c>
      <c r="D893" t="s">
        <v>209</v>
      </c>
    </row>
    <row r="894" spans="1:4" x14ac:dyDescent="0.25">
      <c r="A894" t="s">
        <v>206</v>
      </c>
      <c r="B894">
        <v>199</v>
      </c>
      <c r="C894" t="s">
        <v>886</v>
      </c>
      <c r="D894" t="s">
        <v>189</v>
      </c>
    </row>
    <row r="895" spans="1:4" x14ac:dyDescent="0.25">
      <c r="A895" t="s">
        <v>188</v>
      </c>
      <c r="B895">
        <v>187</v>
      </c>
      <c r="C895" t="s">
        <v>886</v>
      </c>
      <c r="D895" t="s">
        <v>189</v>
      </c>
    </row>
    <row r="896" spans="1:4" x14ac:dyDescent="0.25">
      <c r="A896" t="s">
        <v>314</v>
      </c>
      <c r="B896">
        <v>140</v>
      </c>
      <c r="C896" t="s">
        <v>125</v>
      </c>
      <c r="D896" t="s">
        <v>315</v>
      </c>
    </row>
    <row r="897" spans="1:4" x14ac:dyDescent="0.25">
      <c r="A897" t="s">
        <v>194</v>
      </c>
      <c r="B897">
        <v>45</v>
      </c>
      <c r="C897" t="s">
        <v>886</v>
      </c>
      <c r="D897" t="s">
        <v>195</v>
      </c>
    </row>
    <row r="898" spans="1:4" x14ac:dyDescent="0.25">
      <c r="A898" t="s">
        <v>446</v>
      </c>
      <c r="B898">
        <v>38</v>
      </c>
      <c r="C898" t="s">
        <v>125</v>
      </c>
      <c r="D898" t="s">
        <v>442</v>
      </c>
    </row>
    <row r="899" spans="1:4" x14ac:dyDescent="0.25">
      <c r="A899" t="s">
        <v>479</v>
      </c>
      <c r="B899">
        <v>28</v>
      </c>
      <c r="C899" t="s">
        <v>125</v>
      </c>
      <c r="D899" t="s">
        <v>478</v>
      </c>
    </row>
    <row r="900" spans="1:4" x14ac:dyDescent="0.25">
      <c r="A900" t="s">
        <v>200</v>
      </c>
      <c r="B900">
        <v>26</v>
      </c>
      <c r="C900" t="s">
        <v>886</v>
      </c>
      <c r="D900" t="s">
        <v>201</v>
      </c>
    </row>
    <row r="901" spans="1:4" x14ac:dyDescent="0.25">
      <c r="A901" t="s">
        <v>326</v>
      </c>
      <c r="B901">
        <v>20</v>
      </c>
      <c r="C901" t="s">
        <v>125</v>
      </c>
      <c r="D901" t="s">
        <v>325</v>
      </c>
    </row>
    <row r="902" spans="1:4" x14ac:dyDescent="0.25">
      <c r="A902" t="s">
        <v>449</v>
      </c>
      <c r="B902">
        <v>18</v>
      </c>
      <c r="C902" t="s">
        <v>125</v>
      </c>
      <c r="D902" t="s">
        <v>442</v>
      </c>
    </row>
    <row r="903" spans="1:4" x14ac:dyDescent="0.25">
      <c r="A903" t="s">
        <v>358</v>
      </c>
      <c r="B903">
        <v>17</v>
      </c>
      <c r="C903" t="s">
        <v>125</v>
      </c>
      <c r="D903" t="s">
        <v>356</v>
      </c>
    </row>
    <row r="904" spans="1:4" x14ac:dyDescent="0.25">
      <c r="A904" t="s">
        <v>473</v>
      </c>
      <c r="B904">
        <v>12</v>
      </c>
      <c r="C904" t="s">
        <v>125</v>
      </c>
      <c r="D904" t="s">
        <v>474</v>
      </c>
    </row>
    <row r="905" spans="1:4" x14ac:dyDescent="0.25">
      <c r="A905" t="s">
        <v>324</v>
      </c>
      <c r="B905">
        <v>10</v>
      </c>
      <c r="C905" t="s">
        <v>125</v>
      </c>
      <c r="D905" t="s">
        <v>325</v>
      </c>
    </row>
    <row r="906" spans="1:4" x14ac:dyDescent="0.25">
      <c r="A906" t="s">
        <v>471</v>
      </c>
      <c r="B906">
        <v>8</v>
      </c>
      <c r="C906" t="s">
        <v>125</v>
      </c>
      <c r="D906" t="s">
        <v>472</v>
      </c>
    </row>
    <row r="907" spans="1:4" x14ac:dyDescent="0.25">
      <c r="A907" t="s">
        <v>217</v>
      </c>
      <c r="B907">
        <v>8</v>
      </c>
      <c r="C907" t="s">
        <v>886</v>
      </c>
      <c r="D907" t="s">
        <v>218</v>
      </c>
    </row>
    <row r="908" spans="1:4" x14ac:dyDescent="0.25">
      <c r="A908" t="s">
        <v>220</v>
      </c>
      <c r="B908">
        <v>7</v>
      </c>
      <c r="C908" t="s">
        <v>886</v>
      </c>
      <c r="D908" t="s">
        <v>221</v>
      </c>
    </row>
    <row r="909" spans="1:4" x14ac:dyDescent="0.25">
      <c r="A909" t="s">
        <v>251</v>
      </c>
      <c r="B909">
        <v>6</v>
      </c>
      <c r="C909" t="s">
        <v>125</v>
      </c>
      <c r="D909" t="s">
        <v>249</v>
      </c>
    </row>
    <row r="910" spans="1:4" x14ac:dyDescent="0.25">
      <c r="A910" t="s">
        <v>260</v>
      </c>
      <c r="B910">
        <v>6</v>
      </c>
      <c r="C910" t="s">
        <v>125</v>
      </c>
      <c r="D910" t="s">
        <v>249</v>
      </c>
    </row>
    <row r="911" spans="1:4" x14ac:dyDescent="0.25">
      <c r="A911" t="s">
        <v>454</v>
      </c>
      <c r="B911">
        <v>5</v>
      </c>
      <c r="C911" t="s">
        <v>125</v>
      </c>
      <c r="D911" t="s">
        <v>442</v>
      </c>
    </row>
    <row r="912" spans="1:4" x14ac:dyDescent="0.25">
      <c r="A912" t="s">
        <v>203</v>
      </c>
      <c r="B912">
        <v>4</v>
      </c>
      <c r="C912" t="s">
        <v>886</v>
      </c>
      <c r="D912" t="s">
        <v>204</v>
      </c>
    </row>
    <row r="913" spans="1:4" x14ac:dyDescent="0.25">
      <c r="A913" t="s">
        <v>37</v>
      </c>
      <c r="B913">
        <v>43</v>
      </c>
    </row>
    <row r="914" spans="1:4" x14ac:dyDescent="0.25">
      <c r="A914" t="s">
        <v>185</v>
      </c>
      <c r="B914">
        <v>8169</v>
      </c>
      <c r="C914" t="s">
        <v>886</v>
      </c>
      <c r="D914" t="s">
        <v>186</v>
      </c>
    </row>
    <row r="915" spans="1:4" x14ac:dyDescent="0.25">
      <c r="A915" t="s">
        <v>191</v>
      </c>
      <c r="B915">
        <v>5095</v>
      </c>
      <c r="C915" t="s">
        <v>886</v>
      </c>
      <c r="D915" t="s">
        <v>192</v>
      </c>
    </row>
    <row r="916" spans="1:4" x14ac:dyDescent="0.25">
      <c r="A916" t="s">
        <v>200</v>
      </c>
      <c r="B916">
        <v>204</v>
      </c>
      <c r="C916" t="s">
        <v>886</v>
      </c>
      <c r="D916" t="s">
        <v>201</v>
      </c>
    </row>
    <row r="917" spans="1:4" x14ac:dyDescent="0.25">
      <c r="A917" t="s">
        <v>206</v>
      </c>
      <c r="B917">
        <v>202</v>
      </c>
      <c r="C917" t="s">
        <v>886</v>
      </c>
      <c r="D917" t="s">
        <v>189</v>
      </c>
    </row>
    <row r="918" spans="1:4" x14ac:dyDescent="0.25">
      <c r="A918" t="s">
        <v>188</v>
      </c>
      <c r="B918">
        <v>201</v>
      </c>
      <c r="C918" t="s">
        <v>886</v>
      </c>
      <c r="D918" t="s">
        <v>189</v>
      </c>
    </row>
    <row r="919" spans="1:4" x14ac:dyDescent="0.25">
      <c r="A919" t="s">
        <v>340</v>
      </c>
      <c r="B919">
        <v>130</v>
      </c>
      <c r="C919" t="s">
        <v>125</v>
      </c>
      <c r="D919" t="s">
        <v>341</v>
      </c>
    </row>
    <row r="920" spans="1:4" x14ac:dyDescent="0.25">
      <c r="A920" t="s">
        <v>319</v>
      </c>
      <c r="B920">
        <v>123</v>
      </c>
      <c r="C920" t="s">
        <v>125</v>
      </c>
      <c r="D920" t="s">
        <v>318</v>
      </c>
    </row>
    <row r="921" spans="1:4" x14ac:dyDescent="0.25">
      <c r="A921" t="s">
        <v>326</v>
      </c>
      <c r="B921">
        <v>108</v>
      </c>
      <c r="C921" t="s">
        <v>125</v>
      </c>
      <c r="D921" t="s">
        <v>325</v>
      </c>
    </row>
    <row r="922" spans="1:4" x14ac:dyDescent="0.25">
      <c r="A922" t="s">
        <v>214</v>
      </c>
      <c r="B922">
        <v>108</v>
      </c>
      <c r="C922" t="s">
        <v>886</v>
      </c>
      <c r="D922" t="s">
        <v>215</v>
      </c>
    </row>
    <row r="923" spans="1:4" x14ac:dyDescent="0.25">
      <c r="A923" t="s">
        <v>314</v>
      </c>
      <c r="B923">
        <v>95</v>
      </c>
      <c r="C923" t="s">
        <v>125</v>
      </c>
      <c r="D923" t="s">
        <v>315</v>
      </c>
    </row>
    <row r="924" spans="1:4" x14ac:dyDescent="0.25">
      <c r="A924" t="s">
        <v>446</v>
      </c>
      <c r="B924">
        <v>77</v>
      </c>
      <c r="C924" t="s">
        <v>125</v>
      </c>
      <c r="D924" t="s">
        <v>442</v>
      </c>
    </row>
    <row r="925" spans="1:4" x14ac:dyDescent="0.25">
      <c r="A925" t="s">
        <v>203</v>
      </c>
      <c r="B925">
        <v>72</v>
      </c>
      <c r="C925" t="s">
        <v>886</v>
      </c>
      <c r="D925" t="s">
        <v>204</v>
      </c>
    </row>
    <row r="926" spans="1:4" x14ac:dyDescent="0.25">
      <c r="A926" t="s">
        <v>316</v>
      </c>
      <c r="B926">
        <v>59</v>
      </c>
      <c r="C926" t="s">
        <v>125</v>
      </c>
      <c r="D926" t="s">
        <v>315</v>
      </c>
    </row>
    <row r="927" spans="1:4" x14ac:dyDescent="0.25">
      <c r="A927" t="s">
        <v>266</v>
      </c>
      <c r="B927">
        <v>51</v>
      </c>
      <c r="C927" t="s">
        <v>125</v>
      </c>
      <c r="D927" t="s">
        <v>249</v>
      </c>
    </row>
    <row r="928" spans="1:4" x14ac:dyDescent="0.25">
      <c r="A928" t="s">
        <v>479</v>
      </c>
      <c r="B928">
        <v>48</v>
      </c>
      <c r="C928" t="s">
        <v>125</v>
      </c>
      <c r="D928" t="s">
        <v>478</v>
      </c>
    </row>
    <row r="929" spans="1:4" x14ac:dyDescent="0.25">
      <c r="A929" t="s">
        <v>289</v>
      </c>
      <c r="B929">
        <v>46</v>
      </c>
      <c r="C929" t="s">
        <v>125</v>
      </c>
      <c r="D929" t="s">
        <v>290</v>
      </c>
    </row>
    <row r="930" spans="1:4" x14ac:dyDescent="0.25">
      <c r="A930" t="s">
        <v>358</v>
      </c>
      <c r="B930">
        <v>46</v>
      </c>
      <c r="C930" t="s">
        <v>125</v>
      </c>
      <c r="D930" t="s">
        <v>356</v>
      </c>
    </row>
    <row r="931" spans="1:4" x14ac:dyDescent="0.25">
      <c r="A931" t="s">
        <v>194</v>
      </c>
      <c r="B931">
        <v>45</v>
      </c>
      <c r="C931" t="s">
        <v>886</v>
      </c>
      <c r="D931" t="s">
        <v>195</v>
      </c>
    </row>
    <row r="932" spans="1:4" x14ac:dyDescent="0.25">
      <c r="A932" t="s">
        <v>328</v>
      </c>
      <c r="B932">
        <v>40</v>
      </c>
      <c r="C932" t="s">
        <v>125</v>
      </c>
      <c r="D932" t="s">
        <v>325</v>
      </c>
    </row>
    <row r="933" spans="1:4" x14ac:dyDescent="0.25">
      <c r="A933" t="s">
        <v>226</v>
      </c>
      <c r="B933">
        <v>38</v>
      </c>
      <c r="C933" t="s">
        <v>886</v>
      </c>
      <c r="D933" t="s">
        <v>227</v>
      </c>
    </row>
    <row r="934" spans="1:4" x14ac:dyDescent="0.25">
      <c r="A934" t="s">
        <v>324</v>
      </c>
      <c r="B934">
        <v>37</v>
      </c>
      <c r="C934" t="s">
        <v>125</v>
      </c>
      <c r="D934" t="s">
        <v>325</v>
      </c>
    </row>
    <row r="935" spans="1:4" x14ac:dyDescent="0.25">
      <c r="A935" t="s">
        <v>330</v>
      </c>
      <c r="B935">
        <v>32</v>
      </c>
      <c r="C935" t="s">
        <v>125</v>
      </c>
      <c r="D935" t="s">
        <v>331</v>
      </c>
    </row>
    <row r="936" spans="1:4" x14ac:dyDescent="0.25">
      <c r="A936" t="s">
        <v>217</v>
      </c>
      <c r="B936">
        <v>30</v>
      </c>
      <c r="C936" t="s">
        <v>886</v>
      </c>
      <c r="D936" t="s">
        <v>218</v>
      </c>
    </row>
    <row r="937" spans="1:4" x14ac:dyDescent="0.25">
      <c r="A937" t="s">
        <v>251</v>
      </c>
      <c r="B937">
        <v>30</v>
      </c>
      <c r="C937" t="s">
        <v>125</v>
      </c>
      <c r="D937" t="s">
        <v>249</v>
      </c>
    </row>
    <row r="938" spans="1:4" x14ac:dyDescent="0.25">
      <c r="A938" t="s">
        <v>208</v>
      </c>
      <c r="B938">
        <v>27</v>
      </c>
      <c r="C938" t="s">
        <v>886</v>
      </c>
      <c r="D938" t="s">
        <v>209</v>
      </c>
    </row>
    <row r="939" spans="1:4" x14ac:dyDescent="0.25">
      <c r="A939" t="s">
        <v>304</v>
      </c>
      <c r="B939">
        <v>25</v>
      </c>
      <c r="C939" t="s">
        <v>125</v>
      </c>
      <c r="D939" t="s">
        <v>305</v>
      </c>
    </row>
    <row r="940" spans="1:4" x14ac:dyDescent="0.25">
      <c r="A940" t="s">
        <v>255</v>
      </c>
      <c r="B940">
        <v>23</v>
      </c>
      <c r="C940" t="s">
        <v>125</v>
      </c>
      <c r="D940" t="s">
        <v>249</v>
      </c>
    </row>
    <row r="941" spans="1:4" x14ac:dyDescent="0.25">
      <c r="A941" t="s">
        <v>355</v>
      </c>
      <c r="B941">
        <v>23</v>
      </c>
      <c r="C941" t="s">
        <v>125</v>
      </c>
      <c r="D941" t="s">
        <v>356</v>
      </c>
    </row>
    <row r="942" spans="1:4" x14ac:dyDescent="0.25">
      <c r="A942" t="s">
        <v>471</v>
      </c>
      <c r="B942">
        <v>22</v>
      </c>
      <c r="C942" t="s">
        <v>125</v>
      </c>
      <c r="D942" t="s">
        <v>472</v>
      </c>
    </row>
    <row r="943" spans="1:4" x14ac:dyDescent="0.25">
      <c r="A943" t="s">
        <v>473</v>
      </c>
      <c r="B943">
        <v>21</v>
      </c>
      <c r="C943" t="s">
        <v>125</v>
      </c>
      <c r="D943" t="s">
        <v>474</v>
      </c>
    </row>
    <row r="944" spans="1:4" x14ac:dyDescent="0.25">
      <c r="A944" t="s">
        <v>275</v>
      </c>
      <c r="B944">
        <v>18</v>
      </c>
      <c r="C944" t="s">
        <v>125</v>
      </c>
      <c r="D944" t="s">
        <v>249</v>
      </c>
    </row>
    <row r="945" spans="1:4" x14ac:dyDescent="0.25">
      <c r="A945" t="s">
        <v>220</v>
      </c>
      <c r="B945">
        <v>17</v>
      </c>
      <c r="C945" t="s">
        <v>886</v>
      </c>
      <c r="D945" t="s">
        <v>221</v>
      </c>
    </row>
    <row r="946" spans="1:4" x14ac:dyDescent="0.25">
      <c r="A946" t="s">
        <v>300</v>
      </c>
      <c r="B946">
        <v>17</v>
      </c>
      <c r="C946" t="s">
        <v>125</v>
      </c>
      <c r="D946" t="s">
        <v>301</v>
      </c>
    </row>
    <row r="947" spans="1:4" x14ac:dyDescent="0.25">
      <c r="A947" t="s">
        <v>361</v>
      </c>
      <c r="B947">
        <v>16</v>
      </c>
      <c r="C947" t="s">
        <v>125</v>
      </c>
      <c r="D947" t="s">
        <v>360</v>
      </c>
    </row>
    <row r="948" spans="1:4" x14ac:dyDescent="0.25">
      <c r="A948" t="s">
        <v>270</v>
      </c>
      <c r="B948">
        <v>14</v>
      </c>
      <c r="C948" t="s">
        <v>125</v>
      </c>
      <c r="D948" t="s">
        <v>249</v>
      </c>
    </row>
    <row r="949" spans="1:4" x14ac:dyDescent="0.25">
      <c r="A949" t="s">
        <v>454</v>
      </c>
      <c r="B949">
        <v>12</v>
      </c>
      <c r="C949" t="s">
        <v>125</v>
      </c>
      <c r="D949" t="s">
        <v>442</v>
      </c>
    </row>
    <row r="950" spans="1:4" x14ac:dyDescent="0.25">
      <c r="A950" t="s">
        <v>293</v>
      </c>
      <c r="B950">
        <v>8</v>
      </c>
      <c r="C950" t="s">
        <v>125</v>
      </c>
      <c r="D950" t="s">
        <v>294</v>
      </c>
    </row>
    <row r="951" spans="1:4" x14ac:dyDescent="0.25">
      <c r="A951" t="s">
        <v>274</v>
      </c>
      <c r="B951">
        <v>6</v>
      </c>
      <c r="C951" t="s">
        <v>125</v>
      </c>
      <c r="D951" t="s">
        <v>249</v>
      </c>
    </row>
    <row r="952" spans="1:4" x14ac:dyDescent="0.25">
      <c r="A952" t="s">
        <v>261</v>
      </c>
      <c r="B952">
        <v>6</v>
      </c>
      <c r="C952" t="s">
        <v>125</v>
      </c>
      <c r="D952" t="s">
        <v>249</v>
      </c>
    </row>
    <row r="953" spans="1:4" x14ac:dyDescent="0.25">
      <c r="A953" t="s">
        <v>447</v>
      </c>
      <c r="B953">
        <v>5</v>
      </c>
      <c r="C953" t="s">
        <v>125</v>
      </c>
      <c r="D953" t="s">
        <v>442</v>
      </c>
    </row>
    <row r="954" spans="1:4" x14ac:dyDescent="0.25">
      <c r="A954" t="s">
        <v>421</v>
      </c>
      <c r="B954">
        <v>3</v>
      </c>
      <c r="C954" t="s">
        <v>125</v>
      </c>
      <c r="D954" t="s">
        <v>401</v>
      </c>
    </row>
    <row r="955" spans="1:4" x14ac:dyDescent="0.25">
      <c r="A955" t="s">
        <v>468</v>
      </c>
      <c r="B955">
        <v>3</v>
      </c>
      <c r="C955" t="s">
        <v>125</v>
      </c>
      <c r="D955" t="s">
        <v>469</v>
      </c>
    </row>
    <row r="956" spans="1:4" x14ac:dyDescent="0.25">
      <c r="A956" t="s">
        <v>418</v>
      </c>
      <c r="B956">
        <v>2</v>
      </c>
      <c r="C956" t="s">
        <v>125</v>
      </c>
      <c r="D956" t="s">
        <v>401</v>
      </c>
    </row>
    <row r="957" spans="1:4" x14ac:dyDescent="0.25">
      <c r="A957" t="s">
        <v>38</v>
      </c>
      <c r="B957">
        <v>32</v>
      </c>
    </row>
    <row r="958" spans="1:4" x14ac:dyDescent="0.25">
      <c r="A958" t="s">
        <v>191</v>
      </c>
      <c r="B958">
        <v>7489</v>
      </c>
      <c r="C958" t="s">
        <v>886</v>
      </c>
      <c r="D958" t="s">
        <v>192</v>
      </c>
    </row>
    <row r="959" spans="1:4" x14ac:dyDescent="0.25">
      <c r="A959" t="s">
        <v>340</v>
      </c>
      <c r="B959">
        <v>5157</v>
      </c>
      <c r="C959" t="s">
        <v>125</v>
      </c>
      <c r="D959" t="s">
        <v>341</v>
      </c>
    </row>
    <row r="960" spans="1:4" x14ac:dyDescent="0.25">
      <c r="A960" t="s">
        <v>185</v>
      </c>
      <c r="B960">
        <v>4838</v>
      </c>
      <c r="C960" t="s">
        <v>886</v>
      </c>
      <c r="D960" t="s">
        <v>186</v>
      </c>
    </row>
    <row r="961" spans="1:4" x14ac:dyDescent="0.25">
      <c r="A961" t="s">
        <v>208</v>
      </c>
      <c r="B961">
        <v>616</v>
      </c>
      <c r="C961" t="s">
        <v>886</v>
      </c>
      <c r="D961" t="s">
        <v>209</v>
      </c>
    </row>
    <row r="962" spans="1:4" x14ac:dyDescent="0.25">
      <c r="A962" t="s">
        <v>326</v>
      </c>
      <c r="B962">
        <v>385</v>
      </c>
      <c r="C962" t="s">
        <v>125</v>
      </c>
      <c r="D962" t="s">
        <v>325</v>
      </c>
    </row>
    <row r="963" spans="1:4" x14ac:dyDescent="0.25">
      <c r="A963" t="s">
        <v>214</v>
      </c>
      <c r="B963">
        <v>318</v>
      </c>
      <c r="C963" t="s">
        <v>886</v>
      </c>
      <c r="D963" t="s">
        <v>215</v>
      </c>
    </row>
    <row r="964" spans="1:4" x14ac:dyDescent="0.25">
      <c r="A964" t="s">
        <v>320</v>
      </c>
      <c r="B964">
        <v>195</v>
      </c>
      <c r="C964" t="s">
        <v>125</v>
      </c>
      <c r="D964" t="s">
        <v>321</v>
      </c>
    </row>
    <row r="965" spans="1:4" x14ac:dyDescent="0.25">
      <c r="A965" t="s">
        <v>385</v>
      </c>
      <c r="B965">
        <v>189</v>
      </c>
      <c r="C965" t="s">
        <v>125</v>
      </c>
      <c r="D965" t="s">
        <v>386</v>
      </c>
    </row>
    <row r="966" spans="1:4" x14ac:dyDescent="0.25">
      <c r="A966" t="s">
        <v>203</v>
      </c>
      <c r="B966">
        <v>97</v>
      </c>
      <c r="C966" t="s">
        <v>886</v>
      </c>
      <c r="D966" t="s">
        <v>204</v>
      </c>
    </row>
    <row r="967" spans="1:4" x14ac:dyDescent="0.25">
      <c r="A967" t="s">
        <v>200</v>
      </c>
      <c r="B967">
        <v>90</v>
      </c>
      <c r="C967" t="s">
        <v>886</v>
      </c>
      <c r="D967" t="s">
        <v>201</v>
      </c>
    </row>
    <row r="968" spans="1:4" x14ac:dyDescent="0.25">
      <c r="A968" t="s">
        <v>419</v>
      </c>
      <c r="B968">
        <v>72</v>
      </c>
      <c r="C968" t="s">
        <v>125</v>
      </c>
      <c r="D968" t="s">
        <v>401</v>
      </c>
    </row>
    <row r="969" spans="1:4" x14ac:dyDescent="0.25">
      <c r="A969" t="s">
        <v>314</v>
      </c>
      <c r="B969">
        <v>68</v>
      </c>
      <c r="C969" t="s">
        <v>125</v>
      </c>
      <c r="D969" t="s">
        <v>315</v>
      </c>
    </row>
    <row r="970" spans="1:4" x14ac:dyDescent="0.25">
      <c r="A970" t="s">
        <v>479</v>
      </c>
      <c r="B970">
        <v>59</v>
      </c>
      <c r="C970" t="s">
        <v>125</v>
      </c>
      <c r="D970" t="s">
        <v>478</v>
      </c>
    </row>
    <row r="971" spans="1:4" x14ac:dyDescent="0.25">
      <c r="A971" t="s">
        <v>188</v>
      </c>
      <c r="B971">
        <v>56</v>
      </c>
      <c r="C971" t="s">
        <v>886</v>
      </c>
      <c r="D971" t="s">
        <v>189</v>
      </c>
    </row>
    <row r="972" spans="1:4" x14ac:dyDescent="0.25">
      <c r="A972" t="s">
        <v>266</v>
      </c>
      <c r="B972">
        <v>55</v>
      </c>
      <c r="C972" t="s">
        <v>125</v>
      </c>
      <c r="D972" t="s">
        <v>249</v>
      </c>
    </row>
    <row r="973" spans="1:4" x14ac:dyDescent="0.25">
      <c r="A973" t="s">
        <v>446</v>
      </c>
      <c r="B973">
        <v>41</v>
      </c>
      <c r="C973" t="s">
        <v>125</v>
      </c>
      <c r="D973" t="s">
        <v>442</v>
      </c>
    </row>
    <row r="974" spans="1:4" x14ac:dyDescent="0.25">
      <c r="A974" t="s">
        <v>265</v>
      </c>
      <c r="B974">
        <v>40</v>
      </c>
      <c r="C974" t="s">
        <v>125</v>
      </c>
      <c r="D974" t="s">
        <v>249</v>
      </c>
    </row>
    <row r="975" spans="1:4" x14ac:dyDescent="0.25">
      <c r="A975" t="s">
        <v>217</v>
      </c>
      <c r="B975">
        <v>39</v>
      </c>
      <c r="C975" t="s">
        <v>886</v>
      </c>
      <c r="D975" t="s">
        <v>218</v>
      </c>
    </row>
    <row r="976" spans="1:4" x14ac:dyDescent="0.25">
      <c r="A976" t="s">
        <v>229</v>
      </c>
      <c r="B976">
        <v>22</v>
      </c>
      <c r="C976" t="s">
        <v>886</v>
      </c>
      <c r="D976" t="s">
        <v>230</v>
      </c>
    </row>
    <row r="977" spans="1:4" x14ac:dyDescent="0.25">
      <c r="A977" t="s">
        <v>473</v>
      </c>
      <c r="B977">
        <v>19</v>
      </c>
      <c r="C977" t="s">
        <v>125</v>
      </c>
      <c r="D977" t="s">
        <v>474</v>
      </c>
    </row>
    <row r="978" spans="1:4" x14ac:dyDescent="0.25">
      <c r="A978" t="s">
        <v>293</v>
      </c>
      <c r="B978">
        <v>13</v>
      </c>
      <c r="C978" t="s">
        <v>125</v>
      </c>
      <c r="D978" t="s">
        <v>294</v>
      </c>
    </row>
    <row r="979" spans="1:4" x14ac:dyDescent="0.25">
      <c r="A979" t="s">
        <v>471</v>
      </c>
      <c r="B979">
        <v>12</v>
      </c>
      <c r="C979" t="s">
        <v>125</v>
      </c>
      <c r="D979" t="s">
        <v>472</v>
      </c>
    </row>
    <row r="980" spans="1:4" x14ac:dyDescent="0.25">
      <c r="A980" t="s">
        <v>458</v>
      </c>
      <c r="B980">
        <v>10</v>
      </c>
      <c r="C980" t="s">
        <v>125</v>
      </c>
      <c r="D980" t="s">
        <v>442</v>
      </c>
    </row>
    <row r="981" spans="1:4" x14ac:dyDescent="0.25">
      <c r="A981" t="s">
        <v>468</v>
      </c>
      <c r="B981">
        <v>8</v>
      </c>
      <c r="C981" t="s">
        <v>125</v>
      </c>
      <c r="D981" t="s">
        <v>469</v>
      </c>
    </row>
    <row r="982" spans="1:4" x14ac:dyDescent="0.25">
      <c r="A982" t="s">
        <v>270</v>
      </c>
      <c r="B982">
        <v>7</v>
      </c>
      <c r="C982" t="s">
        <v>125</v>
      </c>
      <c r="D982" t="s">
        <v>249</v>
      </c>
    </row>
    <row r="983" spans="1:4" x14ac:dyDescent="0.25">
      <c r="A983" t="s">
        <v>279</v>
      </c>
      <c r="B983">
        <v>6</v>
      </c>
      <c r="C983" t="s">
        <v>125</v>
      </c>
      <c r="D983" t="s">
        <v>249</v>
      </c>
    </row>
    <row r="984" spans="1:4" x14ac:dyDescent="0.25">
      <c r="A984" t="s">
        <v>248</v>
      </c>
      <c r="B984">
        <v>5</v>
      </c>
      <c r="C984" t="s">
        <v>125</v>
      </c>
      <c r="D984" t="s">
        <v>249</v>
      </c>
    </row>
    <row r="985" spans="1:4" x14ac:dyDescent="0.25">
      <c r="A985" t="s">
        <v>417</v>
      </c>
      <c r="B985">
        <v>5</v>
      </c>
      <c r="C985" t="s">
        <v>125</v>
      </c>
      <c r="D985" t="s">
        <v>401</v>
      </c>
    </row>
    <row r="986" spans="1:4" x14ac:dyDescent="0.25">
      <c r="A986" t="s">
        <v>289</v>
      </c>
      <c r="B986">
        <v>4</v>
      </c>
      <c r="C986" t="s">
        <v>125</v>
      </c>
      <c r="D986" t="s">
        <v>290</v>
      </c>
    </row>
    <row r="987" spans="1:4" x14ac:dyDescent="0.25">
      <c r="A987" t="s">
        <v>220</v>
      </c>
      <c r="B987">
        <v>4</v>
      </c>
      <c r="C987" t="s">
        <v>886</v>
      </c>
      <c r="D987" t="s">
        <v>221</v>
      </c>
    </row>
    <row r="988" spans="1:4" x14ac:dyDescent="0.25">
      <c r="A988" t="s">
        <v>430</v>
      </c>
      <c r="B988">
        <v>3</v>
      </c>
      <c r="C988" t="s">
        <v>125</v>
      </c>
      <c r="D988" t="s">
        <v>401</v>
      </c>
    </row>
    <row r="989" spans="1:4" x14ac:dyDescent="0.25">
      <c r="A989" t="s">
        <v>211</v>
      </c>
      <c r="B989">
        <v>2</v>
      </c>
      <c r="C989" t="s">
        <v>886</v>
      </c>
      <c r="D989" t="s">
        <v>212</v>
      </c>
    </row>
    <row r="990" spans="1:4" x14ac:dyDescent="0.25">
      <c r="A990" t="s">
        <v>39</v>
      </c>
      <c r="B990">
        <v>42</v>
      </c>
    </row>
    <row r="991" spans="1:4" x14ac:dyDescent="0.25">
      <c r="A991" t="s">
        <v>191</v>
      </c>
      <c r="B991">
        <v>5921</v>
      </c>
      <c r="C991" t="s">
        <v>886</v>
      </c>
      <c r="D991" t="s">
        <v>192</v>
      </c>
    </row>
    <row r="992" spans="1:4" x14ac:dyDescent="0.25">
      <c r="A992" t="s">
        <v>208</v>
      </c>
      <c r="B992">
        <v>4430</v>
      </c>
      <c r="C992" t="s">
        <v>886</v>
      </c>
      <c r="D992" t="s">
        <v>209</v>
      </c>
    </row>
    <row r="993" spans="1:4" x14ac:dyDescent="0.25">
      <c r="A993" t="s">
        <v>185</v>
      </c>
      <c r="B993">
        <v>1439</v>
      </c>
      <c r="C993" t="s">
        <v>886</v>
      </c>
      <c r="D993" t="s">
        <v>186</v>
      </c>
    </row>
    <row r="994" spans="1:4" x14ac:dyDescent="0.25">
      <c r="A994" t="s">
        <v>188</v>
      </c>
      <c r="B994">
        <v>535</v>
      </c>
      <c r="C994" t="s">
        <v>886</v>
      </c>
      <c r="D994" t="s">
        <v>189</v>
      </c>
    </row>
    <row r="995" spans="1:4" x14ac:dyDescent="0.25">
      <c r="A995" t="s">
        <v>206</v>
      </c>
      <c r="B995">
        <v>385</v>
      </c>
      <c r="C995" t="s">
        <v>886</v>
      </c>
      <c r="D995" t="s">
        <v>189</v>
      </c>
    </row>
    <row r="996" spans="1:4" x14ac:dyDescent="0.25">
      <c r="A996" t="s">
        <v>200</v>
      </c>
      <c r="B996">
        <v>284</v>
      </c>
      <c r="C996" t="s">
        <v>886</v>
      </c>
      <c r="D996" t="s">
        <v>201</v>
      </c>
    </row>
    <row r="997" spans="1:4" x14ac:dyDescent="0.25">
      <c r="A997" t="s">
        <v>340</v>
      </c>
      <c r="B997">
        <v>267</v>
      </c>
      <c r="C997" t="s">
        <v>125</v>
      </c>
      <c r="D997" t="s">
        <v>341</v>
      </c>
    </row>
    <row r="998" spans="1:4" x14ac:dyDescent="0.25">
      <c r="A998" t="s">
        <v>385</v>
      </c>
      <c r="B998">
        <v>122</v>
      </c>
      <c r="C998" t="s">
        <v>125</v>
      </c>
      <c r="D998" t="s">
        <v>386</v>
      </c>
    </row>
    <row r="999" spans="1:4" x14ac:dyDescent="0.25">
      <c r="A999" t="s">
        <v>314</v>
      </c>
      <c r="B999">
        <v>121</v>
      </c>
      <c r="C999" t="s">
        <v>125</v>
      </c>
      <c r="D999" t="s">
        <v>315</v>
      </c>
    </row>
    <row r="1000" spans="1:4" x14ac:dyDescent="0.25">
      <c r="A1000" t="s">
        <v>479</v>
      </c>
      <c r="B1000">
        <v>86</v>
      </c>
      <c r="C1000" t="s">
        <v>125</v>
      </c>
      <c r="D1000" t="s">
        <v>478</v>
      </c>
    </row>
    <row r="1001" spans="1:4" x14ac:dyDescent="0.25">
      <c r="A1001" t="s">
        <v>353</v>
      </c>
      <c r="B1001">
        <v>68</v>
      </c>
      <c r="C1001" t="s">
        <v>125</v>
      </c>
      <c r="D1001" t="s">
        <v>354</v>
      </c>
    </row>
    <row r="1002" spans="1:4" x14ac:dyDescent="0.25">
      <c r="A1002" t="s">
        <v>424</v>
      </c>
      <c r="B1002">
        <v>55</v>
      </c>
      <c r="C1002" t="s">
        <v>125</v>
      </c>
      <c r="D1002" t="s">
        <v>401</v>
      </c>
    </row>
    <row r="1003" spans="1:4" x14ac:dyDescent="0.25">
      <c r="A1003" t="s">
        <v>446</v>
      </c>
      <c r="B1003">
        <v>52</v>
      </c>
      <c r="C1003" t="s">
        <v>125</v>
      </c>
      <c r="D1003" t="s">
        <v>442</v>
      </c>
    </row>
    <row r="1004" spans="1:4" x14ac:dyDescent="0.25">
      <c r="A1004" t="s">
        <v>214</v>
      </c>
      <c r="B1004">
        <v>51</v>
      </c>
      <c r="C1004" t="s">
        <v>886</v>
      </c>
      <c r="D1004" t="s">
        <v>215</v>
      </c>
    </row>
    <row r="1005" spans="1:4" x14ac:dyDescent="0.25">
      <c r="A1005" t="s">
        <v>330</v>
      </c>
      <c r="B1005">
        <v>44</v>
      </c>
      <c r="C1005" t="s">
        <v>125</v>
      </c>
      <c r="D1005" t="s">
        <v>331</v>
      </c>
    </row>
    <row r="1006" spans="1:4" x14ac:dyDescent="0.25">
      <c r="A1006" t="s">
        <v>255</v>
      </c>
      <c r="B1006">
        <v>43</v>
      </c>
      <c r="C1006" t="s">
        <v>125</v>
      </c>
      <c r="D1006" t="s">
        <v>249</v>
      </c>
    </row>
    <row r="1007" spans="1:4" x14ac:dyDescent="0.25">
      <c r="A1007" t="s">
        <v>289</v>
      </c>
      <c r="B1007">
        <v>40</v>
      </c>
      <c r="C1007" t="s">
        <v>125</v>
      </c>
      <c r="D1007" t="s">
        <v>290</v>
      </c>
    </row>
    <row r="1008" spans="1:4" x14ac:dyDescent="0.25">
      <c r="A1008" t="s">
        <v>319</v>
      </c>
      <c r="B1008">
        <v>33</v>
      </c>
      <c r="C1008" t="s">
        <v>125</v>
      </c>
      <c r="D1008" t="s">
        <v>318</v>
      </c>
    </row>
    <row r="1009" spans="1:4" x14ac:dyDescent="0.25">
      <c r="A1009" t="s">
        <v>324</v>
      </c>
      <c r="B1009">
        <v>32</v>
      </c>
      <c r="C1009" t="s">
        <v>125</v>
      </c>
      <c r="D1009" t="s">
        <v>325</v>
      </c>
    </row>
    <row r="1010" spans="1:4" x14ac:dyDescent="0.25">
      <c r="A1010" t="s">
        <v>326</v>
      </c>
      <c r="B1010">
        <v>30</v>
      </c>
      <c r="C1010" t="s">
        <v>125</v>
      </c>
      <c r="D1010" t="s">
        <v>325</v>
      </c>
    </row>
    <row r="1011" spans="1:4" x14ac:dyDescent="0.25">
      <c r="A1011" t="s">
        <v>258</v>
      </c>
      <c r="B1011">
        <v>24</v>
      </c>
      <c r="C1011" t="s">
        <v>125</v>
      </c>
      <c r="D1011" t="s">
        <v>249</v>
      </c>
    </row>
    <row r="1012" spans="1:4" x14ac:dyDescent="0.25">
      <c r="A1012" t="s">
        <v>317</v>
      </c>
      <c r="B1012">
        <v>23</v>
      </c>
      <c r="C1012" t="s">
        <v>125</v>
      </c>
      <c r="D1012" t="s">
        <v>318</v>
      </c>
    </row>
    <row r="1013" spans="1:4" x14ac:dyDescent="0.25">
      <c r="A1013" t="s">
        <v>304</v>
      </c>
      <c r="B1013">
        <v>21</v>
      </c>
      <c r="C1013" t="s">
        <v>125</v>
      </c>
      <c r="D1013" t="s">
        <v>305</v>
      </c>
    </row>
    <row r="1014" spans="1:4" x14ac:dyDescent="0.25">
      <c r="A1014" t="s">
        <v>203</v>
      </c>
      <c r="B1014">
        <v>20</v>
      </c>
      <c r="C1014" t="s">
        <v>886</v>
      </c>
      <c r="D1014" t="s">
        <v>204</v>
      </c>
    </row>
    <row r="1015" spans="1:4" x14ac:dyDescent="0.25">
      <c r="A1015" t="s">
        <v>432</v>
      </c>
      <c r="B1015">
        <v>19</v>
      </c>
      <c r="C1015" t="s">
        <v>125</v>
      </c>
      <c r="D1015" t="s">
        <v>401</v>
      </c>
    </row>
    <row r="1016" spans="1:4" x14ac:dyDescent="0.25">
      <c r="A1016" t="s">
        <v>357</v>
      </c>
      <c r="B1016">
        <v>18</v>
      </c>
      <c r="C1016" t="s">
        <v>125</v>
      </c>
      <c r="D1016" t="s">
        <v>356</v>
      </c>
    </row>
    <row r="1017" spans="1:4" x14ac:dyDescent="0.25">
      <c r="A1017" t="s">
        <v>293</v>
      </c>
      <c r="B1017">
        <v>17</v>
      </c>
      <c r="C1017" t="s">
        <v>125</v>
      </c>
      <c r="D1017" t="s">
        <v>294</v>
      </c>
    </row>
    <row r="1018" spans="1:4" x14ac:dyDescent="0.25">
      <c r="A1018" t="s">
        <v>355</v>
      </c>
      <c r="B1018">
        <v>15</v>
      </c>
      <c r="C1018" t="s">
        <v>125</v>
      </c>
      <c r="D1018" t="s">
        <v>356</v>
      </c>
    </row>
    <row r="1019" spans="1:4" x14ac:dyDescent="0.25">
      <c r="A1019" t="s">
        <v>349</v>
      </c>
      <c r="B1019">
        <v>14</v>
      </c>
      <c r="C1019" t="s">
        <v>125</v>
      </c>
      <c r="D1019" t="s">
        <v>346</v>
      </c>
    </row>
    <row r="1020" spans="1:4" x14ac:dyDescent="0.25">
      <c r="A1020" t="s">
        <v>220</v>
      </c>
      <c r="B1020">
        <v>14</v>
      </c>
      <c r="C1020" t="s">
        <v>886</v>
      </c>
      <c r="D1020" t="s">
        <v>221</v>
      </c>
    </row>
    <row r="1021" spans="1:4" x14ac:dyDescent="0.25">
      <c r="A1021" t="s">
        <v>351</v>
      </c>
      <c r="B1021">
        <v>13</v>
      </c>
      <c r="C1021" t="s">
        <v>125</v>
      </c>
      <c r="D1021" t="s">
        <v>352</v>
      </c>
    </row>
    <row r="1022" spans="1:4" x14ac:dyDescent="0.25">
      <c r="A1022" t="s">
        <v>461</v>
      </c>
      <c r="B1022">
        <v>13</v>
      </c>
      <c r="C1022" t="s">
        <v>125</v>
      </c>
      <c r="D1022" t="s">
        <v>462</v>
      </c>
    </row>
    <row r="1023" spans="1:4" x14ac:dyDescent="0.25">
      <c r="A1023" t="s">
        <v>226</v>
      </c>
      <c r="B1023">
        <v>12</v>
      </c>
      <c r="C1023" t="s">
        <v>886</v>
      </c>
      <c r="D1023" t="s">
        <v>227</v>
      </c>
    </row>
    <row r="1024" spans="1:4" x14ac:dyDescent="0.25">
      <c r="A1024" t="s">
        <v>485</v>
      </c>
      <c r="B1024">
        <v>11</v>
      </c>
      <c r="C1024" t="s">
        <v>125</v>
      </c>
      <c r="D1024" t="s">
        <v>478</v>
      </c>
    </row>
    <row r="1025" spans="1:4" x14ac:dyDescent="0.25">
      <c r="A1025" t="s">
        <v>194</v>
      </c>
      <c r="B1025">
        <v>11</v>
      </c>
      <c r="C1025" t="s">
        <v>886</v>
      </c>
      <c r="D1025" t="s">
        <v>195</v>
      </c>
    </row>
    <row r="1026" spans="1:4" x14ac:dyDescent="0.25">
      <c r="A1026" t="s">
        <v>217</v>
      </c>
      <c r="B1026">
        <v>11</v>
      </c>
      <c r="C1026" t="s">
        <v>886</v>
      </c>
      <c r="D1026" t="s">
        <v>218</v>
      </c>
    </row>
    <row r="1027" spans="1:4" x14ac:dyDescent="0.25">
      <c r="A1027" t="s">
        <v>468</v>
      </c>
      <c r="B1027">
        <v>9</v>
      </c>
      <c r="C1027" t="s">
        <v>125</v>
      </c>
      <c r="D1027" t="s">
        <v>469</v>
      </c>
    </row>
    <row r="1028" spans="1:4" x14ac:dyDescent="0.25">
      <c r="A1028" t="s">
        <v>251</v>
      </c>
      <c r="B1028">
        <v>8</v>
      </c>
      <c r="C1028" t="s">
        <v>125</v>
      </c>
      <c r="D1028" t="s">
        <v>249</v>
      </c>
    </row>
    <row r="1029" spans="1:4" x14ac:dyDescent="0.25">
      <c r="A1029" t="s">
        <v>272</v>
      </c>
      <c r="B1029">
        <v>8</v>
      </c>
      <c r="C1029" t="s">
        <v>125</v>
      </c>
      <c r="D1029" t="s">
        <v>249</v>
      </c>
    </row>
    <row r="1030" spans="1:4" x14ac:dyDescent="0.25">
      <c r="A1030" t="s">
        <v>448</v>
      </c>
      <c r="B1030">
        <v>7</v>
      </c>
      <c r="C1030" t="s">
        <v>125</v>
      </c>
      <c r="D1030" t="s">
        <v>442</v>
      </c>
    </row>
    <row r="1031" spans="1:4" x14ac:dyDescent="0.25">
      <c r="A1031" t="s">
        <v>451</v>
      </c>
      <c r="B1031">
        <v>7</v>
      </c>
      <c r="C1031" t="s">
        <v>125</v>
      </c>
      <c r="D1031" t="s">
        <v>442</v>
      </c>
    </row>
    <row r="1032" spans="1:4" x14ac:dyDescent="0.25">
      <c r="A1032" t="s">
        <v>473</v>
      </c>
      <c r="B1032">
        <v>5</v>
      </c>
      <c r="C1032" t="s">
        <v>125</v>
      </c>
      <c r="D1032" t="s">
        <v>474</v>
      </c>
    </row>
    <row r="1033" spans="1:4" x14ac:dyDescent="0.25">
      <c r="A1033" t="s">
        <v>40</v>
      </c>
      <c r="B1033">
        <v>65</v>
      </c>
    </row>
    <row r="1034" spans="1:4" x14ac:dyDescent="0.25">
      <c r="A1034" t="s">
        <v>188</v>
      </c>
      <c r="B1034">
        <v>3411</v>
      </c>
      <c r="C1034" t="s">
        <v>886</v>
      </c>
      <c r="D1034" t="s">
        <v>189</v>
      </c>
    </row>
    <row r="1035" spans="1:4" x14ac:dyDescent="0.25">
      <c r="A1035" t="s">
        <v>206</v>
      </c>
      <c r="B1035">
        <v>2597</v>
      </c>
      <c r="C1035" t="s">
        <v>886</v>
      </c>
      <c r="D1035" t="s">
        <v>189</v>
      </c>
    </row>
    <row r="1036" spans="1:4" x14ac:dyDescent="0.25">
      <c r="A1036" t="s">
        <v>191</v>
      </c>
      <c r="B1036">
        <v>2526</v>
      </c>
      <c r="C1036" t="s">
        <v>886</v>
      </c>
      <c r="D1036" t="s">
        <v>192</v>
      </c>
    </row>
    <row r="1037" spans="1:4" x14ac:dyDescent="0.25">
      <c r="A1037" t="s">
        <v>200</v>
      </c>
      <c r="B1037">
        <v>1923</v>
      </c>
      <c r="C1037" t="s">
        <v>886</v>
      </c>
      <c r="D1037" t="s">
        <v>201</v>
      </c>
    </row>
    <row r="1038" spans="1:4" x14ac:dyDescent="0.25">
      <c r="A1038" t="s">
        <v>194</v>
      </c>
      <c r="B1038">
        <v>1138</v>
      </c>
      <c r="C1038" t="s">
        <v>886</v>
      </c>
      <c r="D1038" t="s">
        <v>195</v>
      </c>
    </row>
    <row r="1039" spans="1:4" x14ac:dyDescent="0.25">
      <c r="A1039" t="s">
        <v>185</v>
      </c>
      <c r="B1039">
        <v>637</v>
      </c>
      <c r="C1039" t="s">
        <v>886</v>
      </c>
      <c r="D1039" t="s">
        <v>186</v>
      </c>
    </row>
    <row r="1040" spans="1:4" x14ac:dyDescent="0.25">
      <c r="A1040" t="s">
        <v>446</v>
      </c>
      <c r="B1040">
        <v>529</v>
      </c>
      <c r="C1040" t="s">
        <v>125</v>
      </c>
      <c r="D1040" t="s">
        <v>442</v>
      </c>
    </row>
    <row r="1041" spans="1:4" x14ac:dyDescent="0.25">
      <c r="A1041" t="s">
        <v>357</v>
      </c>
      <c r="B1041">
        <v>259</v>
      </c>
      <c r="C1041" t="s">
        <v>125</v>
      </c>
      <c r="D1041" t="s">
        <v>356</v>
      </c>
    </row>
    <row r="1042" spans="1:4" x14ac:dyDescent="0.25">
      <c r="A1042" t="s">
        <v>383</v>
      </c>
      <c r="B1042">
        <v>215</v>
      </c>
      <c r="C1042" t="s">
        <v>125</v>
      </c>
      <c r="D1042" t="s">
        <v>382</v>
      </c>
    </row>
    <row r="1043" spans="1:4" x14ac:dyDescent="0.25">
      <c r="A1043" t="s">
        <v>255</v>
      </c>
      <c r="B1043">
        <v>172</v>
      </c>
      <c r="C1043" t="s">
        <v>125</v>
      </c>
      <c r="D1043" t="s">
        <v>249</v>
      </c>
    </row>
    <row r="1044" spans="1:4" x14ac:dyDescent="0.25">
      <c r="A1044" t="s">
        <v>251</v>
      </c>
      <c r="B1044">
        <v>167</v>
      </c>
      <c r="C1044" t="s">
        <v>125</v>
      </c>
      <c r="D1044" t="s">
        <v>249</v>
      </c>
    </row>
    <row r="1045" spans="1:4" x14ac:dyDescent="0.25">
      <c r="A1045" t="s">
        <v>471</v>
      </c>
      <c r="B1045">
        <v>158</v>
      </c>
      <c r="C1045" t="s">
        <v>125</v>
      </c>
      <c r="D1045" t="s">
        <v>472</v>
      </c>
    </row>
    <row r="1046" spans="1:4" x14ac:dyDescent="0.25">
      <c r="A1046" t="s">
        <v>479</v>
      </c>
      <c r="B1046">
        <v>148</v>
      </c>
      <c r="C1046" t="s">
        <v>125</v>
      </c>
      <c r="D1046" t="s">
        <v>478</v>
      </c>
    </row>
    <row r="1047" spans="1:4" x14ac:dyDescent="0.25">
      <c r="A1047" t="s">
        <v>368</v>
      </c>
      <c r="B1047">
        <v>133</v>
      </c>
      <c r="C1047" t="s">
        <v>125</v>
      </c>
      <c r="D1047" t="s">
        <v>369</v>
      </c>
    </row>
    <row r="1048" spans="1:4" x14ac:dyDescent="0.25">
      <c r="A1048" t="s">
        <v>355</v>
      </c>
      <c r="B1048">
        <v>122</v>
      </c>
      <c r="C1048" t="s">
        <v>125</v>
      </c>
      <c r="D1048" t="s">
        <v>356</v>
      </c>
    </row>
    <row r="1049" spans="1:4" x14ac:dyDescent="0.25">
      <c r="A1049" t="s">
        <v>260</v>
      </c>
      <c r="B1049">
        <v>111</v>
      </c>
      <c r="C1049" t="s">
        <v>125</v>
      </c>
      <c r="D1049" t="s">
        <v>249</v>
      </c>
    </row>
    <row r="1050" spans="1:4" x14ac:dyDescent="0.25">
      <c r="A1050" t="s">
        <v>289</v>
      </c>
      <c r="B1050">
        <v>103</v>
      </c>
      <c r="C1050" t="s">
        <v>125</v>
      </c>
      <c r="D1050" t="s">
        <v>290</v>
      </c>
    </row>
    <row r="1051" spans="1:4" x14ac:dyDescent="0.25">
      <c r="A1051" t="s">
        <v>337</v>
      </c>
      <c r="B1051">
        <v>96</v>
      </c>
      <c r="C1051" t="s">
        <v>125</v>
      </c>
      <c r="D1051" t="s">
        <v>338</v>
      </c>
    </row>
    <row r="1052" spans="1:4" x14ac:dyDescent="0.25">
      <c r="A1052" t="s">
        <v>340</v>
      </c>
      <c r="B1052">
        <v>85</v>
      </c>
      <c r="C1052" t="s">
        <v>125</v>
      </c>
      <c r="D1052" t="s">
        <v>341</v>
      </c>
    </row>
    <row r="1053" spans="1:4" x14ac:dyDescent="0.25">
      <c r="A1053" t="s">
        <v>314</v>
      </c>
      <c r="B1053">
        <v>83</v>
      </c>
      <c r="C1053" t="s">
        <v>125</v>
      </c>
      <c r="D1053" t="s">
        <v>315</v>
      </c>
    </row>
    <row r="1054" spans="1:4" x14ac:dyDescent="0.25">
      <c r="A1054" t="s">
        <v>259</v>
      </c>
      <c r="B1054">
        <v>82</v>
      </c>
      <c r="C1054" t="s">
        <v>125</v>
      </c>
      <c r="D1054" t="s">
        <v>249</v>
      </c>
    </row>
    <row r="1055" spans="1:4" x14ac:dyDescent="0.25">
      <c r="A1055" t="s">
        <v>270</v>
      </c>
      <c r="B1055">
        <v>80</v>
      </c>
      <c r="C1055" t="s">
        <v>125</v>
      </c>
      <c r="D1055" t="s">
        <v>249</v>
      </c>
    </row>
    <row r="1056" spans="1:4" x14ac:dyDescent="0.25">
      <c r="A1056" t="s">
        <v>468</v>
      </c>
      <c r="B1056">
        <v>77</v>
      </c>
      <c r="C1056" t="s">
        <v>125</v>
      </c>
      <c r="D1056" t="s">
        <v>469</v>
      </c>
    </row>
    <row r="1057" spans="1:4" x14ac:dyDescent="0.25">
      <c r="A1057" t="s">
        <v>217</v>
      </c>
      <c r="B1057">
        <v>76</v>
      </c>
      <c r="C1057" t="s">
        <v>886</v>
      </c>
      <c r="D1057" t="s">
        <v>218</v>
      </c>
    </row>
    <row r="1058" spans="1:4" x14ac:dyDescent="0.25">
      <c r="A1058" t="s">
        <v>326</v>
      </c>
      <c r="B1058">
        <v>71</v>
      </c>
      <c r="C1058" t="s">
        <v>125</v>
      </c>
      <c r="D1058" t="s">
        <v>325</v>
      </c>
    </row>
    <row r="1059" spans="1:4" x14ac:dyDescent="0.25">
      <c r="A1059" t="s">
        <v>299</v>
      </c>
      <c r="B1059">
        <v>66</v>
      </c>
      <c r="C1059" t="s">
        <v>125</v>
      </c>
      <c r="D1059" t="s">
        <v>298</v>
      </c>
    </row>
    <row r="1060" spans="1:4" x14ac:dyDescent="0.25">
      <c r="A1060" t="s">
        <v>454</v>
      </c>
      <c r="B1060">
        <v>61</v>
      </c>
      <c r="C1060" t="s">
        <v>125</v>
      </c>
      <c r="D1060" t="s">
        <v>442</v>
      </c>
    </row>
    <row r="1061" spans="1:4" x14ac:dyDescent="0.25">
      <c r="A1061" t="s">
        <v>223</v>
      </c>
      <c r="B1061">
        <v>59</v>
      </c>
      <c r="C1061" t="s">
        <v>886</v>
      </c>
      <c r="D1061" t="s">
        <v>224</v>
      </c>
    </row>
    <row r="1062" spans="1:4" x14ac:dyDescent="0.25">
      <c r="A1062" t="s">
        <v>237</v>
      </c>
      <c r="B1062">
        <v>58</v>
      </c>
      <c r="C1062" t="s">
        <v>886</v>
      </c>
      <c r="D1062" t="s">
        <v>238</v>
      </c>
    </row>
    <row r="1063" spans="1:4" x14ac:dyDescent="0.25">
      <c r="A1063" t="s">
        <v>208</v>
      </c>
      <c r="B1063">
        <v>53</v>
      </c>
      <c r="C1063" t="s">
        <v>886</v>
      </c>
      <c r="D1063" t="s">
        <v>209</v>
      </c>
    </row>
    <row r="1064" spans="1:4" x14ac:dyDescent="0.25">
      <c r="A1064" t="s">
        <v>475</v>
      </c>
      <c r="B1064">
        <v>52</v>
      </c>
      <c r="C1064" t="s">
        <v>125</v>
      </c>
      <c r="D1064" t="s">
        <v>476</v>
      </c>
    </row>
    <row r="1065" spans="1:4" x14ac:dyDescent="0.25">
      <c r="A1065" t="s">
        <v>445</v>
      </c>
      <c r="B1065">
        <v>52</v>
      </c>
      <c r="C1065" t="s">
        <v>125</v>
      </c>
      <c r="D1065" t="s">
        <v>442</v>
      </c>
    </row>
    <row r="1066" spans="1:4" x14ac:dyDescent="0.25">
      <c r="A1066" t="s">
        <v>282</v>
      </c>
      <c r="B1066">
        <v>50</v>
      </c>
      <c r="C1066" t="s">
        <v>125</v>
      </c>
      <c r="D1066" t="s">
        <v>249</v>
      </c>
    </row>
    <row r="1067" spans="1:4" x14ac:dyDescent="0.25">
      <c r="A1067" t="s">
        <v>328</v>
      </c>
      <c r="B1067">
        <v>49</v>
      </c>
      <c r="C1067" t="s">
        <v>125</v>
      </c>
      <c r="D1067" t="s">
        <v>325</v>
      </c>
    </row>
    <row r="1068" spans="1:4" x14ac:dyDescent="0.25">
      <c r="A1068" t="s">
        <v>226</v>
      </c>
      <c r="B1068">
        <v>47</v>
      </c>
      <c r="C1068" t="s">
        <v>886</v>
      </c>
      <c r="D1068" t="s">
        <v>227</v>
      </c>
    </row>
    <row r="1069" spans="1:4" x14ac:dyDescent="0.25">
      <c r="A1069" t="s">
        <v>324</v>
      </c>
      <c r="B1069">
        <v>42</v>
      </c>
      <c r="C1069" t="s">
        <v>125</v>
      </c>
      <c r="D1069" t="s">
        <v>325</v>
      </c>
    </row>
    <row r="1070" spans="1:4" x14ac:dyDescent="0.25">
      <c r="A1070" t="s">
        <v>214</v>
      </c>
      <c r="B1070">
        <v>41</v>
      </c>
      <c r="C1070" t="s">
        <v>886</v>
      </c>
      <c r="D1070" t="s">
        <v>215</v>
      </c>
    </row>
    <row r="1071" spans="1:4" x14ac:dyDescent="0.25">
      <c r="A1071" t="s">
        <v>348</v>
      </c>
      <c r="B1071">
        <v>36</v>
      </c>
      <c r="C1071" t="s">
        <v>125</v>
      </c>
      <c r="D1071" t="s">
        <v>346</v>
      </c>
    </row>
    <row r="1072" spans="1:4" x14ac:dyDescent="0.25">
      <c r="A1072" t="s">
        <v>261</v>
      </c>
      <c r="B1072">
        <v>34</v>
      </c>
      <c r="C1072" t="s">
        <v>125</v>
      </c>
      <c r="D1072" t="s">
        <v>249</v>
      </c>
    </row>
    <row r="1073" spans="1:4" x14ac:dyDescent="0.25">
      <c r="A1073" t="s">
        <v>473</v>
      </c>
      <c r="B1073">
        <v>33</v>
      </c>
      <c r="C1073" t="s">
        <v>125</v>
      </c>
      <c r="D1073" t="s">
        <v>474</v>
      </c>
    </row>
    <row r="1074" spans="1:4" x14ac:dyDescent="0.25">
      <c r="A1074" t="s">
        <v>317</v>
      </c>
      <c r="B1074">
        <v>31</v>
      </c>
      <c r="C1074" t="s">
        <v>125</v>
      </c>
      <c r="D1074" t="s">
        <v>318</v>
      </c>
    </row>
    <row r="1075" spans="1:4" x14ac:dyDescent="0.25">
      <c r="A1075" t="s">
        <v>482</v>
      </c>
      <c r="B1075">
        <v>29</v>
      </c>
      <c r="C1075" t="s">
        <v>125</v>
      </c>
      <c r="D1075" t="s">
        <v>478</v>
      </c>
    </row>
    <row r="1076" spans="1:4" x14ac:dyDescent="0.25">
      <c r="A1076" t="s">
        <v>220</v>
      </c>
      <c r="B1076">
        <v>28</v>
      </c>
      <c r="C1076" t="s">
        <v>886</v>
      </c>
      <c r="D1076" t="s">
        <v>221</v>
      </c>
    </row>
    <row r="1077" spans="1:4" x14ac:dyDescent="0.25">
      <c r="A1077" t="s">
        <v>263</v>
      </c>
      <c r="B1077">
        <v>22</v>
      </c>
      <c r="C1077" t="s">
        <v>125</v>
      </c>
      <c r="D1077" t="s">
        <v>249</v>
      </c>
    </row>
    <row r="1078" spans="1:4" x14ac:dyDescent="0.25">
      <c r="A1078" t="s">
        <v>203</v>
      </c>
      <c r="B1078">
        <v>20</v>
      </c>
      <c r="C1078" t="s">
        <v>886</v>
      </c>
      <c r="D1078" t="s">
        <v>204</v>
      </c>
    </row>
    <row r="1079" spans="1:4" x14ac:dyDescent="0.25">
      <c r="A1079" t="s">
        <v>457</v>
      </c>
      <c r="B1079">
        <v>18</v>
      </c>
      <c r="C1079" t="s">
        <v>125</v>
      </c>
      <c r="D1079" t="s">
        <v>442</v>
      </c>
    </row>
    <row r="1080" spans="1:4" x14ac:dyDescent="0.25">
      <c r="A1080" t="s">
        <v>250</v>
      </c>
      <c r="B1080">
        <v>18</v>
      </c>
      <c r="C1080" t="s">
        <v>125</v>
      </c>
      <c r="D1080" t="s">
        <v>249</v>
      </c>
    </row>
    <row r="1081" spans="1:4" x14ac:dyDescent="0.25">
      <c r="A1081" t="s">
        <v>427</v>
      </c>
      <c r="B1081">
        <v>17</v>
      </c>
      <c r="C1081" t="s">
        <v>125</v>
      </c>
      <c r="D1081" t="s">
        <v>401</v>
      </c>
    </row>
    <row r="1082" spans="1:4" x14ac:dyDescent="0.25">
      <c r="A1082" t="s">
        <v>423</v>
      </c>
      <c r="B1082">
        <v>16</v>
      </c>
      <c r="C1082" t="s">
        <v>125</v>
      </c>
      <c r="D1082" t="s">
        <v>401</v>
      </c>
    </row>
    <row r="1083" spans="1:4" x14ac:dyDescent="0.25">
      <c r="A1083" t="s">
        <v>470</v>
      </c>
      <c r="B1083">
        <v>15</v>
      </c>
      <c r="C1083" t="s">
        <v>125</v>
      </c>
      <c r="D1083" t="s">
        <v>469</v>
      </c>
    </row>
    <row r="1084" spans="1:4" x14ac:dyDescent="0.25">
      <c r="A1084" t="s">
        <v>487</v>
      </c>
      <c r="B1084">
        <v>13</v>
      </c>
      <c r="C1084" t="s">
        <v>125</v>
      </c>
      <c r="D1084" t="s">
        <v>488</v>
      </c>
    </row>
    <row r="1085" spans="1:4" x14ac:dyDescent="0.25">
      <c r="A1085" t="s">
        <v>274</v>
      </c>
      <c r="B1085">
        <v>13</v>
      </c>
      <c r="C1085" t="s">
        <v>125</v>
      </c>
      <c r="D1085" t="s">
        <v>249</v>
      </c>
    </row>
    <row r="1086" spans="1:4" x14ac:dyDescent="0.25">
      <c r="A1086" t="s">
        <v>273</v>
      </c>
      <c r="B1086">
        <v>12</v>
      </c>
      <c r="C1086" t="s">
        <v>125</v>
      </c>
      <c r="D1086" t="s">
        <v>249</v>
      </c>
    </row>
    <row r="1087" spans="1:4" x14ac:dyDescent="0.25">
      <c r="A1087" t="s">
        <v>258</v>
      </c>
      <c r="B1087">
        <v>12</v>
      </c>
      <c r="C1087" t="s">
        <v>125</v>
      </c>
      <c r="D1087" t="s">
        <v>249</v>
      </c>
    </row>
    <row r="1088" spans="1:4" x14ac:dyDescent="0.25">
      <c r="A1088" t="s">
        <v>485</v>
      </c>
      <c r="B1088">
        <v>12</v>
      </c>
      <c r="C1088" t="s">
        <v>125</v>
      </c>
      <c r="D1088" t="s">
        <v>478</v>
      </c>
    </row>
    <row r="1089" spans="1:4" x14ac:dyDescent="0.25">
      <c r="A1089" t="s">
        <v>421</v>
      </c>
      <c r="B1089">
        <v>10</v>
      </c>
      <c r="C1089" t="s">
        <v>125</v>
      </c>
      <c r="D1089" t="s">
        <v>401</v>
      </c>
    </row>
    <row r="1090" spans="1:4" x14ac:dyDescent="0.25">
      <c r="A1090" t="s">
        <v>447</v>
      </c>
      <c r="B1090">
        <v>10</v>
      </c>
      <c r="C1090" t="s">
        <v>125</v>
      </c>
      <c r="D1090" t="s">
        <v>442</v>
      </c>
    </row>
    <row r="1091" spans="1:4" x14ac:dyDescent="0.25">
      <c r="A1091" t="s">
        <v>330</v>
      </c>
      <c r="B1091">
        <v>9</v>
      </c>
      <c r="C1091" t="s">
        <v>125</v>
      </c>
      <c r="D1091" t="s">
        <v>331</v>
      </c>
    </row>
    <row r="1092" spans="1:4" x14ac:dyDescent="0.25">
      <c r="A1092" t="s">
        <v>322</v>
      </c>
      <c r="B1092">
        <v>9</v>
      </c>
      <c r="C1092" t="s">
        <v>125</v>
      </c>
      <c r="D1092" t="s">
        <v>323</v>
      </c>
    </row>
    <row r="1093" spans="1:4" x14ac:dyDescent="0.25">
      <c r="A1093" t="s">
        <v>483</v>
      </c>
      <c r="B1093">
        <v>7</v>
      </c>
      <c r="C1093" t="s">
        <v>125</v>
      </c>
      <c r="D1093" t="s">
        <v>478</v>
      </c>
    </row>
    <row r="1094" spans="1:4" x14ac:dyDescent="0.25">
      <c r="A1094" t="s">
        <v>395</v>
      </c>
      <c r="B1094">
        <v>6</v>
      </c>
      <c r="C1094" t="s">
        <v>125</v>
      </c>
      <c r="D1094" t="s">
        <v>396</v>
      </c>
    </row>
    <row r="1095" spans="1:4" x14ac:dyDescent="0.25">
      <c r="A1095" t="s">
        <v>433</v>
      </c>
      <c r="B1095">
        <v>6</v>
      </c>
      <c r="C1095" t="s">
        <v>125</v>
      </c>
      <c r="D1095" t="s">
        <v>401</v>
      </c>
    </row>
    <row r="1096" spans="1:4" x14ac:dyDescent="0.25">
      <c r="A1096" t="s">
        <v>434</v>
      </c>
      <c r="B1096">
        <v>5</v>
      </c>
      <c r="C1096" t="s">
        <v>125</v>
      </c>
      <c r="D1096" t="s">
        <v>401</v>
      </c>
    </row>
    <row r="1097" spans="1:4" x14ac:dyDescent="0.25">
      <c r="A1097" t="s">
        <v>452</v>
      </c>
      <c r="B1097">
        <v>5</v>
      </c>
      <c r="C1097" t="s">
        <v>125</v>
      </c>
      <c r="D1097" t="s">
        <v>442</v>
      </c>
    </row>
    <row r="1098" spans="1:4" x14ac:dyDescent="0.25">
      <c r="A1098" t="s">
        <v>480</v>
      </c>
      <c r="B1098">
        <v>3</v>
      </c>
      <c r="C1098" t="s">
        <v>125</v>
      </c>
      <c r="D1098" t="s">
        <v>478</v>
      </c>
    </row>
    <row r="1099" spans="1:4" x14ac:dyDescent="0.25">
      <c r="A1099" t="s">
        <v>41</v>
      </c>
      <c r="B1099">
        <v>25</v>
      </c>
    </row>
    <row r="1100" spans="1:4" x14ac:dyDescent="0.25">
      <c r="A1100" t="s">
        <v>203</v>
      </c>
      <c r="B1100">
        <v>5108</v>
      </c>
      <c r="C1100" t="s">
        <v>886</v>
      </c>
      <c r="D1100" t="s">
        <v>204</v>
      </c>
    </row>
    <row r="1101" spans="1:4" x14ac:dyDescent="0.25">
      <c r="A1101" t="s">
        <v>191</v>
      </c>
      <c r="B1101">
        <v>3745</v>
      </c>
      <c r="C1101" t="s">
        <v>886</v>
      </c>
      <c r="D1101" t="s">
        <v>192</v>
      </c>
    </row>
    <row r="1102" spans="1:4" x14ac:dyDescent="0.25">
      <c r="A1102" t="s">
        <v>185</v>
      </c>
      <c r="B1102">
        <v>1697</v>
      </c>
      <c r="C1102" t="s">
        <v>886</v>
      </c>
      <c r="D1102" t="s">
        <v>186</v>
      </c>
    </row>
    <row r="1103" spans="1:4" x14ac:dyDescent="0.25">
      <c r="A1103" t="s">
        <v>206</v>
      </c>
      <c r="B1103">
        <v>1325</v>
      </c>
      <c r="C1103" t="s">
        <v>886</v>
      </c>
      <c r="D1103" t="s">
        <v>189</v>
      </c>
    </row>
    <row r="1104" spans="1:4" x14ac:dyDescent="0.25">
      <c r="A1104" t="s">
        <v>188</v>
      </c>
      <c r="B1104">
        <v>1134</v>
      </c>
      <c r="C1104" t="s">
        <v>886</v>
      </c>
      <c r="D1104" t="s">
        <v>189</v>
      </c>
    </row>
    <row r="1105" spans="1:4" x14ac:dyDescent="0.25">
      <c r="A1105" t="s">
        <v>425</v>
      </c>
      <c r="B1105">
        <v>797</v>
      </c>
      <c r="C1105" t="s">
        <v>125</v>
      </c>
      <c r="D1105" t="s">
        <v>401</v>
      </c>
    </row>
    <row r="1106" spans="1:4" x14ac:dyDescent="0.25">
      <c r="A1106" t="s">
        <v>194</v>
      </c>
      <c r="B1106">
        <v>92</v>
      </c>
      <c r="C1106" t="s">
        <v>886</v>
      </c>
      <c r="D1106" t="s">
        <v>195</v>
      </c>
    </row>
    <row r="1107" spans="1:4" x14ac:dyDescent="0.25">
      <c r="A1107" t="s">
        <v>258</v>
      </c>
      <c r="B1107">
        <v>53</v>
      </c>
      <c r="C1107" t="s">
        <v>125</v>
      </c>
      <c r="D1107" t="s">
        <v>249</v>
      </c>
    </row>
    <row r="1108" spans="1:4" x14ac:dyDescent="0.25">
      <c r="A1108" t="s">
        <v>314</v>
      </c>
      <c r="B1108">
        <v>26</v>
      </c>
      <c r="C1108" t="s">
        <v>125</v>
      </c>
      <c r="D1108" t="s">
        <v>315</v>
      </c>
    </row>
    <row r="1109" spans="1:4" x14ac:dyDescent="0.25">
      <c r="A1109" t="s">
        <v>248</v>
      </c>
      <c r="B1109">
        <v>24</v>
      </c>
      <c r="C1109" t="s">
        <v>125</v>
      </c>
      <c r="D1109" t="s">
        <v>249</v>
      </c>
    </row>
    <row r="1110" spans="1:4" x14ac:dyDescent="0.25">
      <c r="A1110" t="s">
        <v>450</v>
      </c>
      <c r="B1110">
        <v>22</v>
      </c>
      <c r="C1110" t="s">
        <v>125</v>
      </c>
      <c r="D1110" t="s">
        <v>442</v>
      </c>
    </row>
    <row r="1111" spans="1:4" x14ac:dyDescent="0.25">
      <c r="A1111" t="s">
        <v>208</v>
      </c>
      <c r="B1111">
        <v>20</v>
      </c>
      <c r="C1111" t="s">
        <v>886</v>
      </c>
      <c r="D1111" t="s">
        <v>209</v>
      </c>
    </row>
    <row r="1112" spans="1:4" x14ac:dyDescent="0.25">
      <c r="A1112" t="s">
        <v>250</v>
      </c>
      <c r="B1112">
        <v>16</v>
      </c>
      <c r="C1112" t="s">
        <v>125</v>
      </c>
      <c r="D1112" t="s">
        <v>249</v>
      </c>
    </row>
    <row r="1113" spans="1:4" x14ac:dyDescent="0.25">
      <c r="A1113" t="s">
        <v>295</v>
      </c>
      <c r="B1113">
        <v>12</v>
      </c>
      <c r="C1113" t="s">
        <v>125</v>
      </c>
      <c r="D1113" t="s">
        <v>296</v>
      </c>
    </row>
    <row r="1114" spans="1:4" x14ac:dyDescent="0.25">
      <c r="A1114" t="s">
        <v>289</v>
      </c>
      <c r="B1114">
        <v>9</v>
      </c>
      <c r="C1114" t="s">
        <v>125</v>
      </c>
      <c r="D1114" t="s">
        <v>290</v>
      </c>
    </row>
    <row r="1115" spans="1:4" x14ac:dyDescent="0.25">
      <c r="A1115" t="s">
        <v>257</v>
      </c>
      <c r="B1115">
        <v>8</v>
      </c>
      <c r="C1115" t="s">
        <v>125</v>
      </c>
      <c r="D1115" t="s">
        <v>249</v>
      </c>
    </row>
    <row r="1116" spans="1:4" x14ac:dyDescent="0.25">
      <c r="A1116" t="s">
        <v>479</v>
      </c>
      <c r="B1116">
        <v>8</v>
      </c>
      <c r="C1116" t="s">
        <v>125</v>
      </c>
      <c r="D1116" t="s">
        <v>478</v>
      </c>
    </row>
    <row r="1117" spans="1:4" x14ac:dyDescent="0.25">
      <c r="A1117" t="s">
        <v>264</v>
      </c>
      <c r="B1117">
        <v>5</v>
      </c>
      <c r="C1117" t="s">
        <v>125</v>
      </c>
      <c r="D1117" t="s">
        <v>249</v>
      </c>
    </row>
    <row r="1118" spans="1:4" x14ac:dyDescent="0.25">
      <c r="A1118" t="s">
        <v>334</v>
      </c>
      <c r="B1118">
        <v>4</v>
      </c>
      <c r="C1118" t="s">
        <v>125</v>
      </c>
      <c r="D1118" t="s">
        <v>333</v>
      </c>
    </row>
    <row r="1119" spans="1:4" x14ac:dyDescent="0.25">
      <c r="A1119" t="s">
        <v>471</v>
      </c>
      <c r="B1119">
        <v>4</v>
      </c>
      <c r="C1119" t="s">
        <v>125</v>
      </c>
      <c r="D1119" t="s">
        <v>472</v>
      </c>
    </row>
    <row r="1120" spans="1:4" x14ac:dyDescent="0.25">
      <c r="A1120" t="s">
        <v>459</v>
      </c>
      <c r="B1120">
        <v>3</v>
      </c>
      <c r="C1120" t="s">
        <v>125</v>
      </c>
      <c r="D1120" t="s">
        <v>460</v>
      </c>
    </row>
    <row r="1121" spans="1:4" x14ac:dyDescent="0.25">
      <c r="A1121" t="s">
        <v>489</v>
      </c>
      <c r="B1121">
        <v>3</v>
      </c>
      <c r="C1121" t="s">
        <v>125</v>
      </c>
      <c r="D1121" t="s">
        <v>488</v>
      </c>
    </row>
    <row r="1122" spans="1:4" x14ac:dyDescent="0.25">
      <c r="A1122" t="s">
        <v>446</v>
      </c>
      <c r="B1122">
        <v>3</v>
      </c>
      <c r="C1122" t="s">
        <v>125</v>
      </c>
      <c r="D1122" t="s">
        <v>442</v>
      </c>
    </row>
    <row r="1123" spans="1:4" x14ac:dyDescent="0.25">
      <c r="A1123" t="s">
        <v>468</v>
      </c>
      <c r="B1123">
        <v>2</v>
      </c>
      <c r="C1123" t="s">
        <v>125</v>
      </c>
      <c r="D1123" t="s">
        <v>469</v>
      </c>
    </row>
    <row r="1124" spans="1:4" x14ac:dyDescent="0.25">
      <c r="A1124" t="s">
        <v>405</v>
      </c>
      <c r="B1124">
        <v>2</v>
      </c>
      <c r="C1124" t="s">
        <v>125</v>
      </c>
      <c r="D1124" t="s">
        <v>401</v>
      </c>
    </row>
    <row r="1125" spans="1:4" x14ac:dyDescent="0.25">
      <c r="A1125" t="s">
        <v>42</v>
      </c>
      <c r="B1125">
        <v>55</v>
      </c>
    </row>
    <row r="1126" spans="1:4" x14ac:dyDescent="0.25">
      <c r="A1126" t="s">
        <v>188</v>
      </c>
      <c r="B1126">
        <v>2508</v>
      </c>
      <c r="C1126" t="s">
        <v>886</v>
      </c>
      <c r="D1126" t="s">
        <v>189</v>
      </c>
    </row>
    <row r="1127" spans="1:4" x14ac:dyDescent="0.25">
      <c r="A1127" t="s">
        <v>206</v>
      </c>
      <c r="B1127">
        <v>2070</v>
      </c>
      <c r="C1127" t="s">
        <v>886</v>
      </c>
      <c r="D1127" t="s">
        <v>189</v>
      </c>
    </row>
    <row r="1128" spans="1:4" x14ac:dyDescent="0.25">
      <c r="A1128" t="s">
        <v>191</v>
      </c>
      <c r="B1128">
        <v>1885</v>
      </c>
      <c r="C1128" t="s">
        <v>886</v>
      </c>
      <c r="D1128" t="s">
        <v>192</v>
      </c>
    </row>
    <row r="1129" spans="1:4" x14ac:dyDescent="0.25">
      <c r="A1129" t="s">
        <v>194</v>
      </c>
      <c r="B1129">
        <v>1522</v>
      </c>
      <c r="C1129" t="s">
        <v>886</v>
      </c>
      <c r="D1129" t="s">
        <v>195</v>
      </c>
    </row>
    <row r="1130" spans="1:4" x14ac:dyDescent="0.25">
      <c r="A1130" t="s">
        <v>200</v>
      </c>
      <c r="B1130">
        <v>1304</v>
      </c>
      <c r="C1130" t="s">
        <v>886</v>
      </c>
      <c r="D1130" t="s">
        <v>201</v>
      </c>
    </row>
    <row r="1131" spans="1:4" x14ac:dyDescent="0.25">
      <c r="A1131" t="s">
        <v>398</v>
      </c>
      <c r="B1131">
        <v>531</v>
      </c>
      <c r="C1131" t="s">
        <v>125</v>
      </c>
      <c r="D1131" t="s">
        <v>399</v>
      </c>
    </row>
    <row r="1132" spans="1:4" x14ac:dyDescent="0.25">
      <c r="A1132" t="s">
        <v>185</v>
      </c>
      <c r="B1132">
        <v>305</v>
      </c>
      <c r="C1132" t="s">
        <v>886</v>
      </c>
      <c r="D1132" t="s">
        <v>186</v>
      </c>
    </row>
    <row r="1133" spans="1:4" x14ac:dyDescent="0.25">
      <c r="A1133" t="s">
        <v>446</v>
      </c>
      <c r="B1133">
        <v>229</v>
      </c>
      <c r="C1133" t="s">
        <v>125</v>
      </c>
      <c r="D1133" t="s">
        <v>442</v>
      </c>
    </row>
    <row r="1134" spans="1:4" x14ac:dyDescent="0.25">
      <c r="A1134" t="s">
        <v>314</v>
      </c>
      <c r="B1134">
        <v>210</v>
      </c>
      <c r="C1134" t="s">
        <v>125</v>
      </c>
      <c r="D1134" t="s">
        <v>315</v>
      </c>
    </row>
    <row r="1135" spans="1:4" x14ac:dyDescent="0.25">
      <c r="A1135" t="s">
        <v>383</v>
      </c>
      <c r="B1135">
        <v>152</v>
      </c>
      <c r="C1135" t="s">
        <v>125</v>
      </c>
      <c r="D1135" t="s">
        <v>382</v>
      </c>
    </row>
    <row r="1136" spans="1:4" x14ac:dyDescent="0.25">
      <c r="A1136" t="s">
        <v>357</v>
      </c>
      <c r="B1136">
        <v>109</v>
      </c>
      <c r="C1136" t="s">
        <v>125</v>
      </c>
      <c r="D1136" t="s">
        <v>356</v>
      </c>
    </row>
    <row r="1137" spans="1:4" x14ac:dyDescent="0.25">
      <c r="A1137" t="s">
        <v>471</v>
      </c>
      <c r="B1137">
        <v>98</v>
      </c>
      <c r="C1137" t="s">
        <v>125</v>
      </c>
      <c r="D1137" t="s">
        <v>472</v>
      </c>
    </row>
    <row r="1138" spans="1:4" x14ac:dyDescent="0.25">
      <c r="A1138" t="s">
        <v>355</v>
      </c>
      <c r="B1138">
        <v>95</v>
      </c>
      <c r="C1138" t="s">
        <v>125</v>
      </c>
      <c r="D1138" t="s">
        <v>356</v>
      </c>
    </row>
    <row r="1139" spans="1:4" x14ac:dyDescent="0.25">
      <c r="A1139" t="s">
        <v>479</v>
      </c>
      <c r="B1139">
        <v>85</v>
      </c>
      <c r="C1139" t="s">
        <v>125</v>
      </c>
      <c r="D1139" t="s">
        <v>478</v>
      </c>
    </row>
    <row r="1140" spans="1:4" x14ac:dyDescent="0.25">
      <c r="A1140" t="s">
        <v>251</v>
      </c>
      <c r="B1140">
        <v>85</v>
      </c>
      <c r="C1140" t="s">
        <v>125</v>
      </c>
      <c r="D1140" t="s">
        <v>249</v>
      </c>
    </row>
    <row r="1141" spans="1:4" x14ac:dyDescent="0.25">
      <c r="A1141" t="s">
        <v>255</v>
      </c>
      <c r="B1141">
        <v>79</v>
      </c>
      <c r="C1141" t="s">
        <v>125</v>
      </c>
      <c r="D1141" t="s">
        <v>249</v>
      </c>
    </row>
    <row r="1142" spans="1:4" x14ac:dyDescent="0.25">
      <c r="A1142" t="s">
        <v>368</v>
      </c>
      <c r="B1142">
        <v>76</v>
      </c>
      <c r="C1142" t="s">
        <v>125</v>
      </c>
      <c r="D1142" t="s">
        <v>369</v>
      </c>
    </row>
    <row r="1143" spans="1:4" x14ac:dyDescent="0.25">
      <c r="A1143" t="s">
        <v>260</v>
      </c>
      <c r="B1143">
        <v>65</v>
      </c>
      <c r="C1143" t="s">
        <v>125</v>
      </c>
      <c r="D1143" t="s">
        <v>249</v>
      </c>
    </row>
    <row r="1144" spans="1:4" x14ac:dyDescent="0.25">
      <c r="A1144" t="s">
        <v>289</v>
      </c>
      <c r="B1144">
        <v>63</v>
      </c>
      <c r="C1144" t="s">
        <v>125</v>
      </c>
      <c r="D1144" t="s">
        <v>290</v>
      </c>
    </row>
    <row r="1145" spans="1:4" x14ac:dyDescent="0.25">
      <c r="A1145" t="s">
        <v>468</v>
      </c>
      <c r="B1145">
        <v>58</v>
      </c>
      <c r="C1145" t="s">
        <v>125</v>
      </c>
      <c r="D1145" t="s">
        <v>469</v>
      </c>
    </row>
    <row r="1146" spans="1:4" x14ac:dyDescent="0.25">
      <c r="A1146" t="s">
        <v>208</v>
      </c>
      <c r="B1146">
        <v>58</v>
      </c>
      <c r="C1146" t="s">
        <v>886</v>
      </c>
      <c r="D1146" t="s">
        <v>209</v>
      </c>
    </row>
    <row r="1147" spans="1:4" x14ac:dyDescent="0.25">
      <c r="A1147" t="s">
        <v>326</v>
      </c>
      <c r="B1147">
        <v>53</v>
      </c>
      <c r="C1147" t="s">
        <v>125</v>
      </c>
      <c r="D1147" t="s">
        <v>325</v>
      </c>
    </row>
    <row r="1148" spans="1:4" x14ac:dyDescent="0.25">
      <c r="A1148" t="s">
        <v>337</v>
      </c>
      <c r="B1148">
        <v>46</v>
      </c>
      <c r="C1148" t="s">
        <v>125</v>
      </c>
      <c r="D1148" t="s">
        <v>338</v>
      </c>
    </row>
    <row r="1149" spans="1:4" x14ac:dyDescent="0.25">
      <c r="A1149" t="s">
        <v>259</v>
      </c>
      <c r="B1149">
        <v>44</v>
      </c>
      <c r="C1149" t="s">
        <v>125</v>
      </c>
      <c r="D1149" t="s">
        <v>249</v>
      </c>
    </row>
    <row r="1150" spans="1:4" x14ac:dyDescent="0.25">
      <c r="A1150" t="s">
        <v>473</v>
      </c>
      <c r="B1150">
        <v>38</v>
      </c>
      <c r="C1150" t="s">
        <v>125</v>
      </c>
      <c r="D1150" t="s">
        <v>474</v>
      </c>
    </row>
    <row r="1151" spans="1:4" x14ac:dyDescent="0.25">
      <c r="A1151" t="s">
        <v>299</v>
      </c>
      <c r="B1151">
        <v>34</v>
      </c>
      <c r="C1151" t="s">
        <v>125</v>
      </c>
      <c r="D1151" t="s">
        <v>298</v>
      </c>
    </row>
    <row r="1152" spans="1:4" x14ac:dyDescent="0.25">
      <c r="A1152" t="s">
        <v>270</v>
      </c>
      <c r="B1152">
        <v>33</v>
      </c>
      <c r="C1152" t="s">
        <v>125</v>
      </c>
      <c r="D1152" t="s">
        <v>249</v>
      </c>
    </row>
    <row r="1153" spans="1:4" x14ac:dyDescent="0.25">
      <c r="A1153" t="s">
        <v>419</v>
      </c>
      <c r="B1153">
        <v>33</v>
      </c>
      <c r="C1153" t="s">
        <v>125</v>
      </c>
      <c r="D1153" t="s">
        <v>401</v>
      </c>
    </row>
    <row r="1154" spans="1:4" x14ac:dyDescent="0.25">
      <c r="A1154" t="s">
        <v>217</v>
      </c>
      <c r="B1154">
        <v>28</v>
      </c>
      <c r="C1154" t="s">
        <v>886</v>
      </c>
      <c r="D1154" t="s">
        <v>218</v>
      </c>
    </row>
    <row r="1155" spans="1:4" x14ac:dyDescent="0.25">
      <c r="A1155" t="s">
        <v>203</v>
      </c>
      <c r="B1155">
        <v>28</v>
      </c>
      <c r="C1155" t="s">
        <v>886</v>
      </c>
      <c r="D1155" t="s">
        <v>204</v>
      </c>
    </row>
    <row r="1156" spans="1:4" x14ac:dyDescent="0.25">
      <c r="A1156" t="s">
        <v>278</v>
      </c>
      <c r="B1156">
        <v>27</v>
      </c>
      <c r="C1156" t="s">
        <v>125</v>
      </c>
      <c r="D1156" t="s">
        <v>249</v>
      </c>
    </row>
    <row r="1157" spans="1:4" x14ac:dyDescent="0.25">
      <c r="A1157" t="s">
        <v>223</v>
      </c>
      <c r="B1157">
        <v>27</v>
      </c>
      <c r="C1157" t="s">
        <v>886</v>
      </c>
      <c r="D1157" t="s">
        <v>224</v>
      </c>
    </row>
    <row r="1158" spans="1:4" x14ac:dyDescent="0.25">
      <c r="A1158" t="s">
        <v>445</v>
      </c>
      <c r="B1158">
        <v>26</v>
      </c>
      <c r="C1158" t="s">
        <v>125</v>
      </c>
      <c r="D1158" t="s">
        <v>442</v>
      </c>
    </row>
    <row r="1159" spans="1:4" x14ac:dyDescent="0.25">
      <c r="A1159" t="s">
        <v>316</v>
      </c>
      <c r="B1159">
        <v>26</v>
      </c>
      <c r="C1159" t="s">
        <v>125</v>
      </c>
      <c r="D1159" t="s">
        <v>315</v>
      </c>
    </row>
    <row r="1160" spans="1:4" x14ac:dyDescent="0.25">
      <c r="A1160" t="s">
        <v>324</v>
      </c>
      <c r="B1160">
        <v>25</v>
      </c>
      <c r="C1160" t="s">
        <v>125</v>
      </c>
      <c r="D1160" t="s">
        <v>325</v>
      </c>
    </row>
    <row r="1161" spans="1:4" x14ac:dyDescent="0.25">
      <c r="A1161" t="s">
        <v>454</v>
      </c>
      <c r="B1161">
        <v>25</v>
      </c>
      <c r="C1161" t="s">
        <v>125</v>
      </c>
      <c r="D1161" t="s">
        <v>442</v>
      </c>
    </row>
    <row r="1162" spans="1:4" x14ac:dyDescent="0.25">
      <c r="A1162" t="s">
        <v>226</v>
      </c>
      <c r="B1162">
        <v>24</v>
      </c>
      <c r="C1162" t="s">
        <v>886</v>
      </c>
      <c r="D1162" t="s">
        <v>227</v>
      </c>
    </row>
    <row r="1163" spans="1:4" x14ac:dyDescent="0.25">
      <c r="A1163" t="s">
        <v>220</v>
      </c>
      <c r="B1163">
        <v>23</v>
      </c>
      <c r="C1163" t="s">
        <v>886</v>
      </c>
      <c r="D1163" t="s">
        <v>221</v>
      </c>
    </row>
    <row r="1164" spans="1:4" x14ac:dyDescent="0.25">
      <c r="A1164" t="s">
        <v>340</v>
      </c>
      <c r="B1164">
        <v>23</v>
      </c>
      <c r="C1164" t="s">
        <v>125</v>
      </c>
      <c r="D1164" t="s">
        <v>341</v>
      </c>
    </row>
    <row r="1165" spans="1:4" x14ac:dyDescent="0.25">
      <c r="A1165" t="s">
        <v>475</v>
      </c>
      <c r="B1165">
        <v>22</v>
      </c>
      <c r="C1165" t="s">
        <v>125</v>
      </c>
      <c r="D1165" t="s">
        <v>476</v>
      </c>
    </row>
    <row r="1166" spans="1:4" x14ac:dyDescent="0.25">
      <c r="A1166" t="s">
        <v>453</v>
      </c>
      <c r="B1166">
        <v>14</v>
      </c>
      <c r="C1166" t="s">
        <v>125</v>
      </c>
      <c r="D1166" t="s">
        <v>442</v>
      </c>
    </row>
    <row r="1167" spans="1:4" x14ac:dyDescent="0.25">
      <c r="A1167" t="s">
        <v>435</v>
      </c>
      <c r="B1167">
        <v>14</v>
      </c>
      <c r="C1167" t="s">
        <v>125</v>
      </c>
      <c r="D1167" t="s">
        <v>401</v>
      </c>
    </row>
    <row r="1168" spans="1:4" x14ac:dyDescent="0.25">
      <c r="A1168" t="s">
        <v>483</v>
      </c>
      <c r="B1168">
        <v>13</v>
      </c>
      <c r="C1168" t="s">
        <v>125</v>
      </c>
      <c r="D1168" t="s">
        <v>478</v>
      </c>
    </row>
    <row r="1169" spans="1:4" x14ac:dyDescent="0.25">
      <c r="A1169" t="s">
        <v>482</v>
      </c>
      <c r="B1169">
        <v>13</v>
      </c>
      <c r="C1169" t="s">
        <v>125</v>
      </c>
      <c r="D1169" t="s">
        <v>478</v>
      </c>
    </row>
    <row r="1170" spans="1:4" x14ac:dyDescent="0.25">
      <c r="A1170" t="s">
        <v>274</v>
      </c>
      <c r="B1170">
        <v>12</v>
      </c>
      <c r="C1170" t="s">
        <v>125</v>
      </c>
      <c r="D1170" t="s">
        <v>249</v>
      </c>
    </row>
    <row r="1171" spans="1:4" x14ac:dyDescent="0.25">
      <c r="A1171" t="s">
        <v>261</v>
      </c>
      <c r="B1171">
        <v>12</v>
      </c>
      <c r="C1171" t="s">
        <v>125</v>
      </c>
      <c r="D1171" t="s">
        <v>249</v>
      </c>
    </row>
    <row r="1172" spans="1:4" x14ac:dyDescent="0.25">
      <c r="A1172" t="s">
        <v>262</v>
      </c>
      <c r="B1172">
        <v>12</v>
      </c>
      <c r="C1172" t="s">
        <v>125</v>
      </c>
      <c r="D1172" t="s">
        <v>249</v>
      </c>
    </row>
    <row r="1173" spans="1:4" x14ac:dyDescent="0.25">
      <c r="A1173" t="s">
        <v>322</v>
      </c>
      <c r="B1173">
        <v>9</v>
      </c>
      <c r="C1173" t="s">
        <v>125</v>
      </c>
      <c r="D1173" t="s">
        <v>323</v>
      </c>
    </row>
    <row r="1174" spans="1:4" x14ac:dyDescent="0.25">
      <c r="A1174" t="s">
        <v>434</v>
      </c>
      <c r="B1174">
        <v>6</v>
      </c>
      <c r="C1174" t="s">
        <v>125</v>
      </c>
      <c r="D1174" t="s">
        <v>401</v>
      </c>
    </row>
    <row r="1175" spans="1:4" x14ac:dyDescent="0.25">
      <c r="A1175" t="s">
        <v>293</v>
      </c>
      <c r="B1175">
        <v>6</v>
      </c>
      <c r="C1175" t="s">
        <v>125</v>
      </c>
      <c r="D1175" t="s">
        <v>294</v>
      </c>
    </row>
    <row r="1176" spans="1:4" x14ac:dyDescent="0.25">
      <c r="A1176" t="s">
        <v>283</v>
      </c>
      <c r="B1176">
        <v>6</v>
      </c>
      <c r="C1176" t="s">
        <v>125</v>
      </c>
      <c r="D1176" t="s">
        <v>249</v>
      </c>
    </row>
    <row r="1177" spans="1:4" x14ac:dyDescent="0.25">
      <c r="A1177" t="s">
        <v>457</v>
      </c>
      <c r="B1177">
        <v>5</v>
      </c>
      <c r="C1177" t="s">
        <v>125</v>
      </c>
      <c r="D1177" t="s">
        <v>442</v>
      </c>
    </row>
    <row r="1178" spans="1:4" x14ac:dyDescent="0.25">
      <c r="A1178" t="s">
        <v>214</v>
      </c>
      <c r="B1178">
        <v>4</v>
      </c>
      <c r="C1178" t="s">
        <v>886</v>
      </c>
      <c r="D1178" t="s">
        <v>215</v>
      </c>
    </row>
    <row r="1179" spans="1:4" x14ac:dyDescent="0.25">
      <c r="A1179" t="s">
        <v>404</v>
      </c>
      <c r="B1179">
        <v>3</v>
      </c>
      <c r="C1179" t="s">
        <v>125</v>
      </c>
      <c r="D1179" t="s">
        <v>401</v>
      </c>
    </row>
    <row r="1180" spans="1:4" x14ac:dyDescent="0.25">
      <c r="A1180" t="s">
        <v>409</v>
      </c>
      <c r="B1180">
        <v>2</v>
      </c>
      <c r="C1180" t="s">
        <v>125</v>
      </c>
      <c r="D1180" t="s">
        <v>401</v>
      </c>
    </row>
    <row r="1181" spans="1:4" x14ac:dyDescent="0.25">
      <c r="A1181" t="s">
        <v>43</v>
      </c>
      <c r="B1181">
        <v>28</v>
      </c>
    </row>
    <row r="1182" spans="1:4" x14ac:dyDescent="0.25">
      <c r="A1182" t="s">
        <v>185</v>
      </c>
      <c r="B1182">
        <v>7864</v>
      </c>
      <c r="C1182" t="s">
        <v>886</v>
      </c>
      <c r="D1182" t="s">
        <v>186</v>
      </c>
    </row>
    <row r="1183" spans="1:4" x14ac:dyDescent="0.25">
      <c r="A1183" t="s">
        <v>340</v>
      </c>
      <c r="B1183">
        <v>6358</v>
      </c>
      <c r="C1183" t="s">
        <v>125</v>
      </c>
      <c r="D1183" t="s">
        <v>341</v>
      </c>
    </row>
    <row r="1184" spans="1:4" x14ac:dyDescent="0.25">
      <c r="A1184" t="s">
        <v>191</v>
      </c>
      <c r="B1184">
        <v>1501</v>
      </c>
      <c r="C1184" t="s">
        <v>886</v>
      </c>
      <c r="D1184" t="s">
        <v>192</v>
      </c>
    </row>
    <row r="1185" spans="1:4" x14ac:dyDescent="0.25">
      <c r="A1185" t="s">
        <v>342</v>
      </c>
      <c r="B1185">
        <v>1446</v>
      </c>
      <c r="C1185" t="s">
        <v>125</v>
      </c>
      <c r="D1185" t="s">
        <v>343</v>
      </c>
    </row>
    <row r="1186" spans="1:4" x14ac:dyDescent="0.25">
      <c r="A1186" t="s">
        <v>208</v>
      </c>
      <c r="B1186">
        <v>416</v>
      </c>
      <c r="C1186" t="s">
        <v>886</v>
      </c>
      <c r="D1186" t="s">
        <v>209</v>
      </c>
    </row>
    <row r="1187" spans="1:4" x14ac:dyDescent="0.25">
      <c r="A1187" t="s">
        <v>326</v>
      </c>
      <c r="B1187">
        <v>365</v>
      </c>
      <c r="C1187" t="s">
        <v>125</v>
      </c>
      <c r="D1187" t="s">
        <v>325</v>
      </c>
    </row>
    <row r="1188" spans="1:4" x14ac:dyDescent="0.25">
      <c r="A1188" t="s">
        <v>330</v>
      </c>
      <c r="B1188">
        <v>325</v>
      </c>
      <c r="C1188" t="s">
        <v>125</v>
      </c>
      <c r="D1188" t="s">
        <v>331</v>
      </c>
    </row>
    <row r="1189" spans="1:4" x14ac:dyDescent="0.25">
      <c r="A1189" t="s">
        <v>320</v>
      </c>
      <c r="B1189">
        <v>238</v>
      </c>
      <c r="C1189" t="s">
        <v>125</v>
      </c>
      <c r="D1189" t="s">
        <v>321</v>
      </c>
    </row>
    <row r="1190" spans="1:4" x14ac:dyDescent="0.25">
      <c r="A1190" t="s">
        <v>214</v>
      </c>
      <c r="B1190">
        <v>135</v>
      </c>
      <c r="C1190" t="s">
        <v>886</v>
      </c>
      <c r="D1190" t="s">
        <v>215</v>
      </c>
    </row>
    <row r="1191" spans="1:4" x14ac:dyDescent="0.25">
      <c r="A1191" t="s">
        <v>385</v>
      </c>
      <c r="B1191">
        <v>100</v>
      </c>
      <c r="C1191" t="s">
        <v>125</v>
      </c>
      <c r="D1191" t="s">
        <v>386</v>
      </c>
    </row>
    <row r="1192" spans="1:4" x14ac:dyDescent="0.25">
      <c r="A1192" t="s">
        <v>479</v>
      </c>
      <c r="B1192">
        <v>69</v>
      </c>
      <c r="C1192" t="s">
        <v>125</v>
      </c>
      <c r="D1192" t="s">
        <v>478</v>
      </c>
    </row>
    <row r="1193" spans="1:4" x14ac:dyDescent="0.25">
      <c r="A1193" t="s">
        <v>203</v>
      </c>
      <c r="B1193">
        <v>56</v>
      </c>
      <c r="C1193" t="s">
        <v>886</v>
      </c>
      <c r="D1193" t="s">
        <v>204</v>
      </c>
    </row>
    <row r="1194" spans="1:4" x14ac:dyDescent="0.25">
      <c r="A1194" t="s">
        <v>266</v>
      </c>
      <c r="B1194">
        <v>47</v>
      </c>
      <c r="C1194" t="s">
        <v>125</v>
      </c>
      <c r="D1194" t="s">
        <v>249</v>
      </c>
    </row>
    <row r="1195" spans="1:4" x14ac:dyDescent="0.25">
      <c r="A1195" t="s">
        <v>314</v>
      </c>
      <c r="B1195">
        <v>43</v>
      </c>
      <c r="C1195" t="s">
        <v>125</v>
      </c>
      <c r="D1195" t="s">
        <v>315</v>
      </c>
    </row>
    <row r="1196" spans="1:4" x14ac:dyDescent="0.25">
      <c r="A1196" t="s">
        <v>446</v>
      </c>
      <c r="B1196">
        <v>37</v>
      </c>
      <c r="C1196" t="s">
        <v>125</v>
      </c>
      <c r="D1196" t="s">
        <v>442</v>
      </c>
    </row>
    <row r="1197" spans="1:4" x14ac:dyDescent="0.25">
      <c r="A1197" t="s">
        <v>188</v>
      </c>
      <c r="B1197">
        <v>32</v>
      </c>
      <c r="C1197" t="s">
        <v>886</v>
      </c>
      <c r="D1197" t="s">
        <v>189</v>
      </c>
    </row>
    <row r="1198" spans="1:4" x14ac:dyDescent="0.25">
      <c r="A1198" t="s">
        <v>217</v>
      </c>
      <c r="B1198">
        <v>27</v>
      </c>
      <c r="C1198" t="s">
        <v>886</v>
      </c>
      <c r="D1198" t="s">
        <v>218</v>
      </c>
    </row>
    <row r="1199" spans="1:4" x14ac:dyDescent="0.25">
      <c r="A1199" t="s">
        <v>200</v>
      </c>
      <c r="B1199">
        <v>25</v>
      </c>
      <c r="C1199" t="s">
        <v>886</v>
      </c>
      <c r="D1199" t="s">
        <v>201</v>
      </c>
    </row>
    <row r="1200" spans="1:4" x14ac:dyDescent="0.25">
      <c r="A1200" t="s">
        <v>250</v>
      </c>
      <c r="B1200">
        <v>21</v>
      </c>
      <c r="C1200" t="s">
        <v>125</v>
      </c>
      <c r="D1200" t="s">
        <v>249</v>
      </c>
    </row>
    <row r="1201" spans="1:4" x14ac:dyDescent="0.25">
      <c r="A1201" t="s">
        <v>304</v>
      </c>
      <c r="B1201">
        <v>19</v>
      </c>
      <c r="C1201" t="s">
        <v>125</v>
      </c>
      <c r="D1201" t="s">
        <v>305</v>
      </c>
    </row>
    <row r="1202" spans="1:4" x14ac:dyDescent="0.25">
      <c r="A1202" t="s">
        <v>226</v>
      </c>
      <c r="B1202">
        <v>11</v>
      </c>
      <c r="C1202" t="s">
        <v>886</v>
      </c>
      <c r="D1202" t="s">
        <v>227</v>
      </c>
    </row>
    <row r="1203" spans="1:4" x14ac:dyDescent="0.25">
      <c r="A1203" t="s">
        <v>220</v>
      </c>
      <c r="B1203">
        <v>8</v>
      </c>
      <c r="C1203" t="s">
        <v>886</v>
      </c>
      <c r="D1203" t="s">
        <v>221</v>
      </c>
    </row>
    <row r="1204" spans="1:4" x14ac:dyDescent="0.25">
      <c r="A1204" t="s">
        <v>251</v>
      </c>
      <c r="B1204">
        <v>8</v>
      </c>
      <c r="C1204" t="s">
        <v>125</v>
      </c>
      <c r="D1204" t="s">
        <v>249</v>
      </c>
    </row>
    <row r="1205" spans="1:4" x14ac:dyDescent="0.25">
      <c r="A1205" t="s">
        <v>473</v>
      </c>
      <c r="B1205">
        <v>7</v>
      </c>
      <c r="C1205" t="s">
        <v>125</v>
      </c>
      <c r="D1205" t="s">
        <v>474</v>
      </c>
    </row>
    <row r="1206" spans="1:4" x14ac:dyDescent="0.25">
      <c r="A1206" t="s">
        <v>194</v>
      </c>
      <c r="B1206">
        <v>7</v>
      </c>
      <c r="C1206" t="s">
        <v>886</v>
      </c>
      <c r="D1206" t="s">
        <v>195</v>
      </c>
    </row>
    <row r="1207" spans="1:4" x14ac:dyDescent="0.25">
      <c r="A1207" t="s">
        <v>270</v>
      </c>
      <c r="B1207">
        <v>7</v>
      </c>
      <c r="C1207" t="s">
        <v>125</v>
      </c>
      <c r="D1207" t="s">
        <v>249</v>
      </c>
    </row>
    <row r="1208" spans="1:4" x14ac:dyDescent="0.25">
      <c r="A1208" t="s">
        <v>351</v>
      </c>
      <c r="B1208">
        <v>4</v>
      </c>
      <c r="C1208" t="s">
        <v>125</v>
      </c>
      <c r="D1208" t="s">
        <v>352</v>
      </c>
    </row>
    <row r="1209" spans="1:4" x14ac:dyDescent="0.25">
      <c r="A1209" t="s">
        <v>284</v>
      </c>
      <c r="B1209">
        <v>3</v>
      </c>
      <c r="C1209" t="s">
        <v>125</v>
      </c>
      <c r="D1209" t="s">
        <v>249</v>
      </c>
    </row>
    <row r="1210" spans="1:4" x14ac:dyDescent="0.25">
      <c r="A1210" t="s">
        <v>44</v>
      </c>
      <c r="B1210">
        <v>17</v>
      </c>
    </row>
    <row r="1211" spans="1:4" x14ac:dyDescent="0.25">
      <c r="A1211" t="s">
        <v>191</v>
      </c>
      <c r="B1211">
        <v>906</v>
      </c>
      <c r="C1211" t="s">
        <v>886</v>
      </c>
      <c r="D1211" t="s">
        <v>192</v>
      </c>
    </row>
    <row r="1212" spans="1:4" x14ac:dyDescent="0.25">
      <c r="A1212" t="s">
        <v>248</v>
      </c>
      <c r="B1212">
        <v>447</v>
      </c>
      <c r="C1212" t="s">
        <v>125</v>
      </c>
      <c r="D1212" t="s">
        <v>249</v>
      </c>
    </row>
    <row r="1213" spans="1:4" x14ac:dyDescent="0.25">
      <c r="A1213" t="s">
        <v>380</v>
      </c>
      <c r="B1213">
        <v>388</v>
      </c>
      <c r="C1213" t="s">
        <v>125</v>
      </c>
      <c r="D1213" t="s">
        <v>373</v>
      </c>
    </row>
    <row r="1214" spans="1:4" x14ac:dyDescent="0.25">
      <c r="A1214" t="s">
        <v>250</v>
      </c>
      <c r="B1214">
        <v>295</v>
      </c>
      <c r="C1214" t="s">
        <v>125</v>
      </c>
      <c r="D1214" t="s">
        <v>249</v>
      </c>
    </row>
    <row r="1215" spans="1:4" x14ac:dyDescent="0.25">
      <c r="A1215" t="s">
        <v>194</v>
      </c>
      <c r="B1215">
        <v>228</v>
      </c>
      <c r="C1215" t="s">
        <v>886</v>
      </c>
      <c r="D1215" t="s">
        <v>195</v>
      </c>
    </row>
    <row r="1216" spans="1:4" x14ac:dyDescent="0.25">
      <c r="A1216" t="s">
        <v>208</v>
      </c>
      <c r="B1216">
        <v>203</v>
      </c>
      <c r="C1216" t="s">
        <v>886</v>
      </c>
      <c r="D1216" t="s">
        <v>209</v>
      </c>
    </row>
    <row r="1217" spans="1:4" x14ac:dyDescent="0.25">
      <c r="A1217" t="s">
        <v>441</v>
      </c>
      <c r="B1217">
        <v>122</v>
      </c>
      <c r="C1217" t="s">
        <v>125</v>
      </c>
      <c r="D1217" t="s">
        <v>442</v>
      </c>
    </row>
    <row r="1218" spans="1:4" x14ac:dyDescent="0.25">
      <c r="A1218" t="s">
        <v>200</v>
      </c>
      <c r="B1218">
        <v>88</v>
      </c>
      <c r="C1218" t="s">
        <v>886</v>
      </c>
      <c r="D1218" t="s">
        <v>201</v>
      </c>
    </row>
    <row r="1219" spans="1:4" x14ac:dyDescent="0.25">
      <c r="A1219" t="s">
        <v>291</v>
      </c>
      <c r="B1219">
        <v>72</v>
      </c>
      <c r="C1219" t="s">
        <v>125</v>
      </c>
      <c r="D1219" t="s">
        <v>290</v>
      </c>
    </row>
    <row r="1220" spans="1:4" x14ac:dyDescent="0.25">
      <c r="A1220" t="s">
        <v>436</v>
      </c>
      <c r="B1220">
        <v>65</v>
      </c>
      <c r="C1220" t="s">
        <v>125</v>
      </c>
      <c r="D1220" t="s">
        <v>401</v>
      </c>
    </row>
    <row r="1221" spans="1:4" x14ac:dyDescent="0.25">
      <c r="A1221" t="s">
        <v>375</v>
      </c>
      <c r="B1221">
        <v>64</v>
      </c>
      <c r="C1221" t="s">
        <v>125</v>
      </c>
      <c r="D1221" t="s">
        <v>373</v>
      </c>
    </row>
    <row r="1222" spans="1:4" x14ac:dyDescent="0.25">
      <c r="A1222" t="s">
        <v>484</v>
      </c>
      <c r="B1222">
        <v>61</v>
      </c>
      <c r="C1222" t="s">
        <v>125</v>
      </c>
      <c r="D1222" t="s">
        <v>478</v>
      </c>
    </row>
    <row r="1223" spans="1:4" x14ac:dyDescent="0.25">
      <c r="A1223" t="s">
        <v>226</v>
      </c>
      <c r="B1223">
        <v>52</v>
      </c>
      <c r="C1223" t="s">
        <v>886</v>
      </c>
      <c r="D1223" t="s">
        <v>227</v>
      </c>
    </row>
    <row r="1224" spans="1:4" x14ac:dyDescent="0.25">
      <c r="A1224" t="s">
        <v>385</v>
      </c>
      <c r="B1224">
        <v>50</v>
      </c>
      <c r="C1224" t="s">
        <v>125</v>
      </c>
      <c r="D1224" t="s">
        <v>386</v>
      </c>
    </row>
    <row r="1225" spans="1:4" x14ac:dyDescent="0.25">
      <c r="A1225" t="s">
        <v>374</v>
      </c>
      <c r="B1225">
        <v>50</v>
      </c>
      <c r="C1225" t="s">
        <v>125</v>
      </c>
      <c r="D1225" t="s">
        <v>373</v>
      </c>
    </row>
    <row r="1226" spans="1:4" x14ac:dyDescent="0.25">
      <c r="A1226" t="s">
        <v>452</v>
      </c>
      <c r="B1226">
        <v>40</v>
      </c>
      <c r="C1226" t="s">
        <v>125</v>
      </c>
      <c r="D1226" t="s">
        <v>442</v>
      </c>
    </row>
    <row r="1227" spans="1:4" x14ac:dyDescent="0.25">
      <c r="A1227" t="s">
        <v>405</v>
      </c>
      <c r="B1227">
        <v>7</v>
      </c>
      <c r="C1227" t="s">
        <v>125</v>
      </c>
      <c r="D1227" t="s">
        <v>401</v>
      </c>
    </row>
    <row r="1228" spans="1:4" x14ac:dyDescent="0.25">
      <c r="A1228" t="s">
        <v>45</v>
      </c>
      <c r="B1228">
        <v>34</v>
      </c>
    </row>
    <row r="1229" spans="1:4" x14ac:dyDescent="0.25">
      <c r="A1229" t="s">
        <v>340</v>
      </c>
      <c r="B1229">
        <v>7562</v>
      </c>
      <c r="C1229" t="s">
        <v>125</v>
      </c>
      <c r="D1229" t="s">
        <v>341</v>
      </c>
    </row>
    <row r="1230" spans="1:4" x14ac:dyDescent="0.25">
      <c r="A1230" t="s">
        <v>191</v>
      </c>
      <c r="B1230">
        <v>5150</v>
      </c>
      <c r="C1230" t="s">
        <v>886</v>
      </c>
      <c r="D1230" t="s">
        <v>192</v>
      </c>
    </row>
    <row r="1231" spans="1:4" x14ac:dyDescent="0.25">
      <c r="A1231" t="s">
        <v>185</v>
      </c>
      <c r="B1231">
        <v>4180</v>
      </c>
      <c r="C1231" t="s">
        <v>886</v>
      </c>
      <c r="D1231" t="s">
        <v>186</v>
      </c>
    </row>
    <row r="1232" spans="1:4" x14ac:dyDescent="0.25">
      <c r="A1232" t="s">
        <v>208</v>
      </c>
      <c r="B1232">
        <v>289</v>
      </c>
      <c r="C1232" t="s">
        <v>886</v>
      </c>
      <c r="D1232" t="s">
        <v>209</v>
      </c>
    </row>
    <row r="1233" spans="1:4" x14ac:dyDescent="0.25">
      <c r="A1233" t="s">
        <v>326</v>
      </c>
      <c r="B1233">
        <v>256</v>
      </c>
      <c r="C1233" t="s">
        <v>125</v>
      </c>
      <c r="D1233" t="s">
        <v>325</v>
      </c>
    </row>
    <row r="1234" spans="1:4" x14ac:dyDescent="0.25">
      <c r="A1234" t="s">
        <v>320</v>
      </c>
      <c r="B1234">
        <v>209</v>
      </c>
      <c r="C1234" t="s">
        <v>125</v>
      </c>
      <c r="D1234" t="s">
        <v>321</v>
      </c>
    </row>
    <row r="1235" spans="1:4" x14ac:dyDescent="0.25">
      <c r="A1235" t="s">
        <v>419</v>
      </c>
      <c r="B1235">
        <v>123</v>
      </c>
      <c r="C1235" t="s">
        <v>125</v>
      </c>
      <c r="D1235" t="s">
        <v>401</v>
      </c>
    </row>
    <row r="1236" spans="1:4" x14ac:dyDescent="0.25">
      <c r="A1236" t="s">
        <v>314</v>
      </c>
      <c r="B1236">
        <v>116</v>
      </c>
      <c r="C1236" t="s">
        <v>125</v>
      </c>
      <c r="D1236" t="s">
        <v>315</v>
      </c>
    </row>
    <row r="1237" spans="1:4" x14ac:dyDescent="0.25">
      <c r="A1237" t="s">
        <v>250</v>
      </c>
      <c r="B1237">
        <v>88</v>
      </c>
      <c r="C1237" t="s">
        <v>125</v>
      </c>
      <c r="D1237" t="s">
        <v>249</v>
      </c>
    </row>
    <row r="1238" spans="1:4" x14ac:dyDescent="0.25">
      <c r="A1238" t="s">
        <v>214</v>
      </c>
      <c r="B1238">
        <v>56</v>
      </c>
      <c r="C1238" t="s">
        <v>886</v>
      </c>
      <c r="D1238" t="s">
        <v>215</v>
      </c>
    </row>
    <row r="1239" spans="1:4" x14ac:dyDescent="0.25">
      <c r="A1239" t="s">
        <v>479</v>
      </c>
      <c r="B1239">
        <v>45</v>
      </c>
      <c r="C1239" t="s">
        <v>125</v>
      </c>
      <c r="D1239" t="s">
        <v>478</v>
      </c>
    </row>
    <row r="1240" spans="1:4" x14ac:dyDescent="0.25">
      <c r="A1240" t="s">
        <v>330</v>
      </c>
      <c r="B1240">
        <v>44</v>
      </c>
      <c r="C1240" t="s">
        <v>125</v>
      </c>
      <c r="D1240" t="s">
        <v>331</v>
      </c>
    </row>
    <row r="1241" spans="1:4" x14ac:dyDescent="0.25">
      <c r="A1241" t="s">
        <v>203</v>
      </c>
      <c r="B1241">
        <v>43</v>
      </c>
      <c r="C1241" t="s">
        <v>886</v>
      </c>
      <c r="D1241" t="s">
        <v>204</v>
      </c>
    </row>
    <row r="1242" spans="1:4" x14ac:dyDescent="0.25">
      <c r="A1242" t="s">
        <v>446</v>
      </c>
      <c r="B1242">
        <v>42</v>
      </c>
      <c r="C1242" t="s">
        <v>125</v>
      </c>
      <c r="D1242" t="s">
        <v>442</v>
      </c>
    </row>
    <row r="1243" spans="1:4" x14ac:dyDescent="0.25">
      <c r="A1243" t="s">
        <v>217</v>
      </c>
      <c r="B1243">
        <v>35</v>
      </c>
      <c r="C1243" t="s">
        <v>886</v>
      </c>
      <c r="D1243" t="s">
        <v>218</v>
      </c>
    </row>
    <row r="1244" spans="1:4" x14ac:dyDescent="0.25">
      <c r="A1244" t="s">
        <v>200</v>
      </c>
      <c r="B1244">
        <v>34</v>
      </c>
      <c r="C1244" t="s">
        <v>886</v>
      </c>
      <c r="D1244" t="s">
        <v>201</v>
      </c>
    </row>
    <row r="1245" spans="1:4" x14ac:dyDescent="0.25">
      <c r="A1245" t="s">
        <v>188</v>
      </c>
      <c r="B1245">
        <v>30</v>
      </c>
      <c r="C1245" t="s">
        <v>886</v>
      </c>
      <c r="D1245" t="s">
        <v>189</v>
      </c>
    </row>
    <row r="1246" spans="1:4" x14ac:dyDescent="0.25">
      <c r="A1246" t="s">
        <v>266</v>
      </c>
      <c r="B1246">
        <v>28</v>
      </c>
      <c r="C1246" t="s">
        <v>125</v>
      </c>
      <c r="D1246" t="s">
        <v>249</v>
      </c>
    </row>
    <row r="1247" spans="1:4" x14ac:dyDescent="0.25">
      <c r="A1247" t="s">
        <v>383</v>
      </c>
      <c r="B1247">
        <v>24</v>
      </c>
      <c r="C1247" t="s">
        <v>125</v>
      </c>
      <c r="D1247" t="s">
        <v>382</v>
      </c>
    </row>
    <row r="1248" spans="1:4" x14ac:dyDescent="0.25">
      <c r="A1248" t="s">
        <v>300</v>
      </c>
      <c r="B1248">
        <v>24</v>
      </c>
      <c r="C1248" t="s">
        <v>125</v>
      </c>
      <c r="D1248" t="s">
        <v>301</v>
      </c>
    </row>
    <row r="1249" spans="1:4" x14ac:dyDescent="0.25">
      <c r="A1249" t="s">
        <v>251</v>
      </c>
      <c r="B1249">
        <v>23</v>
      </c>
      <c r="C1249" t="s">
        <v>125</v>
      </c>
      <c r="D1249" t="s">
        <v>249</v>
      </c>
    </row>
    <row r="1250" spans="1:4" x14ac:dyDescent="0.25">
      <c r="A1250" t="s">
        <v>473</v>
      </c>
      <c r="B1250">
        <v>18</v>
      </c>
      <c r="C1250" t="s">
        <v>125</v>
      </c>
      <c r="D1250" t="s">
        <v>474</v>
      </c>
    </row>
    <row r="1251" spans="1:4" x14ac:dyDescent="0.25">
      <c r="A1251" t="s">
        <v>293</v>
      </c>
      <c r="B1251">
        <v>17</v>
      </c>
      <c r="C1251" t="s">
        <v>125</v>
      </c>
      <c r="D1251" t="s">
        <v>294</v>
      </c>
    </row>
    <row r="1252" spans="1:4" x14ac:dyDescent="0.25">
      <c r="A1252" t="s">
        <v>471</v>
      </c>
      <c r="B1252">
        <v>12</v>
      </c>
      <c r="C1252" t="s">
        <v>125</v>
      </c>
      <c r="D1252" t="s">
        <v>472</v>
      </c>
    </row>
    <row r="1253" spans="1:4" x14ac:dyDescent="0.25">
      <c r="A1253" t="s">
        <v>220</v>
      </c>
      <c r="B1253">
        <v>11</v>
      </c>
      <c r="C1253" t="s">
        <v>886</v>
      </c>
      <c r="D1253" t="s">
        <v>221</v>
      </c>
    </row>
    <row r="1254" spans="1:4" x14ac:dyDescent="0.25">
      <c r="A1254" t="s">
        <v>261</v>
      </c>
      <c r="B1254">
        <v>11</v>
      </c>
      <c r="C1254" t="s">
        <v>125</v>
      </c>
      <c r="D1254" t="s">
        <v>249</v>
      </c>
    </row>
    <row r="1255" spans="1:4" x14ac:dyDescent="0.25">
      <c r="A1255" t="s">
        <v>453</v>
      </c>
      <c r="B1255">
        <v>9</v>
      </c>
      <c r="C1255" t="s">
        <v>125</v>
      </c>
      <c r="D1255" t="s">
        <v>442</v>
      </c>
    </row>
    <row r="1256" spans="1:4" x14ac:dyDescent="0.25">
      <c r="A1256" t="s">
        <v>395</v>
      </c>
      <c r="B1256">
        <v>9</v>
      </c>
      <c r="C1256" t="s">
        <v>125</v>
      </c>
      <c r="D1256" t="s">
        <v>396</v>
      </c>
    </row>
    <row r="1257" spans="1:4" x14ac:dyDescent="0.25">
      <c r="A1257" t="s">
        <v>194</v>
      </c>
      <c r="B1257">
        <v>8</v>
      </c>
      <c r="C1257" t="s">
        <v>886</v>
      </c>
      <c r="D1257" t="s">
        <v>195</v>
      </c>
    </row>
    <row r="1258" spans="1:4" x14ac:dyDescent="0.25">
      <c r="A1258" t="s">
        <v>270</v>
      </c>
      <c r="B1258">
        <v>6</v>
      </c>
      <c r="C1258" t="s">
        <v>125</v>
      </c>
      <c r="D1258" t="s">
        <v>249</v>
      </c>
    </row>
    <row r="1259" spans="1:4" x14ac:dyDescent="0.25">
      <c r="A1259" t="s">
        <v>304</v>
      </c>
      <c r="B1259">
        <v>5</v>
      </c>
      <c r="C1259" t="s">
        <v>125</v>
      </c>
      <c r="D1259" t="s">
        <v>305</v>
      </c>
    </row>
    <row r="1260" spans="1:4" x14ac:dyDescent="0.25">
      <c r="A1260" t="s">
        <v>274</v>
      </c>
      <c r="B1260">
        <v>4</v>
      </c>
      <c r="C1260" t="s">
        <v>125</v>
      </c>
      <c r="D1260" t="s">
        <v>249</v>
      </c>
    </row>
    <row r="1261" spans="1:4" x14ac:dyDescent="0.25">
      <c r="A1261" t="s">
        <v>468</v>
      </c>
      <c r="B1261">
        <v>3</v>
      </c>
      <c r="C1261" t="s">
        <v>125</v>
      </c>
      <c r="D1261" t="s">
        <v>469</v>
      </c>
    </row>
    <row r="1262" spans="1:4" x14ac:dyDescent="0.25">
      <c r="A1262" t="s">
        <v>284</v>
      </c>
      <c r="B1262">
        <v>2</v>
      </c>
      <c r="C1262" t="s">
        <v>125</v>
      </c>
      <c r="D1262" t="s">
        <v>249</v>
      </c>
    </row>
    <row r="1263" spans="1:4" x14ac:dyDescent="0.25">
      <c r="A1263" t="s">
        <v>46</v>
      </c>
      <c r="B1263">
        <v>16</v>
      </c>
    </row>
    <row r="1264" spans="1:4" x14ac:dyDescent="0.25">
      <c r="A1264" t="s">
        <v>185</v>
      </c>
      <c r="B1264">
        <v>3680</v>
      </c>
      <c r="C1264" t="s">
        <v>886</v>
      </c>
      <c r="D1264" t="s">
        <v>186</v>
      </c>
    </row>
    <row r="1265" spans="1:4" x14ac:dyDescent="0.25">
      <c r="A1265" t="s">
        <v>191</v>
      </c>
      <c r="B1265">
        <v>3280</v>
      </c>
      <c r="C1265" t="s">
        <v>886</v>
      </c>
      <c r="D1265" t="s">
        <v>192</v>
      </c>
    </row>
    <row r="1266" spans="1:4" x14ac:dyDescent="0.25">
      <c r="A1266" t="s">
        <v>206</v>
      </c>
      <c r="B1266">
        <v>2491</v>
      </c>
      <c r="C1266" t="s">
        <v>886</v>
      </c>
      <c r="D1266" t="s">
        <v>189</v>
      </c>
    </row>
    <row r="1267" spans="1:4" x14ac:dyDescent="0.25">
      <c r="A1267" t="s">
        <v>188</v>
      </c>
      <c r="B1267">
        <v>1312</v>
      </c>
      <c r="C1267" t="s">
        <v>886</v>
      </c>
      <c r="D1267" t="s">
        <v>189</v>
      </c>
    </row>
    <row r="1268" spans="1:4" x14ac:dyDescent="0.25">
      <c r="A1268" t="s">
        <v>258</v>
      </c>
      <c r="B1268">
        <v>511</v>
      </c>
      <c r="C1268" t="s">
        <v>125</v>
      </c>
      <c r="D1268" t="s">
        <v>249</v>
      </c>
    </row>
    <row r="1269" spans="1:4" x14ac:dyDescent="0.25">
      <c r="A1269" t="s">
        <v>425</v>
      </c>
      <c r="B1269">
        <v>264</v>
      </c>
      <c r="C1269" t="s">
        <v>125</v>
      </c>
      <c r="D1269" t="s">
        <v>401</v>
      </c>
    </row>
    <row r="1270" spans="1:4" x14ac:dyDescent="0.25">
      <c r="A1270" t="s">
        <v>340</v>
      </c>
      <c r="B1270">
        <v>176</v>
      </c>
      <c r="C1270" t="s">
        <v>125</v>
      </c>
      <c r="D1270" t="s">
        <v>341</v>
      </c>
    </row>
    <row r="1271" spans="1:4" x14ac:dyDescent="0.25">
      <c r="A1271" t="s">
        <v>367</v>
      </c>
      <c r="B1271">
        <v>73</v>
      </c>
      <c r="C1271" t="s">
        <v>125</v>
      </c>
      <c r="D1271" t="s">
        <v>365</v>
      </c>
    </row>
    <row r="1272" spans="1:4" x14ac:dyDescent="0.25">
      <c r="A1272" t="s">
        <v>424</v>
      </c>
      <c r="B1272">
        <v>57</v>
      </c>
      <c r="C1272" t="s">
        <v>125</v>
      </c>
      <c r="D1272" t="s">
        <v>401</v>
      </c>
    </row>
    <row r="1273" spans="1:4" x14ac:dyDescent="0.25">
      <c r="A1273" t="s">
        <v>314</v>
      </c>
      <c r="B1273">
        <v>44</v>
      </c>
      <c r="C1273" t="s">
        <v>125</v>
      </c>
      <c r="D1273" t="s">
        <v>315</v>
      </c>
    </row>
    <row r="1274" spans="1:4" x14ac:dyDescent="0.25">
      <c r="A1274" t="s">
        <v>203</v>
      </c>
      <c r="B1274">
        <v>37</v>
      </c>
      <c r="C1274" t="s">
        <v>886</v>
      </c>
      <c r="D1274" t="s">
        <v>204</v>
      </c>
    </row>
    <row r="1275" spans="1:4" x14ac:dyDescent="0.25">
      <c r="A1275" t="s">
        <v>240</v>
      </c>
      <c r="B1275">
        <v>34</v>
      </c>
      <c r="C1275" t="s">
        <v>886</v>
      </c>
      <c r="D1275" t="s">
        <v>241</v>
      </c>
    </row>
    <row r="1276" spans="1:4" x14ac:dyDescent="0.25">
      <c r="A1276" t="s">
        <v>208</v>
      </c>
      <c r="B1276">
        <v>33</v>
      </c>
      <c r="C1276" t="s">
        <v>886</v>
      </c>
      <c r="D1276" t="s">
        <v>209</v>
      </c>
    </row>
    <row r="1277" spans="1:4" x14ac:dyDescent="0.25">
      <c r="A1277" t="s">
        <v>426</v>
      </c>
      <c r="B1277">
        <v>10</v>
      </c>
      <c r="C1277" t="s">
        <v>125</v>
      </c>
      <c r="D1277" t="s">
        <v>401</v>
      </c>
    </row>
    <row r="1278" spans="1:4" x14ac:dyDescent="0.25">
      <c r="A1278" t="s">
        <v>353</v>
      </c>
      <c r="B1278">
        <v>5</v>
      </c>
      <c r="C1278" t="s">
        <v>125</v>
      </c>
      <c r="D1278" t="s">
        <v>354</v>
      </c>
    </row>
    <row r="1279" spans="1:4" x14ac:dyDescent="0.25">
      <c r="A1279" t="s">
        <v>437</v>
      </c>
      <c r="B1279">
        <v>4</v>
      </c>
      <c r="C1279" t="s">
        <v>125</v>
      </c>
      <c r="D1279" t="s">
        <v>401</v>
      </c>
    </row>
    <row r="1280" spans="1:4" x14ac:dyDescent="0.25">
      <c r="A1280" t="s">
        <v>47</v>
      </c>
      <c r="B1280">
        <v>16</v>
      </c>
    </row>
    <row r="1281" spans="1:4" x14ac:dyDescent="0.25">
      <c r="A1281" t="s">
        <v>185</v>
      </c>
      <c r="B1281">
        <v>5446</v>
      </c>
      <c r="C1281" t="s">
        <v>886</v>
      </c>
      <c r="D1281" t="s">
        <v>186</v>
      </c>
    </row>
    <row r="1282" spans="1:4" x14ac:dyDescent="0.25">
      <c r="A1282" t="s">
        <v>340</v>
      </c>
      <c r="B1282">
        <v>2987</v>
      </c>
      <c r="C1282" t="s">
        <v>125</v>
      </c>
      <c r="D1282" t="s">
        <v>341</v>
      </c>
    </row>
    <row r="1283" spans="1:4" x14ac:dyDescent="0.25">
      <c r="A1283" t="s">
        <v>208</v>
      </c>
      <c r="B1283">
        <v>2526</v>
      </c>
      <c r="C1283" t="s">
        <v>886</v>
      </c>
      <c r="D1283" t="s">
        <v>209</v>
      </c>
    </row>
    <row r="1284" spans="1:4" x14ac:dyDescent="0.25">
      <c r="A1284" t="s">
        <v>191</v>
      </c>
      <c r="B1284">
        <v>1856</v>
      </c>
      <c r="C1284" t="s">
        <v>886</v>
      </c>
      <c r="D1284" t="s">
        <v>192</v>
      </c>
    </row>
    <row r="1285" spans="1:4" x14ac:dyDescent="0.25">
      <c r="A1285" t="s">
        <v>188</v>
      </c>
      <c r="B1285">
        <v>382</v>
      </c>
      <c r="C1285" t="s">
        <v>886</v>
      </c>
      <c r="D1285" t="s">
        <v>189</v>
      </c>
    </row>
    <row r="1286" spans="1:4" x14ac:dyDescent="0.25">
      <c r="A1286" t="s">
        <v>292</v>
      </c>
      <c r="B1286">
        <v>289</v>
      </c>
      <c r="C1286" t="s">
        <v>125</v>
      </c>
      <c r="D1286" t="s">
        <v>290</v>
      </c>
    </row>
    <row r="1287" spans="1:4" x14ac:dyDescent="0.25">
      <c r="A1287" t="s">
        <v>326</v>
      </c>
      <c r="B1287">
        <v>256</v>
      </c>
      <c r="C1287" t="s">
        <v>125</v>
      </c>
      <c r="D1287" t="s">
        <v>325</v>
      </c>
    </row>
    <row r="1288" spans="1:4" x14ac:dyDescent="0.25">
      <c r="A1288" t="s">
        <v>316</v>
      </c>
      <c r="B1288">
        <v>52</v>
      </c>
      <c r="C1288" t="s">
        <v>125</v>
      </c>
      <c r="D1288" t="s">
        <v>315</v>
      </c>
    </row>
    <row r="1289" spans="1:4" x14ac:dyDescent="0.25">
      <c r="A1289" t="s">
        <v>330</v>
      </c>
      <c r="B1289">
        <v>39</v>
      </c>
      <c r="C1289" t="s">
        <v>125</v>
      </c>
      <c r="D1289" t="s">
        <v>331</v>
      </c>
    </row>
    <row r="1290" spans="1:4" x14ac:dyDescent="0.25">
      <c r="A1290" t="s">
        <v>197</v>
      </c>
      <c r="B1290">
        <v>22</v>
      </c>
      <c r="C1290" t="s">
        <v>886</v>
      </c>
      <c r="D1290" t="s">
        <v>198</v>
      </c>
    </row>
    <row r="1291" spans="1:4" x14ac:dyDescent="0.25">
      <c r="A1291" t="s">
        <v>328</v>
      </c>
      <c r="B1291">
        <v>18</v>
      </c>
      <c r="C1291" t="s">
        <v>125</v>
      </c>
      <c r="D1291" t="s">
        <v>325</v>
      </c>
    </row>
    <row r="1292" spans="1:4" x14ac:dyDescent="0.25">
      <c r="A1292" t="s">
        <v>253</v>
      </c>
      <c r="B1292">
        <v>11</v>
      </c>
      <c r="C1292" t="s">
        <v>125</v>
      </c>
      <c r="D1292" t="s">
        <v>249</v>
      </c>
    </row>
    <row r="1293" spans="1:4" x14ac:dyDescent="0.25">
      <c r="A1293" t="s">
        <v>405</v>
      </c>
      <c r="B1293">
        <v>11</v>
      </c>
      <c r="C1293" t="s">
        <v>125</v>
      </c>
      <c r="D1293" t="s">
        <v>401</v>
      </c>
    </row>
    <row r="1294" spans="1:4" x14ac:dyDescent="0.25">
      <c r="A1294" t="s">
        <v>473</v>
      </c>
      <c r="B1294">
        <v>8</v>
      </c>
      <c r="C1294" t="s">
        <v>125</v>
      </c>
      <c r="D1294" t="s">
        <v>474</v>
      </c>
    </row>
    <row r="1295" spans="1:4" x14ac:dyDescent="0.25">
      <c r="A1295" t="s">
        <v>234</v>
      </c>
      <c r="B1295">
        <v>5</v>
      </c>
      <c r="C1295" t="s">
        <v>886</v>
      </c>
      <c r="D1295" t="s">
        <v>235</v>
      </c>
    </row>
    <row r="1296" spans="1:4" x14ac:dyDescent="0.25">
      <c r="A1296" t="s">
        <v>214</v>
      </c>
      <c r="B1296">
        <v>3</v>
      </c>
      <c r="C1296" t="s">
        <v>886</v>
      </c>
      <c r="D1296" t="s">
        <v>215</v>
      </c>
    </row>
    <row r="1297" spans="1:4" x14ac:dyDescent="0.25">
      <c r="A1297" t="s">
        <v>48</v>
      </c>
      <c r="B1297">
        <v>32</v>
      </c>
    </row>
    <row r="1298" spans="1:4" x14ac:dyDescent="0.25">
      <c r="A1298" t="s">
        <v>185</v>
      </c>
      <c r="B1298">
        <v>7433</v>
      </c>
      <c r="C1298" t="s">
        <v>886</v>
      </c>
      <c r="D1298" t="s">
        <v>186</v>
      </c>
    </row>
    <row r="1299" spans="1:4" x14ac:dyDescent="0.25">
      <c r="A1299" t="s">
        <v>340</v>
      </c>
      <c r="B1299">
        <v>2703</v>
      </c>
      <c r="C1299" t="s">
        <v>125</v>
      </c>
      <c r="D1299" t="s">
        <v>341</v>
      </c>
    </row>
    <row r="1300" spans="1:4" x14ac:dyDescent="0.25">
      <c r="A1300" t="s">
        <v>191</v>
      </c>
      <c r="B1300">
        <v>1820</v>
      </c>
      <c r="C1300" t="s">
        <v>886</v>
      </c>
      <c r="D1300" t="s">
        <v>192</v>
      </c>
    </row>
    <row r="1301" spans="1:4" x14ac:dyDescent="0.25">
      <c r="A1301" t="s">
        <v>342</v>
      </c>
      <c r="B1301">
        <v>1103</v>
      </c>
      <c r="C1301" t="s">
        <v>125</v>
      </c>
      <c r="D1301" t="s">
        <v>343</v>
      </c>
    </row>
    <row r="1302" spans="1:4" x14ac:dyDescent="0.25">
      <c r="A1302" t="s">
        <v>214</v>
      </c>
      <c r="B1302">
        <v>538</v>
      </c>
      <c r="C1302" t="s">
        <v>886</v>
      </c>
      <c r="D1302" t="s">
        <v>215</v>
      </c>
    </row>
    <row r="1303" spans="1:4" x14ac:dyDescent="0.25">
      <c r="A1303" t="s">
        <v>208</v>
      </c>
      <c r="B1303">
        <v>408</v>
      </c>
      <c r="C1303" t="s">
        <v>886</v>
      </c>
      <c r="D1303" t="s">
        <v>209</v>
      </c>
    </row>
    <row r="1304" spans="1:4" x14ac:dyDescent="0.25">
      <c r="A1304" t="s">
        <v>385</v>
      </c>
      <c r="B1304">
        <v>275</v>
      </c>
      <c r="C1304" t="s">
        <v>125</v>
      </c>
      <c r="D1304" t="s">
        <v>386</v>
      </c>
    </row>
    <row r="1305" spans="1:4" x14ac:dyDescent="0.25">
      <c r="A1305" t="s">
        <v>320</v>
      </c>
      <c r="B1305">
        <v>127</v>
      </c>
      <c r="C1305" t="s">
        <v>125</v>
      </c>
      <c r="D1305" t="s">
        <v>321</v>
      </c>
    </row>
    <row r="1306" spans="1:4" x14ac:dyDescent="0.25">
      <c r="A1306" t="s">
        <v>203</v>
      </c>
      <c r="B1306">
        <v>118</v>
      </c>
      <c r="C1306" t="s">
        <v>886</v>
      </c>
      <c r="D1306" t="s">
        <v>204</v>
      </c>
    </row>
    <row r="1307" spans="1:4" x14ac:dyDescent="0.25">
      <c r="A1307" t="s">
        <v>304</v>
      </c>
      <c r="B1307">
        <v>111</v>
      </c>
      <c r="C1307" t="s">
        <v>125</v>
      </c>
      <c r="D1307" t="s">
        <v>305</v>
      </c>
    </row>
    <row r="1308" spans="1:4" x14ac:dyDescent="0.25">
      <c r="A1308" t="s">
        <v>250</v>
      </c>
      <c r="B1308">
        <v>84</v>
      </c>
      <c r="C1308" t="s">
        <v>125</v>
      </c>
      <c r="D1308" t="s">
        <v>249</v>
      </c>
    </row>
    <row r="1309" spans="1:4" x14ac:dyDescent="0.25">
      <c r="A1309" t="s">
        <v>326</v>
      </c>
      <c r="B1309">
        <v>82</v>
      </c>
      <c r="C1309" t="s">
        <v>125</v>
      </c>
      <c r="D1309" t="s">
        <v>325</v>
      </c>
    </row>
    <row r="1310" spans="1:4" x14ac:dyDescent="0.25">
      <c r="A1310" t="s">
        <v>446</v>
      </c>
      <c r="B1310">
        <v>71</v>
      </c>
      <c r="C1310" t="s">
        <v>125</v>
      </c>
      <c r="D1310" t="s">
        <v>442</v>
      </c>
    </row>
    <row r="1311" spans="1:4" x14ac:dyDescent="0.25">
      <c r="A1311" t="s">
        <v>314</v>
      </c>
      <c r="B1311">
        <v>67</v>
      </c>
      <c r="C1311" t="s">
        <v>125</v>
      </c>
      <c r="D1311" t="s">
        <v>315</v>
      </c>
    </row>
    <row r="1312" spans="1:4" x14ac:dyDescent="0.25">
      <c r="A1312" t="s">
        <v>188</v>
      </c>
      <c r="B1312">
        <v>63</v>
      </c>
      <c r="C1312" t="s">
        <v>886</v>
      </c>
      <c r="D1312" t="s">
        <v>189</v>
      </c>
    </row>
    <row r="1313" spans="1:4" x14ac:dyDescent="0.25">
      <c r="A1313" t="s">
        <v>200</v>
      </c>
      <c r="B1313">
        <v>56</v>
      </c>
      <c r="C1313" t="s">
        <v>886</v>
      </c>
      <c r="D1313" t="s">
        <v>201</v>
      </c>
    </row>
    <row r="1314" spans="1:4" x14ac:dyDescent="0.25">
      <c r="A1314" t="s">
        <v>479</v>
      </c>
      <c r="B1314">
        <v>38</v>
      </c>
      <c r="C1314" t="s">
        <v>125</v>
      </c>
      <c r="D1314" t="s">
        <v>478</v>
      </c>
    </row>
    <row r="1315" spans="1:4" x14ac:dyDescent="0.25">
      <c r="A1315" t="s">
        <v>473</v>
      </c>
      <c r="B1315">
        <v>26</v>
      </c>
      <c r="C1315" t="s">
        <v>125</v>
      </c>
      <c r="D1315" t="s">
        <v>474</v>
      </c>
    </row>
    <row r="1316" spans="1:4" x14ac:dyDescent="0.25">
      <c r="A1316" t="s">
        <v>251</v>
      </c>
      <c r="B1316">
        <v>20</v>
      </c>
      <c r="C1316" t="s">
        <v>125</v>
      </c>
      <c r="D1316" t="s">
        <v>249</v>
      </c>
    </row>
    <row r="1317" spans="1:4" x14ac:dyDescent="0.25">
      <c r="A1317" t="s">
        <v>217</v>
      </c>
      <c r="B1317">
        <v>19</v>
      </c>
      <c r="C1317" t="s">
        <v>886</v>
      </c>
      <c r="D1317" t="s">
        <v>218</v>
      </c>
    </row>
    <row r="1318" spans="1:4" x14ac:dyDescent="0.25">
      <c r="A1318" t="s">
        <v>421</v>
      </c>
      <c r="B1318">
        <v>18</v>
      </c>
      <c r="C1318" t="s">
        <v>125</v>
      </c>
      <c r="D1318" t="s">
        <v>401</v>
      </c>
    </row>
    <row r="1319" spans="1:4" x14ac:dyDescent="0.25">
      <c r="A1319" t="s">
        <v>220</v>
      </c>
      <c r="B1319">
        <v>15</v>
      </c>
      <c r="C1319" t="s">
        <v>886</v>
      </c>
      <c r="D1319" t="s">
        <v>221</v>
      </c>
    </row>
    <row r="1320" spans="1:4" x14ac:dyDescent="0.25">
      <c r="A1320" t="s">
        <v>328</v>
      </c>
      <c r="B1320">
        <v>13</v>
      </c>
      <c r="C1320" t="s">
        <v>125</v>
      </c>
      <c r="D1320" t="s">
        <v>325</v>
      </c>
    </row>
    <row r="1321" spans="1:4" x14ac:dyDescent="0.25">
      <c r="A1321" t="s">
        <v>194</v>
      </c>
      <c r="B1321">
        <v>12</v>
      </c>
      <c r="C1321" t="s">
        <v>886</v>
      </c>
      <c r="D1321" t="s">
        <v>195</v>
      </c>
    </row>
    <row r="1322" spans="1:4" x14ac:dyDescent="0.25">
      <c r="A1322" t="s">
        <v>226</v>
      </c>
      <c r="B1322">
        <v>12</v>
      </c>
      <c r="C1322" t="s">
        <v>886</v>
      </c>
      <c r="D1322" t="s">
        <v>227</v>
      </c>
    </row>
    <row r="1323" spans="1:4" x14ac:dyDescent="0.25">
      <c r="A1323" t="s">
        <v>270</v>
      </c>
      <c r="B1323">
        <v>10</v>
      </c>
      <c r="C1323" t="s">
        <v>125</v>
      </c>
      <c r="D1323" t="s">
        <v>249</v>
      </c>
    </row>
    <row r="1324" spans="1:4" x14ac:dyDescent="0.25">
      <c r="A1324" t="s">
        <v>471</v>
      </c>
      <c r="B1324">
        <v>8</v>
      </c>
      <c r="C1324" t="s">
        <v>125</v>
      </c>
      <c r="D1324" t="s">
        <v>472</v>
      </c>
    </row>
    <row r="1325" spans="1:4" x14ac:dyDescent="0.25">
      <c r="A1325" t="s">
        <v>289</v>
      </c>
      <c r="B1325">
        <v>8</v>
      </c>
      <c r="C1325" t="s">
        <v>125</v>
      </c>
      <c r="D1325" t="s">
        <v>290</v>
      </c>
    </row>
    <row r="1326" spans="1:4" x14ac:dyDescent="0.25">
      <c r="A1326" t="s">
        <v>339</v>
      </c>
      <c r="B1326">
        <v>7</v>
      </c>
      <c r="C1326" t="s">
        <v>125</v>
      </c>
      <c r="D1326" t="s">
        <v>338</v>
      </c>
    </row>
    <row r="1327" spans="1:4" x14ac:dyDescent="0.25">
      <c r="A1327" t="s">
        <v>454</v>
      </c>
      <c r="B1327">
        <v>6</v>
      </c>
      <c r="C1327" t="s">
        <v>125</v>
      </c>
      <c r="D1327" t="s">
        <v>442</v>
      </c>
    </row>
    <row r="1328" spans="1:4" x14ac:dyDescent="0.25">
      <c r="A1328" t="s">
        <v>258</v>
      </c>
      <c r="B1328">
        <v>5</v>
      </c>
      <c r="C1328" t="s">
        <v>125</v>
      </c>
      <c r="D1328" t="s">
        <v>249</v>
      </c>
    </row>
    <row r="1329" spans="1:4" x14ac:dyDescent="0.25">
      <c r="A1329" t="s">
        <v>293</v>
      </c>
      <c r="B1329">
        <v>3</v>
      </c>
      <c r="C1329" t="s">
        <v>125</v>
      </c>
      <c r="D1329" t="s">
        <v>294</v>
      </c>
    </row>
    <row r="1330" spans="1:4" x14ac:dyDescent="0.25">
      <c r="A1330" t="s">
        <v>49</v>
      </c>
      <c r="B1330">
        <v>26</v>
      </c>
    </row>
    <row r="1331" spans="1:4" x14ac:dyDescent="0.25">
      <c r="A1331" t="s">
        <v>185</v>
      </c>
      <c r="B1331">
        <v>6011</v>
      </c>
      <c r="C1331" t="s">
        <v>886</v>
      </c>
      <c r="D1331" t="s">
        <v>186</v>
      </c>
    </row>
    <row r="1332" spans="1:4" x14ac:dyDescent="0.25">
      <c r="A1332" t="s">
        <v>191</v>
      </c>
      <c r="B1332">
        <v>2900</v>
      </c>
      <c r="C1332" t="s">
        <v>886</v>
      </c>
      <c r="D1332" t="s">
        <v>192</v>
      </c>
    </row>
    <row r="1333" spans="1:4" x14ac:dyDescent="0.25">
      <c r="A1333" t="s">
        <v>188</v>
      </c>
      <c r="B1333">
        <v>1751</v>
      </c>
      <c r="C1333" t="s">
        <v>886</v>
      </c>
      <c r="D1333" t="s">
        <v>189</v>
      </c>
    </row>
    <row r="1334" spans="1:4" x14ac:dyDescent="0.25">
      <c r="A1334" t="s">
        <v>206</v>
      </c>
      <c r="B1334">
        <v>485</v>
      </c>
      <c r="C1334" t="s">
        <v>886</v>
      </c>
      <c r="D1334" t="s">
        <v>189</v>
      </c>
    </row>
    <row r="1335" spans="1:4" x14ac:dyDescent="0.25">
      <c r="A1335" t="s">
        <v>317</v>
      </c>
      <c r="B1335">
        <v>447</v>
      </c>
      <c r="C1335" t="s">
        <v>125</v>
      </c>
      <c r="D1335" t="s">
        <v>318</v>
      </c>
    </row>
    <row r="1336" spans="1:4" x14ac:dyDescent="0.25">
      <c r="A1336" t="s">
        <v>248</v>
      </c>
      <c r="B1336">
        <v>434</v>
      </c>
      <c r="C1336" t="s">
        <v>125</v>
      </c>
      <c r="D1336" t="s">
        <v>249</v>
      </c>
    </row>
    <row r="1337" spans="1:4" x14ac:dyDescent="0.25">
      <c r="A1337" t="s">
        <v>194</v>
      </c>
      <c r="B1337">
        <v>310</v>
      </c>
      <c r="C1337" t="s">
        <v>886</v>
      </c>
      <c r="D1337" t="s">
        <v>195</v>
      </c>
    </row>
    <row r="1338" spans="1:4" x14ac:dyDescent="0.25">
      <c r="A1338" t="s">
        <v>200</v>
      </c>
      <c r="B1338">
        <v>214</v>
      </c>
      <c r="C1338" t="s">
        <v>886</v>
      </c>
      <c r="D1338" t="s">
        <v>201</v>
      </c>
    </row>
    <row r="1339" spans="1:4" x14ac:dyDescent="0.25">
      <c r="A1339" t="s">
        <v>441</v>
      </c>
      <c r="B1339">
        <v>192</v>
      </c>
      <c r="C1339" t="s">
        <v>125</v>
      </c>
      <c r="D1339" t="s">
        <v>442</v>
      </c>
    </row>
    <row r="1340" spans="1:4" x14ac:dyDescent="0.25">
      <c r="A1340" t="s">
        <v>197</v>
      </c>
      <c r="B1340">
        <v>189</v>
      </c>
      <c r="C1340" t="s">
        <v>886</v>
      </c>
      <c r="D1340" t="s">
        <v>198</v>
      </c>
    </row>
    <row r="1341" spans="1:4" x14ac:dyDescent="0.25">
      <c r="A1341" t="s">
        <v>252</v>
      </c>
      <c r="B1341">
        <v>144</v>
      </c>
      <c r="C1341" t="s">
        <v>125</v>
      </c>
      <c r="D1341" t="s">
        <v>249</v>
      </c>
    </row>
    <row r="1342" spans="1:4" x14ac:dyDescent="0.25">
      <c r="A1342" t="s">
        <v>326</v>
      </c>
      <c r="B1342">
        <v>129</v>
      </c>
      <c r="C1342" t="s">
        <v>125</v>
      </c>
      <c r="D1342" t="s">
        <v>325</v>
      </c>
    </row>
    <row r="1343" spans="1:4" x14ac:dyDescent="0.25">
      <c r="A1343" t="s">
        <v>250</v>
      </c>
      <c r="B1343">
        <v>118</v>
      </c>
      <c r="C1343" t="s">
        <v>125</v>
      </c>
      <c r="D1343" t="s">
        <v>249</v>
      </c>
    </row>
    <row r="1344" spans="1:4" x14ac:dyDescent="0.25">
      <c r="A1344" t="s">
        <v>307</v>
      </c>
      <c r="B1344">
        <v>110</v>
      </c>
      <c r="C1344" t="s">
        <v>125</v>
      </c>
      <c r="D1344" t="s">
        <v>308</v>
      </c>
    </row>
    <row r="1345" spans="1:4" x14ac:dyDescent="0.25">
      <c r="A1345" t="s">
        <v>490</v>
      </c>
      <c r="B1345">
        <v>80</v>
      </c>
      <c r="C1345" t="s">
        <v>125</v>
      </c>
      <c r="D1345" t="s">
        <v>488</v>
      </c>
    </row>
    <row r="1346" spans="1:4" x14ac:dyDescent="0.25">
      <c r="A1346" t="s">
        <v>415</v>
      </c>
      <c r="B1346">
        <v>62</v>
      </c>
      <c r="C1346" t="s">
        <v>125</v>
      </c>
      <c r="D1346" t="s">
        <v>401</v>
      </c>
    </row>
    <row r="1347" spans="1:4" x14ac:dyDescent="0.25">
      <c r="A1347" t="s">
        <v>459</v>
      </c>
      <c r="B1347">
        <v>54</v>
      </c>
      <c r="C1347" t="s">
        <v>125</v>
      </c>
      <c r="D1347" t="s">
        <v>460</v>
      </c>
    </row>
    <row r="1348" spans="1:4" x14ac:dyDescent="0.25">
      <c r="A1348" t="s">
        <v>379</v>
      </c>
      <c r="B1348">
        <v>39</v>
      </c>
      <c r="C1348" t="s">
        <v>125</v>
      </c>
      <c r="D1348" t="s">
        <v>373</v>
      </c>
    </row>
    <row r="1349" spans="1:4" x14ac:dyDescent="0.25">
      <c r="A1349" t="s">
        <v>223</v>
      </c>
      <c r="B1349">
        <v>38</v>
      </c>
      <c r="C1349" t="s">
        <v>886</v>
      </c>
      <c r="D1349" t="s">
        <v>224</v>
      </c>
    </row>
    <row r="1350" spans="1:4" x14ac:dyDescent="0.25">
      <c r="A1350" t="s">
        <v>473</v>
      </c>
      <c r="B1350">
        <v>38</v>
      </c>
      <c r="C1350" t="s">
        <v>125</v>
      </c>
      <c r="D1350" t="s">
        <v>474</v>
      </c>
    </row>
    <row r="1351" spans="1:4" x14ac:dyDescent="0.25">
      <c r="A1351" t="s">
        <v>431</v>
      </c>
      <c r="B1351">
        <v>38</v>
      </c>
      <c r="C1351" t="s">
        <v>125</v>
      </c>
      <c r="D1351" t="s">
        <v>401</v>
      </c>
    </row>
    <row r="1352" spans="1:4" x14ac:dyDescent="0.25">
      <c r="A1352" t="s">
        <v>295</v>
      </c>
      <c r="B1352">
        <v>33</v>
      </c>
      <c r="C1352" t="s">
        <v>125</v>
      </c>
      <c r="D1352" t="s">
        <v>296</v>
      </c>
    </row>
    <row r="1353" spans="1:4" x14ac:dyDescent="0.25">
      <c r="A1353" t="s">
        <v>347</v>
      </c>
      <c r="B1353">
        <v>22</v>
      </c>
      <c r="C1353" t="s">
        <v>125</v>
      </c>
      <c r="D1353" t="s">
        <v>346</v>
      </c>
    </row>
    <row r="1354" spans="1:4" x14ac:dyDescent="0.25">
      <c r="A1354" t="s">
        <v>259</v>
      </c>
      <c r="B1354">
        <v>19</v>
      </c>
      <c r="C1354" t="s">
        <v>125</v>
      </c>
      <c r="D1354" t="s">
        <v>249</v>
      </c>
    </row>
    <row r="1355" spans="1:4" x14ac:dyDescent="0.25">
      <c r="A1355" t="s">
        <v>314</v>
      </c>
      <c r="B1355">
        <v>16</v>
      </c>
      <c r="C1355" t="s">
        <v>125</v>
      </c>
      <c r="D1355" t="s">
        <v>315</v>
      </c>
    </row>
    <row r="1356" spans="1:4" x14ac:dyDescent="0.25">
      <c r="A1356" t="s">
        <v>226</v>
      </c>
      <c r="B1356">
        <v>12</v>
      </c>
      <c r="C1356" t="s">
        <v>886</v>
      </c>
      <c r="D1356" t="s">
        <v>227</v>
      </c>
    </row>
    <row r="1357" spans="1:4" x14ac:dyDescent="0.25">
      <c r="A1357" t="s">
        <v>50</v>
      </c>
      <c r="B1357">
        <v>13</v>
      </c>
    </row>
    <row r="1358" spans="1:4" x14ac:dyDescent="0.25">
      <c r="A1358" t="s">
        <v>185</v>
      </c>
      <c r="B1358">
        <v>12247</v>
      </c>
      <c r="C1358" t="s">
        <v>886</v>
      </c>
      <c r="D1358" t="s">
        <v>186</v>
      </c>
    </row>
    <row r="1359" spans="1:4" x14ac:dyDescent="0.25">
      <c r="A1359" t="s">
        <v>203</v>
      </c>
      <c r="B1359">
        <v>1096</v>
      </c>
      <c r="C1359" t="s">
        <v>886</v>
      </c>
      <c r="D1359" t="s">
        <v>204</v>
      </c>
    </row>
    <row r="1360" spans="1:4" x14ac:dyDescent="0.25">
      <c r="A1360" t="s">
        <v>188</v>
      </c>
      <c r="B1360">
        <v>553</v>
      </c>
      <c r="C1360" t="s">
        <v>886</v>
      </c>
      <c r="D1360" t="s">
        <v>189</v>
      </c>
    </row>
    <row r="1361" spans="1:4" x14ac:dyDescent="0.25">
      <c r="A1361" t="s">
        <v>229</v>
      </c>
      <c r="B1361">
        <v>416</v>
      </c>
      <c r="C1361" t="s">
        <v>886</v>
      </c>
      <c r="D1361" t="s">
        <v>230</v>
      </c>
    </row>
    <row r="1362" spans="1:4" x14ac:dyDescent="0.25">
      <c r="A1362" t="s">
        <v>191</v>
      </c>
      <c r="B1362">
        <v>211</v>
      </c>
      <c r="C1362" t="s">
        <v>886</v>
      </c>
      <c r="D1362" t="s">
        <v>192</v>
      </c>
    </row>
    <row r="1363" spans="1:4" x14ac:dyDescent="0.25">
      <c r="A1363" t="s">
        <v>214</v>
      </c>
      <c r="B1363">
        <v>137</v>
      </c>
      <c r="C1363" t="s">
        <v>886</v>
      </c>
      <c r="D1363" t="s">
        <v>215</v>
      </c>
    </row>
    <row r="1364" spans="1:4" x14ac:dyDescent="0.25">
      <c r="A1364" t="s">
        <v>258</v>
      </c>
      <c r="B1364">
        <v>69</v>
      </c>
      <c r="C1364" t="s">
        <v>125</v>
      </c>
      <c r="D1364" t="s">
        <v>249</v>
      </c>
    </row>
    <row r="1365" spans="1:4" x14ac:dyDescent="0.25">
      <c r="A1365" t="s">
        <v>393</v>
      </c>
      <c r="B1365">
        <v>56</v>
      </c>
      <c r="C1365" t="s">
        <v>125</v>
      </c>
      <c r="D1365" t="s">
        <v>394</v>
      </c>
    </row>
    <row r="1366" spans="1:4" x14ac:dyDescent="0.25">
      <c r="A1366" t="s">
        <v>340</v>
      </c>
      <c r="B1366">
        <v>31</v>
      </c>
      <c r="C1366" t="s">
        <v>125</v>
      </c>
      <c r="D1366" t="s">
        <v>341</v>
      </c>
    </row>
    <row r="1367" spans="1:4" x14ac:dyDescent="0.25">
      <c r="A1367" t="s">
        <v>234</v>
      </c>
      <c r="B1367">
        <v>18</v>
      </c>
      <c r="C1367" t="s">
        <v>886</v>
      </c>
      <c r="D1367" t="s">
        <v>235</v>
      </c>
    </row>
    <row r="1368" spans="1:4" x14ac:dyDescent="0.25">
      <c r="A1368" t="s">
        <v>326</v>
      </c>
      <c r="B1368">
        <v>12</v>
      </c>
      <c r="C1368" t="s">
        <v>125</v>
      </c>
      <c r="D1368" t="s">
        <v>325</v>
      </c>
    </row>
    <row r="1369" spans="1:4" x14ac:dyDescent="0.25">
      <c r="A1369" t="s">
        <v>208</v>
      </c>
      <c r="B1369">
        <v>9</v>
      </c>
      <c r="C1369" t="s">
        <v>886</v>
      </c>
      <c r="D1369" t="s">
        <v>209</v>
      </c>
    </row>
    <row r="1370" spans="1:4" x14ac:dyDescent="0.25">
      <c r="A1370" t="s">
        <v>421</v>
      </c>
      <c r="B1370">
        <v>4</v>
      </c>
      <c r="C1370" t="s">
        <v>125</v>
      </c>
      <c r="D1370" t="s">
        <v>401</v>
      </c>
    </row>
    <row r="1371" spans="1:4" x14ac:dyDescent="0.25">
      <c r="A1371" t="s">
        <v>51</v>
      </c>
      <c r="B1371">
        <v>16</v>
      </c>
    </row>
    <row r="1372" spans="1:4" x14ac:dyDescent="0.25">
      <c r="A1372" t="s">
        <v>185</v>
      </c>
      <c r="B1372">
        <v>15603</v>
      </c>
      <c r="C1372" t="s">
        <v>886</v>
      </c>
      <c r="D1372" t="s">
        <v>186</v>
      </c>
    </row>
    <row r="1373" spans="1:4" x14ac:dyDescent="0.25">
      <c r="A1373" t="s">
        <v>191</v>
      </c>
      <c r="B1373">
        <v>1686</v>
      </c>
      <c r="C1373" t="s">
        <v>886</v>
      </c>
      <c r="D1373" t="s">
        <v>192</v>
      </c>
    </row>
    <row r="1374" spans="1:4" x14ac:dyDescent="0.25">
      <c r="A1374" t="s">
        <v>188</v>
      </c>
      <c r="B1374">
        <v>1176</v>
      </c>
      <c r="C1374" t="s">
        <v>886</v>
      </c>
      <c r="D1374" t="s">
        <v>189</v>
      </c>
    </row>
    <row r="1375" spans="1:4" x14ac:dyDescent="0.25">
      <c r="A1375" t="s">
        <v>211</v>
      </c>
      <c r="B1375">
        <v>1061</v>
      </c>
      <c r="C1375" t="s">
        <v>886</v>
      </c>
      <c r="D1375" t="s">
        <v>212</v>
      </c>
    </row>
    <row r="1376" spans="1:4" x14ac:dyDescent="0.25">
      <c r="A1376" t="s">
        <v>206</v>
      </c>
      <c r="B1376">
        <v>301</v>
      </c>
      <c r="C1376" t="s">
        <v>886</v>
      </c>
      <c r="D1376" t="s">
        <v>189</v>
      </c>
    </row>
    <row r="1377" spans="1:4" x14ac:dyDescent="0.25">
      <c r="A1377" t="s">
        <v>314</v>
      </c>
      <c r="B1377">
        <v>56</v>
      </c>
      <c r="C1377" t="s">
        <v>125</v>
      </c>
      <c r="D1377" t="s">
        <v>315</v>
      </c>
    </row>
    <row r="1378" spans="1:4" x14ac:dyDescent="0.25">
      <c r="A1378" t="s">
        <v>357</v>
      </c>
      <c r="B1378">
        <v>50</v>
      </c>
      <c r="C1378" t="s">
        <v>125</v>
      </c>
      <c r="D1378" t="s">
        <v>356</v>
      </c>
    </row>
    <row r="1379" spans="1:4" x14ac:dyDescent="0.25">
      <c r="A1379" t="s">
        <v>258</v>
      </c>
      <c r="B1379">
        <v>42</v>
      </c>
      <c r="C1379" t="s">
        <v>125</v>
      </c>
      <c r="D1379" t="s">
        <v>249</v>
      </c>
    </row>
    <row r="1380" spans="1:4" x14ac:dyDescent="0.25">
      <c r="A1380" t="s">
        <v>208</v>
      </c>
      <c r="B1380">
        <v>26</v>
      </c>
      <c r="C1380" t="s">
        <v>886</v>
      </c>
      <c r="D1380" t="s">
        <v>209</v>
      </c>
    </row>
    <row r="1381" spans="1:4" x14ac:dyDescent="0.25">
      <c r="A1381" t="s">
        <v>282</v>
      </c>
      <c r="B1381">
        <v>16</v>
      </c>
      <c r="C1381" t="s">
        <v>125</v>
      </c>
      <c r="D1381" t="s">
        <v>249</v>
      </c>
    </row>
    <row r="1382" spans="1:4" x14ac:dyDescent="0.25">
      <c r="A1382" t="s">
        <v>214</v>
      </c>
      <c r="B1382">
        <v>15</v>
      </c>
      <c r="C1382" t="s">
        <v>886</v>
      </c>
      <c r="D1382" t="s">
        <v>215</v>
      </c>
    </row>
    <row r="1383" spans="1:4" x14ac:dyDescent="0.25">
      <c r="A1383" t="s">
        <v>437</v>
      </c>
      <c r="B1383">
        <v>14</v>
      </c>
      <c r="C1383" t="s">
        <v>125</v>
      </c>
      <c r="D1383" t="s">
        <v>401</v>
      </c>
    </row>
    <row r="1384" spans="1:4" x14ac:dyDescent="0.25">
      <c r="A1384" t="s">
        <v>293</v>
      </c>
      <c r="B1384">
        <v>13</v>
      </c>
      <c r="C1384" t="s">
        <v>125</v>
      </c>
      <c r="D1384" t="s">
        <v>294</v>
      </c>
    </row>
    <row r="1385" spans="1:4" x14ac:dyDescent="0.25">
      <c r="A1385" t="s">
        <v>194</v>
      </c>
      <c r="B1385">
        <v>12</v>
      </c>
      <c r="C1385" t="s">
        <v>886</v>
      </c>
      <c r="D1385" t="s">
        <v>195</v>
      </c>
    </row>
    <row r="1386" spans="1:4" x14ac:dyDescent="0.25">
      <c r="A1386" t="s">
        <v>353</v>
      </c>
      <c r="B1386">
        <v>4</v>
      </c>
      <c r="C1386" t="s">
        <v>125</v>
      </c>
      <c r="D1386" t="s">
        <v>354</v>
      </c>
    </row>
    <row r="1387" spans="1:4" x14ac:dyDescent="0.25">
      <c r="A1387" t="s">
        <v>463</v>
      </c>
      <c r="B1387">
        <v>2</v>
      </c>
      <c r="C1387" t="s">
        <v>125</v>
      </c>
      <c r="D1387" t="s">
        <v>464</v>
      </c>
    </row>
    <row r="1388" spans="1:4" x14ac:dyDescent="0.25">
      <c r="A1388" t="s">
        <v>52</v>
      </c>
      <c r="B1388">
        <v>23</v>
      </c>
    </row>
    <row r="1389" spans="1:4" x14ac:dyDescent="0.25">
      <c r="A1389" t="s">
        <v>340</v>
      </c>
      <c r="B1389">
        <v>11120</v>
      </c>
      <c r="C1389" t="s">
        <v>125</v>
      </c>
      <c r="D1389" t="s">
        <v>341</v>
      </c>
    </row>
    <row r="1390" spans="1:4" x14ac:dyDescent="0.25">
      <c r="A1390" t="s">
        <v>191</v>
      </c>
      <c r="B1390">
        <v>505</v>
      </c>
      <c r="C1390" t="s">
        <v>886</v>
      </c>
      <c r="D1390" t="s">
        <v>192</v>
      </c>
    </row>
    <row r="1391" spans="1:4" x14ac:dyDescent="0.25">
      <c r="A1391" t="s">
        <v>185</v>
      </c>
      <c r="B1391">
        <v>298</v>
      </c>
      <c r="C1391" t="s">
        <v>886</v>
      </c>
      <c r="D1391" t="s">
        <v>186</v>
      </c>
    </row>
    <row r="1392" spans="1:4" x14ac:dyDescent="0.25">
      <c r="A1392" t="s">
        <v>342</v>
      </c>
      <c r="B1392">
        <v>247</v>
      </c>
      <c r="C1392" t="s">
        <v>125</v>
      </c>
      <c r="D1392" t="s">
        <v>343</v>
      </c>
    </row>
    <row r="1393" spans="1:4" x14ac:dyDescent="0.25">
      <c r="A1393" t="s">
        <v>208</v>
      </c>
      <c r="B1393">
        <v>182</v>
      </c>
      <c r="C1393" t="s">
        <v>886</v>
      </c>
      <c r="D1393" t="s">
        <v>209</v>
      </c>
    </row>
    <row r="1394" spans="1:4" x14ac:dyDescent="0.25">
      <c r="A1394" t="s">
        <v>214</v>
      </c>
      <c r="B1394">
        <v>56</v>
      </c>
      <c r="C1394" t="s">
        <v>886</v>
      </c>
      <c r="D1394" t="s">
        <v>215</v>
      </c>
    </row>
    <row r="1395" spans="1:4" x14ac:dyDescent="0.25">
      <c r="A1395" t="s">
        <v>326</v>
      </c>
      <c r="B1395">
        <v>53</v>
      </c>
      <c r="C1395" t="s">
        <v>125</v>
      </c>
      <c r="D1395" t="s">
        <v>325</v>
      </c>
    </row>
    <row r="1396" spans="1:4" x14ac:dyDescent="0.25">
      <c r="A1396" t="s">
        <v>446</v>
      </c>
      <c r="B1396">
        <v>32</v>
      </c>
      <c r="C1396" t="s">
        <v>125</v>
      </c>
      <c r="D1396" t="s">
        <v>442</v>
      </c>
    </row>
    <row r="1397" spans="1:4" x14ac:dyDescent="0.25">
      <c r="A1397" t="s">
        <v>206</v>
      </c>
      <c r="B1397">
        <v>29</v>
      </c>
      <c r="C1397" t="s">
        <v>886</v>
      </c>
      <c r="D1397" t="s">
        <v>189</v>
      </c>
    </row>
    <row r="1398" spans="1:4" x14ac:dyDescent="0.25">
      <c r="A1398" t="s">
        <v>203</v>
      </c>
      <c r="B1398">
        <v>29</v>
      </c>
      <c r="C1398" t="s">
        <v>886</v>
      </c>
      <c r="D1398" t="s">
        <v>204</v>
      </c>
    </row>
    <row r="1399" spans="1:4" x14ac:dyDescent="0.25">
      <c r="A1399" t="s">
        <v>200</v>
      </c>
      <c r="B1399">
        <v>26</v>
      </c>
      <c r="C1399" t="s">
        <v>886</v>
      </c>
      <c r="D1399" t="s">
        <v>201</v>
      </c>
    </row>
    <row r="1400" spans="1:4" x14ac:dyDescent="0.25">
      <c r="A1400" t="s">
        <v>479</v>
      </c>
      <c r="B1400">
        <v>19</v>
      </c>
      <c r="C1400" t="s">
        <v>125</v>
      </c>
      <c r="D1400" t="s">
        <v>478</v>
      </c>
    </row>
    <row r="1401" spans="1:4" x14ac:dyDescent="0.25">
      <c r="A1401" t="s">
        <v>471</v>
      </c>
      <c r="B1401">
        <v>15</v>
      </c>
      <c r="C1401" t="s">
        <v>125</v>
      </c>
      <c r="D1401" t="s">
        <v>472</v>
      </c>
    </row>
    <row r="1402" spans="1:4" x14ac:dyDescent="0.25">
      <c r="A1402" t="s">
        <v>473</v>
      </c>
      <c r="B1402">
        <v>11</v>
      </c>
      <c r="C1402" t="s">
        <v>125</v>
      </c>
      <c r="D1402" t="s">
        <v>474</v>
      </c>
    </row>
    <row r="1403" spans="1:4" x14ac:dyDescent="0.25">
      <c r="A1403" t="s">
        <v>217</v>
      </c>
      <c r="B1403">
        <v>11</v>
      </c>
      <c r="C1403" t="s">
        <v>886</v>
      </c>
      <c r="D1403" t="s">
        <v>218</v>
      </c>
    </row>
    <row r="1404" spans="1:4" x14ac:dyDescent="0.25">
      <c r="A1404" t="s">
        <v>314</v>
      </c>
      <c r="B1404">
        <v>11</v>
      </c>
      <c r="C1404" t="s">
        <v>125</v>
      </c>
      <c r="D1404" t="s">
        <v>315</v>
      </c>
    </row>
    <row r="1405" spans="1:4" x14ac:dyDescent="0.25">
      <c r="A1405" t="s">
        <v>289</v>
      </c>
      <c r="B1405">
        <v>6</v>
      </c>
      <c r="C1405" t="s">
        <v>125</v>
      </c>
      <c r="D1405" t="s">
        <v>290</v>
      </c>
    </row>
    <row r="1406" spans="1:4" x14ac:dyDescent="0.25">
      <c r="A1406" t="s">
        <v>304</v>
      </c>
      <c r="B1406">
        <v>5</v>
      </c>
      <c r="C1406" t="s">
        <v>125</v>
      </c>
      <c r="D1406" t="s">
        <v>305</v>
      </c>
    </row>
    <row r="1407" spans="1:4" x14ac:dyDescent="0.25">
      <c r="A1407" t="s">
        <v>250</v>
      </c>
      <c r="B1407">
        <v>4</v>
      </c>
      <c r="C1407" t="s">
        <v>125</v>
      </c>
      <c r="D1407" t="s">
        <v>249</v>
      </c>
    </row>
    <row r="1408" spans="1:4" x14ac:dyDescent="0.25">
      <c r="A1408" t="s">
        <v>258</v>
      </c>
      <c r="B1408">
        <v>4</v>
      </c>
      <c r="C1408" t="s">
        <v>125</v>
      </c>
      <c r="D1408" t="s">
        <v>249</v>
      </c>
    </row>
    <row r="1409" spans="1:4" x14ac:dyDescent="0.25">
      <c r="A1409" t="s">
        <v>270</v>
      </c>
      <c r="B1409">
        <v>3</v>
      </c>
      <c r="C1409" t="s">
        <v>125</v>
      </c>
      <c r="D1409" t="s">
        <v>249</v>
      </c>
    </row>
    <row r="1410" spans="1:4" x14ac:dyDescent="0.25">
      <c r="A1410" t="s">
        <v>421</v>
      </c>
      <c r="B1410">
        <v>3</v>
      </c>
      <c r="C1410" t="s">
        <v>125</v>
      </c>
      <c r="D1410" t="s">
        <v>401</v>
      </c>
    </row>
    <row r="1411" spans="1:4" x14ac:dyDescent="0.25">
      <c r="A1411" t="s">
        <v>261</v>
      </c>
      <c r="B1411">
        <v>3</v>
      </c>
      <c r="C1411" t="s">
        <v>125</v>
      </c>
      <c r="D1411" t="s">
        <v>249</v>
      </c>
    </row>
    <row r="1412" spans="1:4" x14ac:dyDescent="0.25">
      <c r="A1412" t="s">
        <v>53</v>
      </c>
      <c r="B1412">
        <v>67</v>
      </c>
    </row>
    <row r="1413" spans="1:4" x14ac:dyDescent="0.25">
      <c r="A1413" t="s">
        <v>191</v>
      </c>
      <c r="B1413">
        <v>3988</v>
      </c>
      <c r="C1413" t="s">
        <v>886</v>
      </c>
      <c r="D1413" t="s">
        <v>192</v>
      </c>
    </row>
    <row r="1414" spans="1:4" x14ac:dyDescent="0.25">
      <c r="A1414" t="s">
        <v>188</v>
      </c>
      <c r="B1414">
        <v>1583</v>
      </c>
      <c r="C1414" t="s">
        <v>886</v>
      </c>
      <c r="D1414" t="s">
        <v>189</v>
      </c>
    </row>
    <row r="1415" spans="1:4" x14ac:dyDescent="0.25">
      <c r="A1415" t="s">
        <v>206</v>
      </c>
      <c r="B1415">
        <v>1412</v>
      </c>
      <c r="C1415" t="s">
        <v>886</v>
      </c>
      <c r="D1415" t="s">
        <v>189</v>
      </c>
    </row>
    <row r="1416" spans="1:4" x14ac:dyDescent="0.25">
      <c r="A1416" t="s">
        <v>185</v>
      </c>
      <c r="B1416">
        <v>941</v>
      </c>
      <c r="C1416" t="s">
        <v>886</v>
      </c>
      <c r="D1416" t="s">
        <v>186</v>
      </c>
    </row>
    <row r="1417" spans="1:4" x14ac:dyDescent="0.25">
      <c r="A1417" t="s">
        <v>200</v>
      </c>
      <c r="B1417">
        <v>915</v>
      </c>
      <c r="C1417" t="s">
        <v>886</v>
      </c>
      <c r="D1417" t="s">
        <v>201</v>
      </c>
    </row>
    <row r="1418" spans="1:4" x14ac:dyDescent="0.25">
      <c r="A1418" t="s">
        <v>446</v>
      </c>
      <c r="B1418">
        <v>291</v>
      </c>
      <c r="C1418" t="s">
        <v>125</v>
      </c>
      <c r="D1418" t="s">
        <v>442</v>
      </c>
    </row>
    <row r="1419" spans="1:4" x14ac:dyDescent="0.25">
      <c r="A1419" t="s">
        <v>194</v>
      </c>
      <c r="B1419">
        <v>281</v>
      </c>
      <c r="C1419" t="s">
        <v>886</v>
      </c>
      <c r="D1419" t="s">
        <v>195</v>
      </c>
    </row>
    <row r="1420" spans="1:4" x14ac:dyDescent="0.25">
      <c r="A1420" t="s">
        <v>314</v>
      </c>
      <c r="B1420">
        <v>241</v>
      </c>
      <c r="C1420" t="s">
        <v>125</v>
      </c>
      <c r="D1420" t="s">
        <v>315</v>
      </c>
    </row>
    <row r="1421" spans="1:4" x14ac:dyDescent="0.25">
      <c r="A1421" t="s">
        <v>479</v>
      </c>
      <c r="B1421">
        <v>224</v>
      </c>
      <c r="C1421" t="s">
        <v>125</v>
      </c>
      <c r="D1421" t="s">
        <v>478</v>
      </c>
    </row>
    <row r="1422" spans="1:4" x14ac:dyDescent="0.25">
      <c r="A1422" t="s">
        <v>355</v>
      </c>
      <c r="B1422">
        <v>138</v>
      </c>
      <c r="C1422" t="s">
        <v>125</v>
      </c>
      <c r="D1422" t="s">
        <v>356</v>
      </c>
    </row>
    <row r="1423" spans="1:4" x14ac:dyDescent="0.25">
      <c r="A1423" t="s">
        <v>357</v>
      </c>
      <c r="B1423">
        <v>114</v>
      </c>
      <c r="C1423" t="s">
        <v>125</v>
      </c>
      <c r="D1423" t="s">
        <v>356</v>
      </c>
    </row>
    <row r="1424" spans="1:4" x14ac:dyDescent="0.25">
      <c r="A1424" t="s">
        <v>255</v>
      </c>
      <c r="B1424">
        <v>107</v>
      </c>
      <c r="C1424" t="s">
        <v>125</v>
      </c>
      <c r="D1424" t="s">
        <v>249</v>
      </c>
    </row>
    <row r="1425" spans="1:4" x14ac:dyDescent="0.25">
      <c r="A1425" t="s">
        <v>289</v>
      </c>
      <c r="B1425">
        <v>101</v>
      </c>
      <c r="C1425" t="s">
        <v>125</v>
      </c>
      <c r="D1425" t="s">
        <v>290</v>
      </c>
    </row>
    <row r="1426" spans="1:4" x14ac:dyDescent="0.25">
      <c r="A1426" t="s">
        <v>282</v>
      </c>
      <c r="B1426">
        <v>95</v>
      </c>
      <c r="C1426" t="s">
        <v>125</v>
      </c>
      <c r="D1426" t="s">
        <v>249</v>
      </c>
    </row>
    <row r="1427" spans="1:4" x14ac:dyDescent="0.25">
      <c r="A1427" t="s">
        <v>383</v>
      </c>
      <c r="B1427">
        <v>88</v>
      </c>
      <c r="C1427" t="s">
        <v>125</v>
      </c>
      <c r="D1427" t="s">
        <v>382</v>
      </c>
    </row>
    <row r="1428" spans="1:4" x14ac:dyDescent="0.25">
      <c r="A1428" t="s">
        <v>208</v>
      </c>
      <c r="B1428">
        <v>82</v>
      </c>
      <c r="C1428" t="s">
        <v>886</v>
      </c>
      <c r="D1428" t="s">
        <v>209</v>
      </c>
    </row>
    <row r="1429" spans="1:4" x14ac:dyDescent="0.25">
      <c r="A1429" t="s">
        <v>260</v>
      </c>
      <c r="B1429">
        <v>78</v>
      </c>
      <c r="C1429" t="s">
        <v>125</v>
      </c>
      <c r="D1429" t="s">
        <v>249</v>
      </c>
    </row>
    <row r="1430" spans="1:4" x14ac:dyDescent="0.25">
      <c r="A1430" t="s">
        <v>324</v>
      </c>
      <c r="B1430">
        <v>77</v>
      </c>
      <c r="C1430" t="s">
        <v>125</v>
      </c>
      <c r="D1430" t="s">
        <v>325</v>
      </c>
    </row>
    <row r="1431" spans="1:4" x14ac:dyDescent="0.25">
      <c r="A1431" t="s">
        <v>473</v>
      </c>
      <c r="B1431">
        <v>70</v>
      </c>
      <c r="C1431" t="s">
        <v>125</v>
      </c>
      <c r="D1431" t="s">
        <v>474</v>
      </c>
    </row>
    <row r="1432" spans="1:4" x14ac:dyDescent="0.25">
      <c r="A1432" t="s">
        <v>266</v>
      </c>
      <c r="B1432">
        <v>67</v>
      </c>
      <c r="C1432" t="s">
        <v>125</v>
      </c>
      <c r="D1432" t="s">
        <v>249</v>
      </c>
    </row>
    <row r="1433" spans="1:4" x14ac:dyDescent="0.25">
      <c r="A1433" t="s">
        <v>471</v>
      </c>
      <c r="B1433">
        <v>67</v>
      </c>
      <c r="C1433" t="s">
        <v>125</v>
      </c>
      <c r="D1433" t="s">
        <v>472</v>
      </c>
    </row>
    <row r="1434" spans="1:4" x14ac:dyDescent="0.25">
      <c r="A1434" t="s">
        <v>326</v>
      </c>
      <c r="B1434">
        <v>59</v>
      </c>
      <c r="C1434" t="s">
        <v>125</v>
      </c>
      <c r="D1434" t="s">
        <v>325</v>
      </c>
    </row>
    <row r="1435" spans="1:4" x14ac:dyDescent="0.25">
      <c r="A1435" t="s">
        <v>237</v>
      </c>
      <c r="B1435">
        <v>58</v>
      </c>
      <c r="C1435" t="s">
        <v>886</v>
      </c>
      <c r="D1435" t="s">
        <v>238</v>
      </c>
    </row>
    <row r="1436" spans="1:4" x14ac:dyDescent="0.25">
      <c r="A1436" t="s">
        <v>217</v>
      </c>
      <c r="B1436">
        <v>55</v>
      </c>
      <c r="C1436" t="s">
        <v>886</v>
      </c>
      <c r="D1436" t="s">
        <v>218</v>
      </c>
    </row>
    <row r="1437" spans="1:4" x14ac:dyDescent="0.25">
      <c r="A1437" t="s">
        <v>317</v>
      </c>
      <c r="B1437">
        <v>50</v>
      </c>
      <c r="C1437" t="s">
        <v>125</v>
      </c>
      <c r="D1437" t="s">
        <v>318</v>
      </c>
    </row>
    <row r="1438" spans="1:4" x14ac:dyDescent="0.25">
      <c r="A1438" t="s">
        <v>270</v>
      </c>
      <c r="B1438">
        <v>49</v>
      </c>
      <c r="C1438" t="s">
        <v>125</v>
      </c>
      <c r="D1438" t="s">
        <v>249</v>
      </c>
    </row>
    <row r="1439" spans="1:4" x14ac:dyDescent="0.25">
      <c r="A1439" t="s">
        <v>251</v>
      </c>
      <c r="B1439">
        <v>48</v>
      </c>
      <c r="C1439" t="s">
        <v>125</v>
      </c>
      <c r="D1439" t="s">
        <v>249</v>
      </c>
    </row>
    <row r="1440" spans="1:4" x14ac:dyDescent="0.25">
      <c r="A1440" t="s">
        <v>268</v>
      </c>
      <c r="B1440">
        <v>45</v>
      </c>
      <c r="C1440" t="s">
        <v>125</v>
      </c>
      <c r="D1440" t="s">
        <v>249</v>
      </c>
    </row>
    <row r="1441" spans="1:4" x14ac:dyDescent="0.25">
      <c r="A1441" t="s">
        <v>328</v>
      </c>
      <c r="B1441">
        <v>41</v>
      </c>
      <c r="C1441" t="s">
        <v>125</v>
      </c>
      <c r="D1441" t="s">
        <v>325</v>
      </c>
    </row>
    <row r="1442" spans="1:4" x14ac:dyDescent="0.25">
      <c r="A1442" t="s">
        <v>203</v>
      </c>
      <c r="B1442">
        <v>35</v>
      </c>
      <c r="C1442" t="s">
        <v>886</v>
      </c>
      <c r="D1442" t="s">
        <v>204</v>
      </c>
    </row>
    <row r="1443" spans="1:4" x14ac:dyDescent="0.25">
      <c r="A1443" t="s">
        <v>226</v>
      </c>
      <c r="B1443">
        <v>31</v>
      </c>
      <c r="C1443" t="s">
        <v>886</v>
      </c>
      <c r="D1443" t="s">
        <v>227</v>
      </c>
    </row>
    <row r="1444" spans="1:4" x14ac:dyDescent="0.25">
      <c r="A1444" t="s">
        <v>340</v>
      </c>
      <c r="B1444">
        <v>30</v>
      </c>
      <c r="C1444" t="s">
        <v>125</v>
      </c>
      <c r="D1444" t="s">
        <v>341</v>
      </c>
    </row>
    <row r="1445" spans="1:4" x14ac:dyDescent="0.25">
      <c r="A1445" t="s">
        <v>322</v>
      </c>
      <c r="B1445">
        <v>29</v>
      </c>
      <c r="C1445" t="s">
        <v>125</v>
      </c>
      <c r="D1445" t="s">
        <v>323</v>
      </c>
    </row>
    <row r="1446" spans="1:4" x14ac:dyDescent="0.25">
      <c r="A1446" t="s">
        <v>220</v>
      </c>
      <c r="B1446">
        <v>27</v>
      </c>
      <c r="C1446" t="s">
        <v>886</v>
      </c>
      <c r="D1446" t="s">
        <v>221</v>
      </c>
    </row>
    <row r="1447" spans="1:4" x14ac:dyDescent="0.25">
      <c r="A1447" t="s">
        <v>368</v>
      </c>
      <c r="B1447">
        <v>23</v>
      </c>
      <c r="C1447" t="s">
        <v>125</v>
      </c>
      <c r="D1447" t="s">
        <v>369</v>
      </c>
    </row>
    <row r="1448" spans="1:4" x14ac:dyDescent="0.25">
      <c r="A1448" t="s">
        <v>214</v>
      </c>
      <c r="B1448">
        <v>23</v>
      </c>
      <c r="C1448" t="s">
        <v>886</v>
      </c>
      <c r="D1448" t="s">
        <v>215</v>
      </c>
    </row>
    <row r="1449" spans="1:4" x14ac:dyDescent="0.25">
      <c r="A1449" t="s">
        <v>468</v>
      </c>
      <c r="B1449">
        <v>22</v>
      </c>
      <c r="C1449" t="s">
        <v>125</v>
      </c>
      <c r="D1449" t="s">
        <v>469</v>
      </c>
    </row>
    <row r="1450" spans="1:4" x14ac:dyDescent="0.25">
      <c r="A1450" t="s">
        <v>454</v>
      </c>
      <c r="B1450">
        <v>21</v>
      </c>
      <c r="C1450" t="s">
        <v>125</v>
      </c>
      <c r="D1450" t="s">
        <v>442</v>
      </c>
    </row>
    <row r="1451" spans="1:4" x14ac:dyDescent="0.25">
      <c r="A1451" t="s">
        <v>395</v>
      </c>
      <c r="B1451">
        <v>21</v>
      </c>
      <c r="C1451" t="s">
        <v>125</v>
      </c>
      <c r="D1451" t="s">
        <v>396</v>
      </c>
    </row>
    <row r="1452" spans="1:4" x14ac:dyDescent="0.25">
      <c r="A1452" t="s">
        <v>485</v>
      </c>
      <c r="B1452">
        <v>20</v>
      </c>
      <c r="C1452" t="s">
        <v>125</v>
      </c>
      <c r="D1452" t="s">
        <v>478</v>
      </c>
    </row>
    <row r="1453" spans="1:4" x14ac:dyDescent="0.25">
      <c r="A1453" t="s">
        <v>248</v>
      </c>
      <c r="B1453">
        <v>19</v>
      </c>
      <c r="C1453" t="s">
        <v>125</v>
      </c>
      <c r="D1453" t="s">
        <v>249</v>
      </c>
    </row>
    <row r="1454" spans="1:4" x14ac:dyDescent="0.25">
      <c r="A1454" t="s">
        <v>461</v>
      </c>
      <c r="B1454">
        <v>18</v>
      </c>
      <c r="C1454" t="s">
        <v>125</v>
      </c>
      <c r="D1454" t="s">
        <v>462</v>
      </c>
    </row>
    <row r="1455" spans="1:4" x14ac:dyDescent="0.25">
      <c r="A1455" t="s">
        <v>280</v>
      </c>
      <c r="B1455">
        <v>18</v>
      </c>
      <c r="C1455" t="s">
        <v>125</v>
      </c>
      <c r="D1455" t="s">
        <v>249</v>
      </c>
    </row>
    <row r="1456" spans="1:4" x14ac:dyDescent="0.25">
      <c r="A1456" t="s">
        <v>261</v>
      </c>
      <c r="B1456">
        <v>18</v>
      </c>
      <c r="C1456" t="s">
        <v>125</v>
      </c>
      <c r="D1456" t="s">
        <v>249</v>
      </c>
    </row>
    <row r="1457" spans="1:4" x14ac:dyDescent="0.25">
      <c r="A1457" t="s">
        <v>449</v>
      </c>
      <c r="B1457">
        <v>17</v>
      </c>
      <c r="C1457" t="s">
        <v>125</v>
      </c>
      <c r="D1457" t="s">
        <v>442</v>
      </c>
    </row>
    <row r="1458" spans="1:4" x14ac:dyDescent="0.25">
      <c r="A1458" t="s">
        <v>445</v>
      </c>
      <c r="B1458">
        <v>15</v>
      </c>
      <c r="C1458" t="s">
        <v>125</v>
      </c>
      <c r="D1458" t="s">
        <v>442</v>
      </c>
    </row>
    <row r="1459" spans="1:4" x14ac:dyDescent="0.25">
      <c r="A1459" t="s">
        <v>438</v>
      </c>
      <c r="B1459">
        <v>15</v>
      </c>
      <c r="C1459" t="s">
        <v>125</v>
      </c>
      <c r="D1459" t="s">
        <v>401</v>
      </c>
    </row>
    <row r="1460" spans="1:4" x14ac:dyDescent="0.25">
      <c r="A1460" t="s">
        <v>427</v>
      </c>
      <c r="B1460">
        <v>13</v>
      </c>
      <c r="C1460" t="s">
        <v>125</v>
      </c>
      <c r="D1460" t="s">
        <v>401</v>
      </c>
    </row>
    <row r="1461" spans="1:4" x14ac:dyDescent="0.25">
      <c r="A1461" t="s">
        <v>250</v>
      </c>
      <c r="B1461">
        <v>13</v>
      </c>
      <c r="C1461" t="s">
        <v>125</v>
      </c>
      <c r="D1461" t="s">
        <v>249</v>
      </c>
    </row>
    <row r="1462" spans="1:4" x14ac:dyDescent="0.25">
      <c r="A1462" t="s">
        <v>223</v>
      </c>
      <c r="B1462">
        <v>13</v>
      </c>
      <c r="C1462" t="s">
        <v>886</v>
      </c>
      <c r="D1462" t="s">
        <v>224</v>
      </c>
    </row>
    <row r="1463" spans="1:4" x14ac:dyDescent="0.25">
      <c r="A1463" t="s">
        <v>339</v>
      </c>
      <c r="B1463">
        <v>13</v>
      </c>
      <c r="C1463" t="s">
        <v>125</v>
      </c>
      <c r="D1463" t="s">
        <v>338</v>
      </c>
    </row>
    <row r="1464" spans="1:4" x14ac:dyDescent="0.25">
      <c r="A1464" t="s">
        <v>456</v>
      </c>
      <c r="B1464">
        <v>12</v>
      </c>
      <c r="C1464" t="s">
        <v>125</v>
      </c>
      <c r="D1464" t="s">
        <v>442</v>
      </c>
    </row>
    <row r="1465" spans="1:4" x14ac:dyDescent="0.25">
      <c r="A1465" t="s">
        <v>483</v>
      </c>
      <c r="B1465">
        <v>12</v>
      </c>
      <c r="C1465" t="s">
        <v>125</v>
      </c>
      <c r="D1465" t="s">
        <v>478</v>
      </c>
    </row>
    <row r="1466" spans="1:4" x14ac:dyDescent="0.25">
      <c r="A1466" t="s">
        <v>453</v>
      </c>
      <c r="B1466">
        <v>10</v>
      </c>
      <c r="C1466" t="s">
        <v>125</v>
      </c>
      <c r="D1466" t="s">
        <v>442</v>
      </c>
    </row>
    <row r="1467" spans="1:4" x14ac:dyDescent="0.25">
      <c r="A1467" t="s">
        <v>370</v>
      </c>
      <c r="B1467">
        <v>10</v>
      </c>
      <c r="C1467" t="s">
        <v>125</v>
      </c>
      <c r="D1467" t="s">
        <v>371</v>
      </c>
    </row>
    <row r="1468" spans="1:4" x14ac:dyDescent="0.25">
      <c r="A1468" t="s">
        <v>457</v>
      </c>
      <c r="B1468">
        <v>10</v>
      </c>
      <c r="C1468" t="s">
        <v>125</v>
      </c>
      <c r="D1468" t="s">
        <v>442</v>
      </c>
    </row>
    <row r="1469" spans="1:4" x14ac:dyDescent="0.25">
      <c r="A1469" t="s">
        <v>274</v>
      </c>
      <c r="B1469">
        <v>9</v>
      </c>
      <c r="C1469" t="s">
        <v>125</v>
      </c>
      <c r="D1469" t="s">
        <v>249</v>
      </c>
    </row>
    <row r="1470" spans="1:4" x14ac:dyDescent="0.25">
      <c r="A1470" t="s">
        <v>482</v>
      </c>
      <c r="B1470">
        <v>9</v>
      </c>
      <c r="C1470" t="s">
        <v>125</v>
      </c>
      <c r="D1470" t="s">
        <v>478</v>
      </c>
    </row>
    <row r="1471" spans="1:4" x14ac:dyDescent="0.25">
      <c r="A1471" t="s">
        <v>484</v>
      </c>
      <c r="B1471">
        <v>7</v>
      </c>
      <c r="C1471" t="s">
        <v>125</v>
      </c>
      <c r="D1471" t="s">
        <v>478</v>
      </c>
    </row>
    <row r="1472" spans="1:4" x14ac:dyDescent="0.25">
      <c r="A1472" t="s">
        <v>458</v>
      </c>
      <c r="B1472">
        <v>7</v>
      </c>
      <c r="C1472" t="s">
        <v>125</v>
      </c>
      <c r="D1472" t="s">
        <v>442</v>
      </c>
    </row>
    <row r="1473" spans="1:4" x14ac:dyDescent="0.25">
      <c r="A1473" t="s">
        <v>293</v>
      </c>
      <c r="B1473">
        <v>6</v>
      </c>
      <c r="C1473" t="s">
        <v>125</v>
      </c>
      <c r="D1473" t="s">
        <v>294</v>
      </c>
    </row>
    <row r="1474" spans="1:4" x14ac:dyDescent="0.25">
      <c r="A1474" t="s">
        <v>330</v>
      </c>
      <c r="B1474">
        <v>6</v>
      </c>
      <c r="C1474" t="s">
        <v>125</v>
      </c>
      <c r="D1474" t="s">
        <v>331</v>
      </c>
    </row>
    <row r="1475" spans="1:4" x14ac:dyDescent="0.25">
      <c r="A1475" t="s">
        <v>434</v>
      </c>
      <c r="B1475">
        <v>5</v>
      </c>
      <c r="C1475" t="s">
        <v>125</v>
      </c>
      <c r="D1475" t="s">
        <v>401</v>
      </c>
    </row>
    <row r="1476" spans="1:4" x14ac:dyDescent="0.25">
      <c r="A1476" t="s">
        <v>197</v>
      </c>
      <c r="B1476">
        <v>5</v>
      </c>
      <c r="C1476" t="s">
        <v>886</v>
      </c>
      <c r="D1476" t="s">
        <v>198</v>
      </c>
    </row>
    <row r="1477" spans="1:4" x14ac:dyDescent="0.25">
      <c r="A1477" t="s">
        <v>284</v>
      </c>
      <c r="B1477">
        <v>5</v>
      </c>
      <c r="C1477" t="s">
        <v>125</v>
      </c>
      <c r="D1477" t="s">
        <v>249</v>
      </c>
    </row>
    <row r="1478" spans="1:4" x14ac:dyDescent="0.25">
      <c r="A1478" t="s">
        <v>421</v>
      </c>
      <c r="B1478">
        <v>4</v>
      </c>
      <c r="C1478" t="s">
        <v>125</v>
      </c>
      <c r="D1478" t="s">
        <v>401</v>
      </c>
    </row>
    <row r="1479" spans="1:4" x14ac:dyDescent="0.25">
      <c r="A1479" t="s">
        <v>295</v>
      </c>
      <c r="B1479">
        <v>3</v>
      </c>
      <c r="C1479" t="s">
        <v>125</v>
      </c>
      <c r="D1479" t="s">
        <v>296</v>
      </c>
    </row>
    <row r="1480" spans="1:4" x14ac:dyDescent="0.25">
      <c r="A1480" t="s">
        <v>54</v>
      </c>
      <c r="B1480">
        <v>23</v>
      </c>
    </row>
    <row r="1481" spans="1:4" x14ac:dyDescent="0.25">
      <c r="A1481" t="s">
        <v>185</v>
      </c>
      <c r="B1481">
        <v>2916</v>
      </c>
      <c r="C1481" t="s">
        <v>886</v>
      </c>
      <c r="D1481" t="s">
        <v>186</v>
      </c>
    </row>
    <row r="1482" spans="1:4" x14ac:dyDescent="0.25">
      <c r="A1482" t="s">
        <v>250</v>
      </c>
      <c r="B1482">
        <v>850</v>
      </c>
      <c r="C1482" t="s">
        <v>125</v>
      </c>
      <c r="D1482" t="s">
        <v>249</v>
      </c>
    </row>
    <row r="1483" spans="1:4" x14ac:dyDescent="0.25">
      <c r="A1483" t="s">
        <v>188</v>
      </c>
      <c r="B1483">
        <v>850</v>
      </c>
      <c r="C1483" t="s">
        <v>886</v>
      </c>
      <c r="D1483" t="s">
        <v>189</v>
      </c>
    </row>
    <row r="1484" spans="1:4" x14ac:dyDescent="0.25">
      <c r="A1484" t="s">
        <v>191</v>
      </c>
      <c r="B1484">
        <v>791</v>
      </c>
      <c r="C1484" t="s">
        <v>886</v>
      </c>
      <c r="D1484" t="s">
        <v>192</v>
      </c>
    </row>
    <row r="1485" spans="1:4" x14ac:dyDescent="0.25">
      <c r="A1485" t="s">
        <v>197</v>
      </c>
      <c r="B1485">
        <v>759</v>
      </c>
      <c r="C1485" t="s">
        <v>886</v>
      </c>
      <c r="D1485" t="s">
        <v>198</v>
      </c>
    </row>
    <row r="1486" spans="1:4" x14ac:dyDescent="0.25">
      <c r="A1486" t="s">
        <v>248</v>
      </c>
      <c r="B1486">
        <v>668</v>
      </c>
      <c r="C1486" t="s">
        <v>125</v>
      </c>
      <c r="D1486" t="s">
        <v>249</v>
      </c>
    </row>
    <row r="1487" spans="1:4" x14ac:dyDescent="0.25">
      <c r="A1487" t="s">
        <v>340</v>
      </c>
      <c r="B1487">
        <v>553</v>
      </c>
      <c r="C1487" t="s">
        <v>125</v>
      </c>
      <c r="D1487" t="s">
        <v>341</v>
      </c>
    </row>
    <row r="1488" spans="1:4" x14ac:dyDescent="0.25">
      <c r="A1488" t="s">
        <v>194</v>
      </c>
      <c r="B1488">
        <v>280</v>
      </c>
      <c r="C1488" t="s">
        <v>886</v>
      </c>
      <c r="D1488" t="s">
        <v>195</v>
      </c>
    </row>
    <row r="1489" spans="1:4" x14ac:dyDescent="0.25">
      <c r="A1489" t="s">
        <v>439</v>
      </c>
      <c r="B1489">
        <v>193</v>
      </c>
      <c r="C1489" t="s">
        <v>125</v>
      </c>
      <c r="D1489" t="s">
        <v>401</v>
      </c>
    </row>
    <row r="1490" spans="1:4" x14ac:dyDescent="0.25">
      <c r="A1490" t="s">
        <v>281</v>
      </c>
      <c r="B1490">
        <v>191</v>
      </c>
      <c r="C1490" t="s">
        <v>125</v>
      </c>
      <c r="D1490" t="s">
        <v>249</v>
      </c>
    </row>
    <row r="1491" spans="1:4" x14ac:dyDescent="0.25">
      <c r="A1491" t="s">
        <v>405</v>
      </c>
      <c r="B1491">
        <v>179</v>
      </c>
      <c r="C1491" t="s">
        <v>125</v>
      </c>
      <c r="D1491" t="s">
        <v>401</v>
      </c>
    </row>
    <row r="1492" spans="1:4" x14ac:dyDescent="0.25">
      <c r="A1492" t="s">
        <v>326</v>
      </c>
      <c r="B1492">
        <v>177</v>
      </c>
      <c r="C1492" t="s">
        <v>125</v>
      </c>
      <c r="D1492" t="s">
        <v>325</v>
      </c>
    </row>
    <row r="1493" spans="1:4" x14ac:dyDescent="0.25">
      <c r="A1493" t="s">
        <v>468</v>
      </c>
      <c r="B1493">
        <v>168</v>
      </c>
      <c r="C1493" t="s">
        <v>125</v>
      </c>
      <c r="D1493" t="s">
        <v>469</v>
      </c>
    </row>
    <row r="1494" spans="1:4" x14ac:dyDescent="0.25">
      <c r="A1494" t="s">
        <v>415</v>
      </c>
      <c r="B1494">
        <v>162</v>
      </c>
      <c r="C1494" t="s">
        <v>125</v>
      </c>
      <c r="D1494" t="s">
        <v>401</v>
      </c>
    </row>
    <row r="1495" spans="1:4" x14ac:dyDescent="0.25">
      <c r="A1495" t="s">
        <v>206</v>
      </c>
      <c r="B1495">
        <v>147</v>
      </c>
      <c r="C1495" t="s">
        <v>886</v>
      </c>
      <c r="D1495" t="s">
        <v>189</v>
      </c>
    </row>
    <row r="1496" spans="1:4" x14ac:dyDescent="0.25">
      <c r="A1496" t="s">
        <v>208</v>
      </c>
      <c r="B1496">
        <v>108</v>
      </c>
      <c r="C1496" t="s">
        <v>886</v>
      </c>
      <c r="D1496" t="s">
        <v>209</v>
      </c>
    </row>
    <row r="1497" spans="1:4" x14ac:dyDescent="0.25">
      <c r="A1497" t="s">
        <v>403</v>
      </c>
      <c r="B1497">
        <v>98</v>
      </c>
      <c r="C1497" t="s">
        <v>125</v>
      </c>
      <c r="D1497" t="s">
        <v>401</v>
      </c>
    </row>
    <row r="1498" spans="1:4" x14ac:dyDescent="0.25">
      <c r="A1498" t="s">
        <v>335</v>
      </c>
      <c r="B1498">
        <v>97</v>
      </c>
      <c r="C1498" t="s">
        <v>125</v>
      </c>
      <c r="D1498" t="s">
        <v>336</v>
      </c>
    </row>
    <row r="1499" spans="1:4" x14ac:dyDescent="0.25">
      <c r="A1499" t="s">
        <v>307</v>
      </c>
      <c r="B1499">
        <v>92</v>
      </c>
      <c r="C1499" t="s">
        <v>125</v>
      </c>
      <c r="D1499" t="s">
        <v>308</v>
      </c>
    </row>
    <row r="1500" spans="1:4" x14ac:dyDescent="0.25">
      <c r="A1500" t="s">
        <v>257</v>
      </c>
      <c r="B1500">
        <v>86</v>
      </c>
      <c r="C1500" t="s">
        <v>125</v>
      </c>
      <c r="D1500" t="s">
        <v>249</v>
      </c>
    </row>
    <row r="1501" spans="1:4" x14ac:dyDescent="0.25">
      <c r="A1501" t="s">
        <v>436</v>
      </c>
      <c r="B1501">
        <v>68</v>
      </c>
      <c r="C1501" t="s">
        <v>125</v>
      </c>
      <c r="D1501" t="s">
        <v>401</v>
      </c>
    </row>
    <row r="1502" spans="1:4" x14ac:dyDescent="0.25">
      <c r="A1502" t="s">
        <v>295</v>
      </c>
      <c r="B1502">
        <v>66</v>
      </c>
      <c r="C1502" t="s">
        <v>125</v>
      </c>
      <c r="D1502" t="s">
        <v>296</v>
      </c>
    </row>
    <row r="1503" spans="1:4" x14ac:dyDescent="0.25">
      <c r="A1503" t="s">
        <v>314</v>
      </c>
      <c r="B1503">
        <v>64</v>
      </c>
      <c r="C1503" t="s">
        <v>125</v>
      </c>
      <c r="D1503" t="s">
        <v>315</v>
      </c>
    </row>
    <row r="1504" spans="1:4" x14ac:dyDescent="0.25">
      <c r="A1504" t="s">
        <v>55</v>
      </c>
      <c r="B1504">
        <v>17</v>
      </c>
    </row>
    <row r="1505" spans="1:4" x14ac:dyDescent="0.25">
      <c r="A1505" t="s">
        <v>191</v>
      </c>
      <c r="B1505">
        <v>9619</v>
      </c>
      <c r="C1505" t="s">
        <v>886</v>
      </c>
      <c r="D1505" t="s">
        <v>192</v>
      </c>
    </row>
    <row r="1506" spans="1:4" x14ac:dyDescent="0.25">
      <c r="A1506" t="s">
        <v>185</v>
      </c>
      <c r="B1506">
        <v>4478</v>
      </c>
      <c r="C1506" t="s">
        <v>886</v>
      </c>
      <c r="D1506" t="s">
        <v>186</v>
      </c>
    </row>
    <row r="1507" spans="1:4" x14ac:dyDescent="0.25">
      <c r="A1507" t="s">
        <v>208</v>
      </c>
      <c r="B1507">
        <v>1626</v>
      </c>
      <c r="C1507" t="s">
        <v>886</v>
      </c>
      <c r="D1507" t="s">
        <v>209</v>
      </c>
    </row>
    <row r="1508" spans="1:4" x14ac:dyDescent="0.25">
      <c r="A1508" t="s">
        <v>188</v>
      </c>
      <c r="B1508">
        <v>500</v>
      </c>
      <c r="C1508" t="s">
        <v>886</v>
      </c>
      <c r="D1508" t="s">
        <v>189</v>
      </c>
    </row>
    <row r="1509" spans="1:4" x14ac:dyDescent="0.25">
      <c r="A1509" t="s">
        <v>206</v>
      </c>
      <c r="B1509">
        <v>331</v>
      </c>
      <c r="C1509" t="s">
        <v>886</v>
      </c>
      <c r="D1509" t="s">
        <v>189</v>
      </c>
    </row>
    <row r="1510" spans="1:4" x14ac:dyDescent="0.25">
      <c r="A1510" t="s">
        <v>200</v>
      </c>
      <c r="B1510">
        <v>284</v>
      </c>
      <c r="C1510" t="s">
        <v>886</v>
      </c>
      <c r="D1510" t="s">
        <v>201</v>
      </c>
    </row>
    <row r="1511" spans="1:4" x14ac:dyDescent="0.25">
      <c r="A1511" t="s">
        <v>314</v>
      </c>
      <c r="B1511">
        <v>115</v>
      </c>
      <c r="C1511" t="s">
        <v>125</v>
      </c>
      <c r="D1511" t="s">
        <v>315</v>
      </c>
    </row>
    <row r="1512" spans="1:4" x14ac:dyDescent="0.25">
      <c r="A1512" t="s">
        <v>326</v>
      </c>
      <c r="B1512">
        <v>86</v>
      </c>
      <c r="C1512" t="s">
        <v>125</v>
      </c>
      <c r="D1512" t="s">
        <v>325</v>
      </c>
    </row>
    <row r="1513" spans="1:4" x14ac:dyDescent="0.25">
      <c r="A1513" t="s">
        <v>197</v>
      </c>
      <c r="B1513">
        <v>42</v>
      </c>
      <c r="C1513" t="s">
        <v>886</v>
      </c>
      <c r="D1513" t="s">
        <v>198</v>
      </c>
    </row>
    <row r="1514" spans="1:4" x14ac:dyDescent="0.25">
      <c r="A1514" t="s">
        <v>446</v>
      </c>
      <c r="B1514">
        <v>40</v>
      </c>
      <c r="C1514" t="s">
        <v>125</v>
      </c>
      <c r="D1514" t="s">
        <v>442</v>
      </c>
    </row>
    <row r="1515" spans="1:4" x14ac:dyDescent="0.25">
      <c r="A1515" t="s">
        <v>435</v>
      </c>
      <c r="B1515">
        <v>39</v>
      </c>
      <c r="C1515" t="s">
        <v>125</v>
      </c>
      <c r="D1515" t="s">
        <v>401</v>
      </c>
    </row>
    <row r="1516" spans="1:4" x14ac:dyDescent="0.25">
      <c r="A1516" t="s">
        <v>251</v>
      </c>
      <c r="B1516">
        <v>38</v>
      </c>
      <c r="C1516" t="s">
        <v>125</v>
      </c>
      <c r="D1516" t="s">
        <v>249</v>
      </c>
    </row>
    <row r="1517" spans="1:4" x14ac:dyDescent="0.25">
      <c r="A1517" t="s">
        <v>337</v>
      </c>
      <c r="B1517">
        <v>32</v>
      </c>
      <c r="C1517" t="s">
        <v>125</v>
      </c>
      <c r="D1517" t="s">
        <v>338</v>
      </c>
    </row>
    <row r="1518" spans="1:4" x14ac:dyDescent="0.25">
      <c r="A1518" t="s">
        <v>237</v>
      </c>
      <c r="B1518">
        <v>26</v>
      </c>
      <c r="C1518" t="s">
        <v>886</v>
      </c>
      <c r="D1518" t="s">
        <v>238</v>
      </c>
    </row>
    <row r="1519" spans="1:4" x14ac:dyDescent="0.25">
      <c r="A1519" t="s">
        <v>316</v>
      </c>
      <c r="B1519">
        <v>24</v>
      </c>
      <c r="C1519" t="s">
        <v>125</v>
      </c>
      <c r="D1519" t="s">
        <v>315</v>
      </c>
    </row>
    <row r="1520" spans="1:4" x14ac:dyDescent="0.25">
      <c r="A1520" t="s">
        <v>433</v>
      </c>
      <c r="B1520">
        <v>23</v>
      </c>
      <c r="C1520" t="s">
        <v>125</v>
      </c>
      <c r="D1520" t="s">
        <v>401</v>
      </c>
    </row>
    <row r="1521" spans="1:4" x14ac:dyDescent="0.25">
      <c r="A1521" t="s">
        <v>194</v>
      </c>
      <c r="B1521">
        <v>16</v>
      </c>
      <c r="C1521" t="s">
        <v>886</v>
      </c>
      <c r="D1521" t="s">
        <v>195</v>
      </c>
    </row>
    <row r="1522" spans="1:4" x14ac:dyDescent="0.25">
      <c r="A1522" t="s">
        <v>56</v>
      </c>
      <c r="B1522">
        <v>14</v>
      </c>
    </row>
    <row r="1523" spans="1:4" x14ac:dyDescent="0.25">
      <c r="A1523" t="s">
        <v>340</v>
      </c>
      <c r="B1523">
        <v>4231</v>
      </c>
      <c r="C1523" t="s">
        <v>125</v>
      </c>
      <c r="D1523" t="s">
        <v>341</v>
      </c>
    </row>
    <row r="1524" spans="1:4" x14ac:dyDescent="0.25">
      <c r="A1524" t="s">
        <v>185</v>
      </c>
      <c r="B1524">
        <v>3967</v>
      </c>
      <c r="C1524" t="s">
        <v>886</v>
      </c>
      <c r="D1524" t="s">
        <v>186</v>
      </c>
    </row>
    <row r="1525" spans="1:4" x14ac:dyDescent="0.25">
      <c r="A1525" t="s">
        <v>229</v>
      </c>
      <c r="B1525">
        <v>2766</v>
      </c>
      <c r="C1525" t="s">
        <v>886</v>
      </c>
      <c r="D1525" t="s">
        <v>230</v>
      </c>
    </row>
    <row r="1526" spans="1:4" x14ac:dyDescent="0.25">
      <c r="A1526" t="s">
        <v>203</v>
      </c>
      <c r="B1526">
        <v>365</v>
      </c>
      <c r="C1526" t="s">
        <v>886</v>
      </c>
      <c r="D1526" t="s">
        <v>204</v>
      </c>
    </row>
    <row r="1527" spans="1:4" x14ac:dyDescent="0.25">
      <c r="A1527" t="s">
        <v>377</v>
      </c>
      <c r="B1527">
        <v>335</v>
      </c>
      <c r="C1527" t="s">
        <v>125</v>
      </c>
      <c r="D1527" t="s">
        <v>373</v>
      </c>
    </row>
    <row r="1528" spans="1:4" x14ac:dyDescent="0.25">
      <c r="A1528" t="s">
        <v>206</v>
      </c>
      <c r="B1528">
        <v>154</v>
      </c>
      <c r="C1528" t="s">
        <v>886</v>
      </c>
      <c r="D1528" t="s">
        <v>189</v>
      </c>
    </row>
    <row r="1529" spans="1:4" x14ac:dyDescent="0.25">
      <c r="A1529" t="s">
        <v>191</v>
      </c>
      <c r="B1529">
        <v>110</v>
      </c>
      <c r="C1529" t="s">
        <v>886</v>
      </c>
      <c r="D1529" t="s">
        <v>192</v>
      </c>
    </row>
    <row r="1530" spans="1:4" x14ac:dyDescent="0.25">
      <c r="A1530" t="s">
        <v>214</v>
      </c>
      <c r="B1530">
        <v>46</v>
      </c>
      <c r="C1530" t="s">
        <v>886</v>
      </c>
      <c r="D1530" t="s">
        <v>215</v>
      </c>
    </row>
    <row r="1531" spans="1:4" x14ac:dyDescent="0.25">
      <c r="A1531" t="s">
        <v>208</v>
      </c>
      <c r="B1531">
        <v>36</v>
      </c>
      <c r="C1531" t="s">
        <v>886</v>
      </c>
      <c r="D1531" t="s">
        <v>209</v>
      </c>
    </row>
    <row r="1532" spans="1:4" x14ac:dyDescent="0.25">
      <c r="A1532" t="s">
        <v>232</v>
      </c>
      <c r="B1532">
        <v>20</v>
      </c>
      <c r="C1532" t="s">
        <v>886</v>
      </c>
      <c r="D1532" t="s">
        <v>204</v>
      </c>
    </row>
    <row r="1533" spans="1:4" x14ac:dyDescent="0.25">
      <c r="A1533" t="s">
        <v>326</v>
      </c>
      <c r="B1533">
        <v>9</v>
      </c>
      <c r="C1533" t="s">
        <v>125</v>
      </c>
      <c r="D1533" t="s">
        <v>325</v>
      </c>
    </row>
    <row r="1534" spans="1:4" x14ac:dyDescent="0.25">
      <c r="A1534" t="s">
        <v>304</v>
      </c>
      <c r="B1534">
        <v>5</v>
      </c>
      <c r="C1534" t="s">
        <v>125</v>
      </c>
      <c r="D1534" t="s">
        <v>305</v>
      </c>
    </row>
    <row r="1535" spans="1:4" x14ac:dyDescent="0.25">
      <c r="A1535" t="s">
        <v>226</v>
      </c>
      <c r="B1535">
        <v>3</v>
      </c>
      <c r="C1535" t="s">
        <v>886</v>
      </c>
      <c r="D1535" t="s">
        <v>227</v>
      </c>
    </row>
    <row r="1536" spans="1:4" x14ac:dyDescent="0.25">
      <c r="A1536" t="s">
        <v>234</v>
      </c>
      <c r="B1536">
        <v>2</v>
      </c>
      <c r="C1536" t="s">
        <v>886</v>
      </c>
      <c r="D1536" t="s">
        <v>235</v>
      </c>
    </row>
    <row r="1537" spans="1:4" x14ac:dyDescent="0.25">
      <c r="A1537" t="s">
        <v>57</v>
      </c>
      <c r="B1537">
        <v>38</v>
      </c>
    </row>
    <row r="1538" spans="1:4" x14ac:dyDescent="0.25">
      <c r="A1538" t="s">
        <v>191</v>
      </c>
      <c r="B1538">
        <v>3109</v>
      </c>
      <c r="C1538" t="s">
        <v>886</v>
      </c>
      <c r="D1538" t="s">
        <v>192</v>
      </c>
    </row>
    <row r="1539" spans="1:4" x14ac:dyDescent="0.25">
      <c r="A1539" t="s">
        <v>250</v>
      </c>
      <c r="B1539">
        <v>1320</v>
      </c>
      <c r="C1539" t="s">
        <v>125</v>
      </c>
      <c r="D1539" t="s">
        <v>249</v>
      </c>
    </row>
    <row r="1540" spans="1:4" x14ac:dyDescent="0.25">
      <c r="A1540" t="s">
        <v>248</v>
      </c>
      <c r="B1540">
        <v>863</v>
      </c>
      <c r="C1540" t="s">
        <v>125</v>
      </c>
      <c r="D1540" t="s">
        <v>249</v>
      </c>
    </row>
    <row r="1541" spans="1:4" x14ac:dyDescent="0.25">
      <c r="A1541" t="s">
        <v>194</v>
      </c>
      <c r="B1541">
        <v>752</v>
      </c>
      <c r="C1541" t="s">
        <v>886</v>
      </c>
      <c r="D1541" t="s">
        <v>195</v>
      </c>
    </row>
    <row r="1542" spans="1:4" x14ac:dyDescent="0.25">
      <c r="A1542" t="s">
        <v>206</v>
      </c>
      <c r="B1542">
        <v>647</v>
      </c>
      <c r="C1542" t="s">
        <v>886</v>
      </c>
      <c r="D1542" t="s">
        <v>189</v>
      </c>
    </row>
    <row r="1543" spans="1:4" x14ac:dyDescent="0.25">
      <c r="A1543" t="s">
        <v>441</v>
      </c>
      <c r="B1543">
        <v>614</v>
      </c>
      <c r="C1543" t="s">
        <v>125</v>
      </c>
      <c r="D1543" t="s">
        <v>442</v>
      </c>
    </row>
    <row r="1544" spans="1:4" x14ac:dyDescent="0.25">
      <c r="A1544" t="s">
        <v>307</v>
      </c>
      <c r="B1544">
        <v>595</v>
      </c>
      <c r="C1544" t="s">
        <v>125</v>
      </c>
      <c r="D1544" t="s">
        <v>308</v>
      </c>
    </row>
    <row r="1545" spans="1:4" x14ac:dyDescent="0.25">
      <c r="A1545" t="s">
        <v>185</v>
      </c>
      <c r="B1545">
        <v>484</v>
      </c>
      <c r="C1545" t="s">
        <v>886</v>
      </c>
      <c r="D1545" t="s">
        <v>186</v>
      </c>
    </row>
    <row r="1546" spans="1:4" x14ac:dyDescent="0.25">
      <c r="A1546" t="s">
        <v>487</v>
      </c>
      <c r="B1546">
        <v>460</v>
      </c>
      <c r="C1546" t="s">
        <v>125</v>
      </c>
      <c r="D1546" t="s">
        <v>488</v>
      </c>
    </row>
    <row r="1547" spans="1:4" x14ac:dyDescent="0.25">
      <c r="A1547" t="s">
        <v>380</v>
      </c>
      <c r="B1547">
        <v>384</v>
      </c>
      <c r="C1547" t="s">
        <v>125</v>
      </c>
      <c r="D1547" t="s">
        <v>373</v>
      </c>
    </row>
    <row r="1548" spans="1:4" x14ac:dyDescent="0.25">
      <c r="A1548" t="s">
        <v>257</v>
      </c>
      <c r="B1548">
        <v>347</v>
      </c>
      <c r="C1548" t="s">
        <v>125</v>
      </c>
      <c r="D1548" t="s">
        <v>249</v>
      </c>
    </row>
    <row r="1549" spans="1:4" x14ac:dyDescent="0.25">
      <c r="A1549" t="s">
        <v>188</v>
      </c>
      <c r="B1549">
        <v>341</v>
      </c>
      <c r="C1549" t="s">
        <v>886</v>
      </c>
      <c r="D1549" t="s">
        <v>189</v>
      </c>
    </row>
    <row r="1550" spans="1:4" x14ac:dyDescent="0.25">
      <c r="A1550" t="s">
        <v>285</v>
      </c>
      <c r="B1550">
        <v>267</v>
      </c>
      <c r="C1550" t="s">
        <v>125</v>
      </c>
      <c r="D1550" t="s">
        <v>249</v>
      </c>
    </row>
    <row r="1551" spans="1:4" x14ac:dyDescent="0.25">
      <c r="A1551" t="s">
        <v>200</v>
      </c>
      <c r="B1551">
        <v>203</v>
      </c>
      <c r="C1551" t="s">
        <v>886</v>
      </c>
      <c r="D1551" t="s">
        <v>201</v>
      </c>
    </row>
    <row r="1552" spans="1:4" x14ac:dyDescent="0.25">
      <c r="A1552" t="s">
        <v>254</v>
      </c>
      <c r="B1552">
        <v>156</v>
      </c>
      <c r="C1552" t="s">
        <v>125</v>
      </c>
      <c r="D1552" t="s">
        <v>249</v>
      </c>
    </row>
    <row r="1553" spans="1:4" x14ac:dyDescent="0.25">
      <c r="A1553" t="s">
        <v>253</v>
      </c>
      <c r="B1553">
        <v>153</v>
      </c>
      <c r="C1553" t="s">
        <v>125</v>
      </c>
      <c r="D1553" t="s">
        <v>249</v>
      </c>
    </row>
    <row r="1554" spans="1:4" x14ac:dyDescent="0.25">
      <c r="A1554" t="s">
        <v>468</v>
      </c>
      <c r="B1554">
        <v>144</v>
      </c>
      <c r="C1554" t="s">
        <v>125</v>
      </c>
      <c r="D1554" t="s">
        <v>469</v>
      </c>
    </row>
    <row r="1555" spans="1:4" x14ac:dyDescent="0.25">
      <c r="A1555" t="s">
        <v>403</v>
      </c>
      <c r="B1555">
        <v>131</v>
      </c>
      <c r="C1555" t="s">
        <v>125</v>
      </c>
      <c r="D1555" t="s">
        <v>401</v>
      </c>
    </row>
    <row r="1556" spans="1:4" x14ac:dyDescent="0.25">
      <c r="A1556" t="s">
        <v>276</v>
      </c>
      <c r="B1556">
        <v>128</v>
      </c>
      <c r="C1556" t="s">
        <v>125</v>
      </c>
      <c r="D1556" t="s">
        <v>249</v>
      </c>
    </row>
    <row r="1557" spans="1:4" x14ac:dyDescent="0.25">
      <c r="A1557" t="s">
        <v>443</v>
      </c>
      <c r="B1557">
        <v>127</v>
      </c>
      <c r="C1557" t="s">
        <v>125</v>
      </c>
      <c r="D1557" t="s">
        <v>442</v>
      </c>
    </row>
    <row r="1558" spans="1:4" x14ac:dyDescent="0.25">
      <c r="A1558" t="s">
        <v>489</v>
      </c>
      <c r="B1558">
        <v>127</v>
      </c>
      <c r="C1558" t="s">
        <v>125</v>
      </c>
      <c r="D1558" t="s">
        <v>488</v>
      </c>
    </row>
    <row r="1559" spans="1:4" x14ac:dyDescent="0.25">
      <c r="A1559" t="s">
        <v>286</v>
      </c>
      <c r="B1559">
        <v>122</v>
      </c>
      <c r="C1559" t="s">
        <v>125</v>
      </c>
      <c r="D1559" t="s">
        <v>249</v>
      </c>
    </row>
    <row r="1560" spans="1:4" x14ac:dyDescent="0.25">
      <c r="A1560" t="s">
        <v>408</v>
      </c>
      <c r="B1560">
        <v>114</v>
      </c>
      <c r="C1560" t="s">
        <v>125</v>
      </c>
      <c r="D1560" t="s">
        <v>401</v>
      </c>
    </row>
    <row r="1561" spans="1:4" x14ac:dyDescent="0.25">
      <c r="A1561" t="s">
        <v>459</v>
      </c>
      <c r="B1561">
        <v>110</v>
      </c>
      <c r="C1561" t="s">
        <v>125</v>
      </c>
      <c r="D1561" t="s">
        <v>460</v>
      </c>
    </row>
    <row r="1562" spans="1:4" x14ac:dyDescent="0.25">
      <c r="A1562" t="s">
        <v>326</v>
      </c>
      <c r="B1562">
        <v>108</v>
      </c>
      <c r="C1562" t="s">
        <v>125</v>
      </c>
      <c r="D1562" t="s">
        <v>325</v>
      </c>
    </row>
    <row r="1563" spans="1:4" x14ac:dyDescent="0.25">
      <c r="A1563" t="s">
        <v>436</v>
      </c>
      <c r="B1563">
        <v>108</v>
      </c>
      <c r="C1563" t="s">
        <v>125</v>
      </c>
      <c r="D1563" t="s">
        <v>401</v>
      </c>
    </row>
    <row r="1564" spans="1:4" x14ac:dyDescent="0.25">
      <c r="A1564" t="s">
        <v>405</v>
      </c>
      <c r="B1564">
        <v>105</v>
      </c>
      <c r="C1564" t="s">
        <v>125</v>
      </c>
      <c r="D1564" t="s">
        <v>401</v>
      </c>
    </row>
    <row r="1565" spans="1:4" x14ac:dyDescent="0.25">
      <c r="A1565" t="s">
        <v>431</v>
      </c>
      <c r="B1565">
        <v>90</v>
      </c>
      <c r="C1565" t="s">
        <v>125</v>
      </c>
      <c r="D1565" t="s">
        <v>401</v>
      </c>
    </row>
    <row r="1566" spans="1:4" x14ac:dyDescent="0.25">
      <c r="A1566" t="s">
        <v>263</v>
      </c>
      <c r="B1566">
        <v>90</v>
      </c>
      <c r="C1566" t="s">
        <v>125</v>
      </c>
      <c r="D1566" t="s">
        <v>249</v>
      </c>
    </row>
    <row r="1567" spans="1:4" x14ac:dyDescent="0.25">
      <c r="A1567" t="s">
        <v>410</v>
      </c>
      <c r="B1567">
        <v>87</v>
      </c>
      <c r="C1567" t="s">
        <v>125</v>
      </c>
      <c r="D1567" t="s">
        <v>401</v>
      </c>
    </row>
    <row r="1568" spans="1:4" x14ac:dyDescent="0.25">
      <c r="A1568" t="s">
        <v>287</v>
      </c>
      <c r="B1568">
        <v>84</v>
      </c>
      <c r="C1568" t="s">
        <v>125</v>
      </c>
      <c r="D1568" t="s">
        <v>249</v>
      </c>
    </row>
    <row r="1569" spans="1:4" x14ac:dyDescent="0.25">
      <c r="A1569" t="s">
        <v>295</v>
      </c>
      <c r="B1569">
        <v>72</v>
      </c>
      <c r="C1569" t="s">
        <v>125</v>
      </c>
      <c r="D1569" t="s">
        <v>296</v>
      </c>
    </row>
    <row r="1570" spans="1:4" x14ac:dyDescent="0.25">
      <c r="A1570" t="s">
        <v>387</v>
      </c>
      <c r="B1570">
        <v>72</v>
      </c>
      <c r="C1570" t="s">
        <v>125</v>
      </c>
      <c r="D1570" t="s">
        <v>388</v>
      </c>
    </row>
    <row r="1571" spans="1:4" x14ac:dyDescent="0.25">
      <c r="A1571" t="s">
        <v>395</v>
      </c>
      <c r="B1571">
        <v>57</v>
      </c>
      <c r="C1571" t="s">
        <v>125</v>
      </c>
      <c r="D1571" t="s">
        <v>396</v>
      </c>
    </row>
    <row r="1572" spans="1:4" x14ac:dyDescent="0.25">
      <c r="A1572" t="s">
        <v>486</v>
      </c>
      <c r="B1572">
        <v>54</v>
      </c>
      <c r="C1572" t="s">
        <v>125</v>
      </c>
      <c r="D1572" t="s">
        <v>478</v>
      </c>
    </row>
    <row r="1573" spans="1:4" x14ac:dyDescent="0.25">
      <c r="A1573" t="s">
        <v>314</v>
      </c>
      <c r="B1573">
        <v>47</v>
      </c>
      <c r="C1573" t="s">
        <v>125</v>
      </c>
      <c r="D1573" t="s">
        <v>315</v>
      </c>
    </row>
    <row r="1574" spans="1:4" x14ac:dyDescent="0.25">
      <c r="A1574" t="s">
        <v>197</v>
      </c>
      <c r="B1574">
        <v>30</v>
      </c>
      <c r="C1574" t="s">
        <v>886</v>
      </c>
      <c r="D1574" t="s">
        <v>198</v>
      </c>
    </row>
    <row r="1575" spans="1:4" x14ac:dyDescent="0.25">
      <c r="A1575" t="s">
        <v>340</v>
      </c>
      <c r="B1575">
        <v>2</v>
      </c>
      <c r="C1575" t="s">
        <v>125</v>
      </c>
      <c r="D1575" t="s">
        <v>341</v>
      </c>
    </row>
    <row r="1576" spans="1:4" x14ac:dyDescent="0.25">
      <c r="A1576" t="s">
        <v>58</v>
      </c>
      <c r="B1576">
        <v>30</v>
      </c>
    </row>
    <row r="1577" spans="1:4" x14ac:dyDescent="0.25">
      <c r="A1577" t="s">
        <v>191</v>
      </c>
      <c r="B1577">
        <v>6449</v>
      </c>
      <c r="C1577" t="s">
        <v>886</v>
      </c>
      <c r="D1577" t="s">
        <v>192</v>
      </c>
    </row>
    <row r="1578" spans="1:4" x14ac:dyDescent="0.25">
      <c r="A1578" t="s">
        <v>185</v>
      </c>
      <c r="B1578">
        <v>4633</v>
      </c>
      <c r="C1578" t="s">
        <v>886</v>
      </c>
      <c r="D1578" t="s">
        <v>186</v>
      </c>
    </row>
    <row r="1579" spans="1:4" x14ac:dyDescent="0.25">
      <c r="A1579" t="s">
        <v>208</v>
      </c>
      <c r="B1579">
        <v>1699</v>
      </c>
      <c r="C1579" t="s">
        <v>886</v>
      </c>
      <c r="D1579" t="s">
        <v>209</v>
      </c>
    </row>
    <row r="1580" spans="1:4" x14ac:dyDescent="0.25">
      <c r="A1580" t="s">
        <v>200</v>
      </c>
      <c r="B1580">
        <v>308</v>
      </c>
      <c r="C1580" t="s">
        <v>886</v>
      </c>
      <c r="D1580" t="s">
        <v>201</v>
      </c>
    </row>
    <row r="1581" spans="1:4" x14ac:dyDescent="0.25">
      <c r="A1581" t="s">
        <v>188</v>
      </c>
      <c r="B1581">
        <v>157</v>
      </c>
      <c r="C1581" t="s">
        <v>886</v>
      </c>
      <c r="D1581" t="s">
        <v>189</v>
      </c>
    </row>
    <row r="1582" spans="1:4" x14ac:dyDescent="0.25">
      <c r="A1582" t="s">
        <v>282</v>
      </c>
      <c r="B1582">
        <v>145</v>
      </c>
      <c r="C1582" t="s">
        <v>125</v>
      </c>
      <c r="D1582" t="s">
        <v>249</v>
      </c>
    </row>
    <row r="1583" spans="1:4" x14ac:dyDescent="0.25">
      <c r="A1583" t="s">
        <v>314</v>
      </c>
      <c r="B1583">
        <v>117</v>
      </c>
      <c r="C1583" t="s">
        <v>125</v>
      </c>
      <c r="D1583" t="s">
        <v>315</v>
      </c>
    </row>
    <row r="1584" spans="1:4" x14ac:dyDescent="0.25">
      <c r="A1584" t="s">
        <v>220</v>
      </c>
      <c r="B1584">
        <v>85</v>
      </c>
      <c r="C1584" t="s">
        <v>886</v>
      </c>
      <c r="D1584" t="s">
        <v>221</v>
      </c>
    </row>
    <row r="1585" spans="1:4" x14ac:dyDescent="0.25">
      <c r="A1585" t="s">
        <v>330</v>
      </c>
      <c r="B1585">
        <v>82</v>
      </c>
      <c r="C1585" t="s">
        <v>125</v>
      </c>
      <c r="D1585" t="s">
        <v>331</v>
      </c>
    </row>
    <row r="1586" spans="1:4" x14ac:dyDescent="0.25">
      <c r="A1586" t="s">
        <v>479</v>
      </c>
      <c r="B1586">
        <v>72</v>
      </c>
      <c r="C1586" t="s">
        <v>125</v>
      </c>
      <c r="D1586" t="s">
        <v>478</v>
      </c>
    </row>
    <row r="1587" spans="1:4" x14ac:dyDescent="0.25">
      <c r="A1587" t="s">
        <v>339</v>
      </c>
      <c r="B1587">
        <v>70</v>
      </c>
      <c r="C1587" t="s">
        <v>125</v>
      </c>
      <c r="D1587" t="s">
        <v>338</v>
      </c>
    </row>
    <row r="1588" spans="1:4" x14ac:dyDescent="0.25">
      <c r="A1588" t="s">
        <v>463</v>
      </c>
      <c r="B1588">
        <v>64</v>
      </c>
      <c r="C1588" t="s">
        <v>125</v>
      </c>
      <c r="D1588" t="s">
        <v>464</v>
      </c>
    </row>
    <row r="1589" spans="1:4" x14ac:dyDescent="0.25">
      <c r="A1589" t="s">
        <v>206</v>
      </c>
      <c r="B1589">
        <v>62</v>
      </c>
      <c r="C1589" t="s">
        <v>886</v>
      </c>
      <c r="D1589" t="s">
        <v>189</v>
      </c>
    </row>
    <row r="1590" spans="1:4" x14ac:dyDescent="0.25">
      <c r="A1590" t="s">
        <v>446</v>
      </c>
      <c r="B1590">
        <v>57</v>
      </c>
      <c r="C1590" t="s">
        <v>125</v>
      </c>
      <c r="D1590" t="s">
        <v>442</v>
      </c>
    </row>
    <row r="1591" spans="1:4" x14ac:dyDescent="0.25">
      <c r="A1591" t="s">
        <v>292</v>
      </c>
      <c r="B1591">
        <v>52</v>
      </c>
      <c r="C1591" t="s">
        <v>125</v>
      </c>
      <c r="D1591" t="s">
        <v>290</v>
      </c>
    </row>
    <row r="1592" spans="1:4" x14ac:dyDescent="0.25">
      <c r="A1592" t="s">
        <v>328</v>
      </c>
      <c r="B1592">
        <v>49</v>
      </c>
      <c r="C1592" t="s">
        <v>125</v>
      </c>
      <c r="D1592" t="s">
        <v>325</v>
      </c>
    </row>
    <row r="1593" spans="1:4" x14ac:dyDescent="0.25">
      <c r="A1593" t="s">
        <v>461</v>
      </c>
      <c r="B1593">
        <v>44</v>
      </c>
      <c r="C1593" t="s">
        <v>125</v>
      </c>
      <c r="D1593" t="s">
        <v>462</v>
      </c>
    </row>
    <row r="1594" spans="1:4" x14ac:dyDescent="0.25">
      <c r="A1594" t="s">
        <v>270</v>
      </c>
      <c r="B1594">
        <v>40</v>
      </c>
      <c r="C1594" t="s">
        <v>125</v>
      </c>
      <c r="D1594" t="s">
        <v>249</v>
      </c>
    </row>
    <row r="1595" spans="1:4" x14ac:dyDescent="0.25">
      <c r="A1595" t="s">
        <v>471</v>
      </c>
      <c r="B1595">
        <v>39</v>
      </c>
      <c r="C1595" t="s">
        <v>125</v>
      </c>
      <c r="D1595" t="s">
        <v>472</v>
      </c>
    </row>
    <row r="1596" spans="1:4" x14ac:dyDescent="0.25">
      <c r="A1596" t="s">
        <v>310</v>
      </c>
      <c r="B1596">
        <v>36</v>
      </c>
      <c r="C1596" t="s">
        <v>125</v>
      </c>
      <c r="D1596" t="s">
        <v>311</v>
      </c>
    </row>
    <row r="1597" spans="1:4" x14ac:dyDescent="0.25">
      <c r="A1597" t="s">
        <v>271</v>
      </c>
      <c r="B1597">
        <v>35</v>
      </c>
      <c r="C1597" t="s">
        <v>125</v>
      </c>
      <c r="D1597" t="s">
        <v>249</v>
      </c>
    </row>
    <row r="1598" spans="1:4" x14ac:dyDescent="0.25">
      <c r="A1598" t="s">
        <v>293</v>
      </c>
      <c r="B1598">
        <v>34</v>
      </c>
      <c r="C1598" t="s">
        <v>125</v>
      </c>
      <c r="D1598" t="s">
        <v>294</v>
      </c>
    </row>
    <row r="1599" spans="1:4" x14ac:dyDescent="0.25">
      <c r="A1599" t="s">
        <v>258</v>
      </c>
      <c r="B1599">
        <v>34</v>
      </c>
      <c r="C1599" t="s">
        <v>125</v>
      </c>
      <c r="D1599" t="s">
        <v>249</v>
      </c>
    </row>
    <row r="1600" spans="1:4" x14ac:dyDescent="0.25">
      <c r="A1600" t="s">
        <v>326</v>
      </c>
      <c r="B1600">
        <v>33</v>
      </c>
      <c r="C1600" t="s">
        <v>125</v>
      </c>
      <c r="D1600" t="s">
        <v>325</v>
      </c>
    </row>
    <row r="1601" spans="1:4" x14ac:dyDescent="0.25">
      <c r="A1601" t="s">
        <v>484</v>
      </c>
      <c r="B1601">
        <v>24</v>
      </c>
      <c r="C1601" t="s">
        <v>125</v>
      </c>
      <c r="D1601" t="s">
        <v>478</v>
      </c>
    </row>
    <row r="1602" spans="1:4" x14ac:dyDescent="0.25">
      <c r="A1602" t="s">
        <v>274</v>
      </c>
      <c r="B1602">
        <v>15</v>
      </c>
      <c r="C1602" t="s">
        <v>125</v>
      </c>
      <c r="D1602" t="s">
        <v>249</v>
      </c>
    </row>
    <row r="1603" spans="1:4" x14ac:dyDescent="0.25">
      <c r="A1603" t="s">
        <v>447</v>
      </c>
      <c r="B1603">
        <v>14</v>
      </c>
      <c r="C1603" t="s">
        <v>125</v>
      </c>
      <c r="D1603" t="s">
        <v>442</v>
      </c>
    </row>
    <row r="1604" spans="1:4" x14ac:dyDescent="0.25">
      <c r="A1604" t="s">
        <v>435</v>
      </c>
      <c r="B1604">
        <v>14</v>
      </c>
      <c r="C1604" t="s">
        <v>125</v>
      </c>
      <c r="D1604" t="s">
        <v>401</v>
      </c>
    </row>
    <row r="1605" spans="1:4" x14ac:dyDescent="0.25">
      <c r="A1605" t="s">
        <v>279</v>
      </c>
      <c r="B1605">
        <v>11</v>
      </c>
      <c r="C1605" t="s">
        <v>125</v>
      </c>
      <c r="D1605" t="s">
        <v>249</v>
      </c>
    </row>
    <row r="1606" spans="1:4" x14ac:dyDescent="0.25">
      <c r="A1606" t="s">
        <v>217</v>
      </c>
      <c r="B1606">
        <v>11</v>
      </c>
      <c r="C1606" t="s">
        <v>886</v>
      </c>
      <c r="D1606" t="s">
        <v>218</v>
      </c>
    </row>
    <row r="1607" spans="1:4" x14ac:dyDescent="0.25">
      <c r="A1607" t="s">
        <v>59</v>
      </c>
      <c r="B1607">
        <v>30</v>
      </c>
    </row>
    <row r="1608" spans="1:4" x14ac:dyDescent="0.25">
      <c r="A1608" t="s">
        <v>191</v>
      </c>
      <c r="B1608">
        <v>9013</v>
      </c>
      <c r="C1608" t="s">
        <v>886</v>
      </c>
      <c r="D1608" t="s">
        <v>192</v>
      </c>
    </row>
    <row r="1609" spans="1:4" x14ac:dyDescent="0.25">
      <c r="A1609" t="s">
        <v>188</v>
      </c>
      <c r="B1609">
        <v>2384</v>
      </c>
      <c r="C1609" t="s">
        <v>886</v>
      </c>
      <c r="D1609" t="s">
        <v>189</v>
      </c>
    </row>
    <row r="1610" spans="1:4" x14ac:dyDescent="0.25">
      <c r="A1610" t="s">
        <v>206</v>
      </c>
      <c r="B1610">
        <v>1750</v>
      </c>
      <c r="C1610" t="s">
        <v>886</v>
      </c>
      <c r="D1610" t="s">
        <v>189</v>
      </c>
    </row>
    <row r="1611" spans="1:4" x14ac:dyDescent="0.25">
      <c r="A1611" t="s">
        <v>203</v>
      </c>
      <c r="B1611">
        <v>1322</v>
      </c>
      <c r="C1611" t="s">
        <v>886</v>
      </c>
      <c r="D1611" t="s">
        <v>204</v>
      </c>
    </row>
    <row r="1612" spans="1:4" x14ac:dyDescent="0.25">
      <c r="A1612" t="s">
        <v>185</v>
      </c>
      <c r="B1612">
        <v>749</v>
      </c>
      <c r="C1612" t="s">
        <v>886</v>
      </c>
      <c r="D1612" t="s">
        <v>186</v>
      </c>
    </row>
    <row r="1613" spans="1:4" x14ac:dyDescent="0.25">
      <c r="A1613" t="s">
        <v>194</v>
      </c>
      <c r="B1613">
        <v>552</v>
      </c>
      <c r="C1613" t="s">
        <v>886</v>
      </c>
      <c r="D1613" t="s">
        <v>195</v>
      </c>
    </row>
    <row r="1614" spans="1:4" x14ac:dyDescent="0.25">
      <c r="A1614" t="s">
        <v>376</v>
      </c>
      <c r="B1614">
        <v>241</v>
      </c>
      <c r="C1614" t="s">
        <v>125</v>
      </c>
      <c r="D1614" t="s">
        <v>373</v>
      </c>
    </row>
    <row r="1615" spans="1:4" x14ac:dyDescent="0.25">
      <c r="A1615" t="s">
        <v>208</v>
      </c>
      <c r="B1615">
        <v>205</v>
      </c>
      <c r="C1615" t="s">
        <v>886</v>
      </c>
      <c r="D1615" t="s">
        <v>209</v>
      </c>
    </row>
    <row r="1616" spans="1:4" x14ac:dyDescent="0.25">
      <c r="A1616" t="s">
        <v>479</v>
      </c>
      <c r="B1616">
        <v>82</v>
      </c>
      <c r="C1616" t="s">
        <v>125</v>
      </c>
      <c r="D1616" t="s">
        <v>478</v>
      </c>
    </row>
    <row r="1617" spans="1:4" x14ac:dyDescent="0.25">
      <c r="A1617" t="s">
        <v>214</v>
      </c>
      <c r="B1617">
        <v>60</v>
      </c>
      <c r="C1617" t="s">
        <v>886</v>
      </c>
      <c r="D1617" t="s">
        <v>215</v>
      </c>
    </row>
    <row r="1618" spans="1:4" x14ac:dyDescent="0.25">
      <c r="A1618" t="s">
        <v>314</v>
      </c>
      <c r="B1618">
        <v>52</v>
      </c>
      <c r="C1618" t="s">
        <v>125</v>
      </c>
      <c r="D1618" t="s">
        <v>315</v>
      </c>
    </row>
    <row r="1619" spans="1:4" x14ac:dyDescent="0.25">
      <c r="A1619" t="s">
        <v>259</v>
      </c>
      <c r="B1619">
        <v>23</v>
      </c>
      <c r="C1619" t="s">
        <v>125</v>
      </c>
      <c r="D1619" t="s">
        <v>249</v>
      </c>
    </row>
    <row r="1620" spans="1:4" x14ac:dyDescent="0.25">
      <c r="A1620" t="s">
        <v>461</v>
      </c>
      <c r="B1620">
        <v>21</v>
      </c>
      <c r="C1620" t="s">
        <v>125</v>
      </c>
      <c r="D1620" t="s">
        <v>462</v>
      </c>
    </row>
    <row r="1621" spans="1:4" x14ac:dyDescent="0.25">
      <c r="A1621" t="s">
        <v>446</v>
      </c>
      <c r="B1621">
        <v>21</v>
      </c>
      <c r="C1621" t="s">
        <v>125</v>
      </c>
      <c r="D1621" t="s">
        <v>442</v>
      </c>
    </row>
    <row r="1622" spans="1:4" x14ac:dyDescent="0.25">
      <c r="A1622" t="s">
        <v>358</v>
      </c>
      <c r="B1622">
        <v>20</v>
      </c>
      <c r="C1622" t="s">
        <v>125</v>
      </c>
      <c r="D1622" t="s">
        <v>356</v>
      </c>
    </row>
    <row r="1623" spans="1:4" x14ac:dyDescent="0.25">
      <c r="A1623" t="s">
        <v>200</v>
      </c>
      <c r="B1623">
        <v>19</v>
      </c>
      <c r="C1623" t="s">
        <v>886</v>
      </c>
      <c r="D1623" t="s">
        <v>201</v>
      </c>
    </row>
    <row r="1624" spans="1:4" x14ac:dyDescent="0.25">
      <c r="A1624" t="s">
        <v>449</v>
      </c>
      <c r="B1624">
        <v>18</v>
      </c>
      <c r="C1624" t="s">
        <v>125</v>
      </c>
      <c r="D1624" t="s">
        <v>442</v>
      </c>
    </row>
    <row r="1625" spans="1:4" x14ac:dyDescent="0.25">
      <c r="A1625" t="s">
        <v>217</v>
      </c>
      <c r="B1625">
        <v>18</v>
      </c>
      <c r="C1625" t="s">
        <v>886</v>
      </c>
      <c r="D1625" t="s">
        <v>218</v>
      </c>
    </row>
    <row r="1626" spans="1:4" x14ac:dyDescent="0.25">
      <c r="A1626" t="s">
        <v>324</v>
      </c>
      <c r="B1626">
        <v>15</v>
      </c>
      <c r="C1626" t="s">
        <v>125</v>
      </c>
      <c r="D1626" t="s">
        <v>325</v>
      </c>
    </row>
    <row r="1627" spans="1:4" x14ac:dyDescent="0.25">
      <c r="A1627" t="s">
        <v>357</v>
      </c>
      <c r="B1627">
        <v>15</v>
      </c>
      <c r="C1627" t="s">
        <v>125</v>
      </c>
      <c r="D1627" t="s">
        <v>356</v>
      </c>
    </row>
    <row r="1628" spans="1:4" x14ac:dyDescent="0.25">
      <c r="A1628" t="s">
        <v>220</v>
      </c>
      <c r="B1628">
        <v>14</v>
      </c>
      <c r="C1628" t="s">
        <v>886</v>
      </c>
      <c r="D1628" t="s">
        <v>221</v>
      </c>
    </row>
    <row r="1629" spans="1:4" x14ac:dyDescent="0.25">
      <c r="A1629" t="s">
        <v>260</v>
      </c>
      <c r="B1629">
        <v>12</v>
      </c>
      <c r="C1629" t="s">
        <v>125</v>
      </c>
      <c r="D1629" t="s">
        <v>249</v>
      </c>
    </row>
    <row r="1630" spans="1:4" x14ac:dyDescent="0.25">
      <c r="A1630" t="s">
        <v>473</v>
      </c>
      <c r="B1630">
        <v>11</v>
      </c>
      <c r="C1630" t="s">
        <v>125</v>
      </c>
      <c r="D1630" t="s">
        <v>474</v>
      </c>
    </row>
    <row r="1631" spans="1:4" x14ac:dyDescent="0.25">
      <c r="A1631" t="s">
        <v>299</v>
      </c>
      <c r="B1631">
        <v>10</v>
      </c>
      <c r="C1631" t="s">
        <v>125</v>
      </c>
      <c r="D1631" t="s">
        <v>298</v>
      </c>
    </row>
    <row r="1632" spans="1:4" x14ac:dyDescent="0.25">
      <c r="A1632" t="s">
        <v>251</v>
      </c>
      <c r="B1632">
        <v>8</v>
      </c>
      <c r="C1632" t="s">
        <v>125</v>
      </c>
      <c r="D1632" t="s">
        <v>249</v>
      </c>
    </row>
    <row r="1633" spans="1:4" x14ac:dyDescent="0.25">
      <c r="A1633" t="s">
        <v>293</v>
      </c>
      <c r="B1633">
        <v>7</v>
      </c>
      <c r="C1633" t="s">
        <v>125</v>
      </c>
      <c r="D1633" t="s">
        <v>294</v>
      </c>
    </row>
    <row r="1634" spans="1:4" x14ac:dyDescent="0.25">
      <c r="A1634" t="s">
        <v>340</v>
      </c>
      <c r="B1634">
        <v>7</v>
      </c>
      <c r="C1634" t="s">
        <v>125</v>
      </c>
      <c r="D1634" t="s">
        <v>341</v>
      </c>
    </row>
    <row r="1635" spans="1:4" x14ac:dyDescent="0.25">
      <c r="A1635" t="s">
        <v>471</v>
      </c>
      <c r="B1635">
        <v>5</v>
      </c>
      <c r="C1635" t="s">
        <v>125</v>
      </c>
      <c r="D1635" t="s">
        <v>472</v>
      </c>
    </row>
    <row r="1636" spans="1:4" x14ac:dyDescent="0.25">
      <c r="A1636" t="s">
        <v>468</v>
      </c>
      <c r="B1636">
        <v>4</v>
      </c>
      <c r="C1636" t="s">
        <v>125</v>
      </c>
      <c r="D1636" t="s">
        <v>469</v>
      </c>
    </row>
    <row r="1637" spans="1:4" x14ac:dyDescent="0.25">
      <c r="A1637" t="s">
        <v>257</v>
      </c>
      <c r="B1637">
        <v>3</v>
      </c>
      <c r="C1637" t="s">
        <v>125</v>
      </c>
      <c r="D1637" t="s">
        <v>249</v>
      </c>
    </row>
    <row r="1638" spans="1:4" x14ac:dyDescent="0.25">
      <c r="A1638" t="s">
        <v>60</v>
      </c>
      <c r="B1638">
        <v>27</v>
      </c>
    </row>
    <row r="1639" spans="1:4" x14ac:dyDescent="0.25">
      <c r="A1639" t="s">
        <v>191</v>
      </c>
      <c r="B1639">
        <v>12808</v>
      </c>
      <c r="C1639" t="s">
        <v>886</v>
      </c>
      <c r="D1639" t="s">
        <v>192</v>
      </c>
    </row>
    <row r="1640" spans="1:4" x14ac:dyDescent="0.25">
      <c r="A1640" t="s">
        <v>185</v>
      </c>
      <c r="B1640">
        <v>2257</v>
      </c>
      <c r="C1640" t="s">
        <v>886</v>
      </c>
      <c r="D1640" t="s">
        <v>186</v>
      </c>
    </row>
    <row r="1641" spans="1:4" x14ac:dyDescent="0.25">
      <c r="A1641" t="s">
        <v>188</v>
      </c>
      <c r="B1641">
        <v>597</v>
      </c>
      <c r="C1641" t="s">
        <v>886</v>
      </c>
      <c r="D1641" t="s">
        <v>189</v>
      </c>
    </row>
    <row r="1642" spans="1:4" x14ac:dyDescent="0.25">
      <c r="A1642" t="s">
        <v>206</v>
      </c>
      <c r="B1642">
        <v>441</v>
      </c>
      <c r="C1642" t="s">
        <v>886</v>
      </c>
      <c r="D1642" t="s">
        <v>189</v>
      </c>
    </row>
    <row r="1643" spans="1:4" x14ac:dyDescent="0.25">
      <c r="A1643" t="s">
        <v>314</v>
      </c>
      <c r="B1643">
        <v>202</v>
      </c>
      <c r="C1643" t="s">
        <v>125</v>
      </c>
      <c r="D1643" t="s">
        <v>315</v>
      </c>
    </row>
    <row r="1644" spans="1:4" x14ac:dyDescent="0.25">
      <c r="A1644" t="s">
        <v>208</v>
      </c>
      <c r="B1644">
        <v>201</v>
      </c>
      <c r="C1644" t="s">
        <v>886</v>
      </c>
      <c r="D1644" t="s">
        <v>209</v>
      </c>
    </row>
    <row r="1645" spans="1:4" x14ac:dyDescent="0.25">
      <c r="A1645" t="s">
        <v>317</v>
      </c>
      <c r="B1645">
        <v>121</v>
      </c>
      <c r="C1645" t="s">
        <v>125</v>
      </c>
      <c r="D1645" t="s">
        <v>318</v>
      </c>
    </row>
    <row r="1646" spans="1:4" x14ac:dyDescent="0.25">
      <c r="A1646" t="s">
        <v>194</v>
      </c>
      <c r="B1646">
        <v>97</v>
      </c>
      <c r="C1646" t="s">
        <v>886</v>
      </c>
      <c r="D1646" t="s">
        <v>195</v>
      </c>
    </row>
    <row r="1647" spans="1:4" x14ac:dyDescent="0.25">
      <c r="A1647" t="s">
        <v>358</v>
      </c>
      <c r="B1647">
        <v>55</v>
      </c>
      <c r="C1647" t="s">
        <v>125</v>
      </c>
      <c r="D1647" t="s">
        <v>356</v>
      </c>
    </row>
    <row r="1648" spans="1:4" x14ac:dyDescent="0.25">
      <c r="A1648" t="s">
        <v>419</v>
      </c>
      <c r="B1648">
        <v>49</v>
      </c>
      <c r="C1648" t="s">
        <v>125</v>
      </c>
      <c r="D1648" t="s">
        <v>401</v>
      </c>
    </row>
    <row r="1649" spans="1:4" x14ac:dyDescent="0.25">
      <c r="A1649" t="s">
        <v>326</v>
      </c>
      <c r="B1649">
        <v>34</v>
      </c>
      <c r="C1649" t="s">
        <v>125</v>
      </c>
      <c r="D1649" t="s">
        <v>325</v>
      </c>
    </row>
    <row r="1650" spans="1:4" x14ac:dyDescent="0.25">
      <c r="A1650" t="s">
        <v>340</v>
      </c>
      <c r="B1650">
        <v>27</v>
      </c>
      <c r="C1650" t="s">
        <v>125</v>
      </c>
      <c r="D1650" t="s">
        <v>341</v>
      </c>
    </row>
    <row r="1651" spans="1:4" x14ac:dyDescent="0.25">
      <c r="A1651" t="s">
        <v>266</v>
      </c>
      <c r="B1651">
        <v>24</v>
      </c>
      <c r="C1651" t="s">
        <v>125</v>
      </c>
      <c r="D1651" t="s">
        <v>249</v>
      </c>
    </row>
    <row r="1652" spans="1:4" x14ac:dyDescent="0.25">
      <c r="A1652" t="s">
        <v>479</v>
      </c>
      <c r="B1652">
        <v>23</v>
      </c>
      <c r="C1652" t="s">
        <v>125</v>
      </c>
      <c r="D1652" t="s">
        <v>478</v>
      </c>
    </row>
    <row r="1653" spans="1:4" x14ac:dyDescent="0.25">
      <c r="A1653" t="s">
        <v>446</v>
      </c>
      <c r="B1653">
        <v>21</v>
      </c>
      <c r="C1653" t="s">
        <v>125</v>
      </c>
      <c r="D1653" t="s">
        <v>442</v>
      </c>
    </row>
    <row r="1654" spans="1:4" x14ac:dyDescent="0.25">
      <c r="A1654" t="s">
        <v>200</v>
      </c>
      <c r="B1654">
        <v>17</v>
      </c>
      <c r="C1654" t="s">
        <v>886</v>
      </c>
      <c r="D1654" t="s">
        <v>201</v>
      </c>
    </row>
    <row r="1655" spans="1:4" x14ac:dyDescent="0.25">
      <c r="A1655" t="s">
        <v>217</v>
      </c>
      <c r="B1655">
        <v>15</v>
      </c>
      <c r="C1655" t="s">
        <v>886</v>
      </c>
      <c r="D1655" t="s">
        <v>218</v>
      </c>
    </row>
    <row r="1656" spans="1:4" x14ac:dyDescent="0.25">
      <c r="A1656" t="s">
        <v>251</v>
      </c>
      <c r="B1656">
        <v>14</v>
      </c>
      <c r="C1656" t="s">
        <v>125</v>
      </c>
      <c r="D1656" t="s">
        <v>249</v>
      </c>
    </row>
    <row r="1657" spans="1:4" x14ac:dyDescent="0.25">
      <c r="A1657" t="s">
        <v>357</v>
      </c>
      <c r="B1657">
        <v>10</v>
      </c>
      <c r="C1657" t="s">
        <v>125</v>
      </c>
      <c r="D1657" t="s">
        <v>356</v>
      </c>
    </row>
    <row r="1658" spans="1:4" x14ac:dyDescent="0.25">
      <c r="A1658" t="s">
        <v>355</v>
      </c>
      <c r="B1658">
        <v>10</v>
      </c>
      <c r="C1658" t="s">
        <v>125</v>
      </c>
      <c r="D1658" t="s">
        <v>356</v>
      </c>
    </row>
    <row r="1659" spans="1:4" x14ac:dyDescent="0.25">
      <c r="A1659" t="s">
        <v>471</v>
      </c>
      <c r="B1659">
        <v>9</v>
      </c>
      <c r="C1659" t="s">
        <v>125</v>
      </c>
      <c r="D1659" t="s">
        <v>472</v>
      </c>
    </row>
    <row r="1660" spans="1:4" x14ac:dyDescent="0.25">
      <c r="A1660" t="s">
        <v>473</v>
      </c>
      <c r="B1660">
        <v>8</v>
      </c>
      <c r="C1660" t="s">
        <v>125</v>
      </c>
      <c r="D1660" t="s">
        <v>474</v>
      </c>
    </row>
    <row r="1661" spans="1:4" x14ac:dyDescent="0.25">
      <c r="A1661" t="s">
        <v>289</v>
      </c>
      <c r="B1661">
        <v>8</v>
      </c>
      <c r="C1661" t="s">
        <v>125</v>
      </c>
      <c r="D1661" t="s">
        <v>290</v>
      </c>
    </row>
    <row r="1662" spans="1:4" x14ac:dyDescent="0.25">
      <c r="A1662" t="s">
        <v>270</v>
      </c>
      <c r="B1662">
        <v>8</v>
      </c>
      <c r="C1662" t="s">
        <v>125</v>
      </c>
      <c r="D1662" t="s">
        <v>249</v>
      </c>
    </row>
    <row r="1663" spans="1:4" x14ac:dyDescent="0.25">
      <c r="A1663" t="s">
        <v>482</v>
      </c>
      <c r="B1663">
        <v>7</v>
      </c>
      <c r="C1663" t="s">
        <v>125</v>
      </c>
      <c r="D1663" t="s">
        <v>478</v>
      </c>
    </row>
    <row r="1664" spans="1:4" x14ac:dyDescent="0.25">
      <c r="A1664" t="s">
        <v>453</v>
      </c>
      <c r="B1664">
        <v>7</v>
      </c>
      <c r="C1664" t="s">
        <v>125</v>
      </c>
      <c r="D1664" t="s">
        <v>442</v>
      </c>
    </row>
    <row r="1665" spans="1:4" x14ac:dyDescent="0.25">
      <c r="A1665" t="s">
        <v>304</v>
      </c>
      <c r="B1665">
        <v>3</v>
      </c>
      <c r="C1665" t="s">
        <v>125</v>
      </c>
      <c r="D1665" t="s">
        <v>305</v>
      </c>
    </row>
    <row r="1666" spans="1:4" x14ac:dyDescent="0.25">
      <c r="A1666" t="s">
        <v>61</v>
      </c>
      <c r="B1666">
        <v>22</v>
      </c>
    </row>
    <row r="1667" spans="1:4" x14ac:dyDescent="0.25">
      <c r="A1667" t="s">
        <v>200</v>
      </c>
      <c r="B1667">
        <v>718</v>
      </c>
      <c r="C1667" t="s">
        <v>886</v>
      </c>
      <c r="D1667" t="s">
        <v>201</v>
      </c>
    </row>
    <row r="1668" spans="1:4" x14ac:dyDescent="0.25">
      <c r="A1668" t="s">
        <v>208</v>
      </c>
      <c r="B1668">
        <v>529</v>
      </c>
      <c r="C1668" t="s">
        <v>886</v>
      </c>
      <c r="D1668" t="s">
        <v>209</v>
      </c>
    </row>
    <row r="1669" spans="1:4" x14ac:dyDescent="0.25">
      <c r="A1669" t="s">
        <v>366</v>
      </c>
      <c r="B1669">
        <v>385</v>
      </c>
      <c r="C1669" t="s">
        <v>125</v>
      </c>
      <c r="D1669" t="s">
        <v>365</v>
      </c>
    </row>
    <row r="1670" spans="1:4" x14ac:dyDescent="0.25">
      <c r="A1670" t="s">
        <v>372</v>
      </c>
      <c r="B1670">
        <v>362</v>
      </c>
      <c r="C1670" t="s">
        <v>125</v>
      </c>
      <c r="D1670" t="s">
        <v>373</v>
      </c>
    </row>
    <row r="1671" spans="1:4" x14ac:dyDescent="0.25">
      <c r="A1671" t="s">
        <v>248</v>
      </c>
      <c r="B1671">
        <v>358</v>
      </c>
      <c r="C1671" t="s">
        <v>125</v>
      </c>
      <c r="D1671" t="s">
        <v>249</v>
      </c>
    </row>
    <row r="1672" spans="1:4" x14ac:dyDescent="0.25">
      <c r="A1672" t="s">
        <v>250</v>
      </c>
      <c r="B1672">
        <v>348</v>
      </c>
      <c r="C1672" t="s">
        <v>125</v>
      </c>
      <c r="D1672" t="s">
        <v>249</v>
      </c>
    </row>
    <row r="1673" spans="1:4" x14ac:dyDescent="0.25">
      <c r="A1673" t="s">
        <v>194</v>
      </c>
      <c r="B1673">
        <v>292</v>
      </c>
      <c r="C1673" t="s">
        <v>886</v>
      </c>
      <c r="D1673" t="s">
        <v>195</v>
      </c>
    </row>
    <row r="1674" spans="1:4" x14ac:dyDescent="0.25">
      <c r="A1674" t="s">
        <v>441</v>
      </c>
      <c r="B1674">
        <v>253</v>
      </c>
      <c r="C1674" t="s">
        <v>125</v>
      </c>
      <c r="D1674" t="s">
        <v>442</v>
      </c>
    </row>
    <row r="1675" spans="1:4" x14ac:dyDescent="0.25">
      <c r="A1675" t="s">
        <v>257</v>
      </c>
      <c r="B1675">
        <v>249</v>
      </c>
      <c r="C1675" t="s">
        <v>125</v>
      </c>
      <c r="D1675" t="s">
        <v>249</v>
      </c>
    </row>
    <row r="1676" spans="1:4" x14ac:dyDescent="0.25">
      <c r="A1676" t="s">
        <v>307</v>
      </c>
      <c r="B1676">
        <v>186</v>
      </c>
      <c r="C1676" t="s">
        <v>125</v>
      </c>
      <c r="D1676" t="s">
        <v>308</v>
      </c>
    </row>
    <row r="1677" spans="1:4" x14ac:dyDescent="0.25">
      <c r="A1677" t="s">
        <v>265</v>
      </c>
      <c r="B1677">
        <v>149</v>
      </c>
      <c r="C1677" t="s">
        <v>125</v>
      </c>
      <c r="D1677" t="s">
        <v>249</v>
      </c>
    </row>
    <row r="1678" spans="1:4" x14ac:dyDescent="0.25">
      <c r="A1678" t="s">
        <v>429</v>
      </c>
      <c r="B1678">
        <v>136</v>
      </c>
      <c r="C1678" t="s">
        <v>125</v>
      </c>
      <c r="D1678" t="s">
        <v>401</v>
      </c>
    </row>
    <row r="1679" spans="1:4" x14ac:dyDescent="0.25">
      <c r="A1679" t="s">
        <v>191</v>
      </c>
      <c r="B1679">
        <v>116</v>
      </c>
      <c r="C1679" t="s">
        <v>886</v>
      </c>
      <c r="D1679" t="s">
        <v>192</v>
      </c>
    </row>
    <row r="1680" spans="1:4" x14ac:dyDescent="0.25">
      <c r="A1680" t="s">
        <v>254</v>
      </c>
      <c r="B1680">
        <v>115</v>
      </c>
      <c r="C1680" t="s">
        <v>125</v>
      </c>
      <c r="D1680" t="s">
        <v>249</v>
      </c>
    </row>
    <row r="1681" spans="1:4" x14ac:dyDescent="0.25">
      <c r="A1681" t="s">
        <v>276</v>
      </c>
      <c r="B1681">
        <v>106</v>
      </c>
      <c r="C1681" t="s">
        <v>125</v>
      </c>
      <c r="D1681" t="s">
        <v>249</v>
      </c>
    </row>
    <row r="1682" spans="1:4" x14ac:dyDescent="0.25">
      <c r="A1682" t="s">
        <v>383</v>
      </c>
      <c r="B1682">
        <v>100</v>
      </c>
      <c r="C1682" t="s">
        <v>125</v>
      </c>
      <c r="D1682" t="s">
        <v>382</v>
      </c>
    </row>
    <row r="1683" spans="1:4" x14ac:dyDescent="0.25">
      <c r="A1683" t="s">
        <v>295</v>
      </c>
      <c r="B1683">
        <v>86</v>
      </c>
      <c r="C1683" t="s">
        <v>125</v>
      </c>
      <c r="D1683" t="s">
        <v>296</v>
      </c>
    </row>
    <row r="1684" spans="1:4" x14ac:dyDescent="0.25">
      <c r="A1684" t="s">
        <v>335</v>
      </c>
      <c r="B1684">
        <v>85</v>
      </c>
      <c r="C1684" t="s">
        <v>125</v>
      </c>
      <c r="D1684" t="s">
        <v>336</v>
      </c>
    </row>
    <row r="1685" spans="1:4" x14ac:dyDescent="0.25">
      <c r="A1685" t="s">
        <v>328</v>
      </c>
      <c r="B1685">
        <v>83</v>
      </c>
      <c r="C1685" t="s">
        <v>125</v>
      </c>
      <c r="D1685" t="s">
        <v>325</v>
      </c>
    </row>
    <row r="1686" spans="1:4" x14ac:dyDescent="0.25">
      <c r="A1686" t="s">
        <v>385</v>
      </c>
      <c r="B1686">
        <v>76</v>
      </c>
      <c r="C1686" t="s">
        <v>125</v>
      </c>
      <c r="D1686" t="s">
        <v>386</v>
      </c>
    </row>
    <row r="1687" spans="1:4" x14ac:dyDescent="0.25">
      <c r="A1687" t="s">
        <v>387</v>
      </c>
      <c r="B1687">
        <v>63</v>
      </c>
      <c r="C1687" t="s">
        <v>125</v>
      </c>
      <c r="D1687" t="s">
        <v>388</v>
      </c>
    </row>
    <row r="1688" spans="1:4" x14ac:dyDescent="0.25">
      <c r="A1688" t="s">
        <v>297</v>
      </c>
      <c r="B1688">
        <v>54</v>
      </c>
      <c r="C1688" t="s">
        <v>125</v>
      </c>
      <c r="D1688" t="s">
        <v>298</v>
      </c>
    </row>
    <row r="1689" spans="1:4" x14ac:dyDescent="0.25">
      <c r="A1689" t="s">
        <v>62</v>
      </c>
      <c r="B1689">
        <v>37</v>
      </c>
    </row>
    <row r="1690" spans="1:4" x14ac:dyDescent="0.25">
      <c r="A1690" t="s">
        <v>185</v>
      </c>
      <c r="B1690">
        <v>727</v>
      </c>
      <c r="C1690" t="s">
        <v>886</v>
      </c>
      <c r="D1690" t="s">
        <v>186</v>
      </c>
    </row>
    <row r="1691" spans="1:4" x14ac:dyDescent="0.25">
      <c r="A1691" t="s">
        <v>197</v>
      </c>
      <c r="B1691">
        <v>636</v>
      </c>
      <c r="C1691" t="s">
        <v>886</v>
      </c>
      <c r="D1691" t="s">
        <v>198</v>
      </c>
    </row>
    <row r="1692" spans="1:4" x14ac:dyDescent="0.25">
      <c r="A1692" t="s">
        <v>194</v>
      </c>
      <c r="B1692">
        <v>583</v>
      </c>
      <c r="C1692" t="s">
        <v>886</v>
      </c>
      <c r="D1692" t="s">
        <v>195</v>
      </c>
    </row>
    <row r="1693" spans="1:4" x14ac:dyDescent="0.25">
      <c r="A1693" t="s">
        <v>200</v>
      </c>
      <c r="B1693">
        <v>570</v>
      </c>
      <c r="C1693" t="s">
        <v>886</v>
      </c>
      <c r="D1693" t="s">
        <v>201</v>
      </c>
    </row>
    <row r="1694" spans="1:4" x14ac:dyDescent="0.25">
      <c r="A1694" t="s">
        <v>307</v>
      </c>
      <c r="B1694">
        <v>497</v>
      </c>
      <c r="C1694" t="s">
        <v>125</v>
      </c>
      <c r="D1694" t="s">
        <v>308</v>
      </c>
    </row>
    <row r="1695" spans="1:4" x14ac:dyDescent="0.25">
      <c r="A1695" t="s">
        <v>188</v>
      </c>
      <c r="B1695">
        <v>457</v>
      </c>
      <c r="C1695" t="s">
        <v>886</v>
      </c>
      <c r="D1695" t="s">
        <v>189</v>
      </c>
    </row>
    <row r="1696" spans="1:4" x14ac:dyDescent="0.25">
      <c r="A1696" t="s">
        <v>191</v>
      </c>
      <c r="B1696">
        <v>402</v>
      </c>
      <c r="C1696" t="s">
        <v>886</v>
      </c>
      <c r="D1696" t="s">
        <v>192</v>
      </c>
    </row>
    <row r="1697" spans="1:4" x14ac:dyDescent="0.25">
      <c r="A1697" t="s">
        <v>375</v>
      </c>
      <c r="B1697">
        <v>371</v>
      </c>
      <c r="C1697" t="s">
        <v>125</v>
      </c>
      <c r="D1697" t="s">
        <v>373</v>
      </c>
    </row>
    <row r="1698" spans="1:4" x14ac:dyDescent="0.25">
      <c r="A1698" t="s">
        <v>248</v>
      </c>
      <c r="B1698">
        <v>368</v>
      </c>
      <c r="C1698" t="s">
        <v>125</v>
      </c>
      <c r="D1698" t="s">
        <v>249</v>
      </c>
    </row>
    <row r="1699" spans="1:4" x14ac:dyDescent="0.25">
      <c r="A1699" t="s">
        <v>226</v>
      </c>
      <c r="B1699">
        <v>301</v>
      </c>
      <c r="C1699" t="s">
        <v>886</v>
      </c>
      <c r="D1699" t="s">
        <v>227</v>
      </c>
    </row>
    <row r="1700" spans="1:4" x14ac:dyDescent="0.25">
      <c r="A1700" t="s">
        <v>404</v>
      </c>
      <c r="B1700">
        <v>218</v>
      </c>
      <c r="C1700" t="s">
        <v>125</v>
      </c>
      <c r="D1700" t="s">
        <v>401</v>
      </c>
    </row>
    <row r="1701" spans="1:4" x14ac:dyDescent="0.25">
      <c r="A1701" t="s">
        <v>206</v>
      </c>
      <c r="B1701">
        <v>212</v>
      </c>
      <c r="C1701" t="s">
        <v>886</v>
      </c>
      <c r="D1701" t="s">
        <v>189</v>
      </c>
    </row>
    <row r="1702" spans="1:4" x14ac:dyDescent="0.25">
      <c r="A1702" t="s">
        <v>265</v>
      </c>
      <c r="B1702">
        <v>184</v>
      </c>
      <c r="C1702" t="s">
        <v>125</v>
      </c>
      <c r="D1702" t="s">
        <v>249</v>
      </c>
    </row>
    <row r="1703" spans="1:4" x14ac:dyDescent="0.25">
      <c r="A1703" t="s">
        <v>291</v>
      </c>
      <c r="B1703">
        <v>181</v>
      </c>
      <c r="C1703" t="s">
        <v>125</v>
      </c>
      <c r="D1703" t="s">
        <v>290</v>
      </c>
    </row>
    <row r="1704" spans="1:4" x14ac:dyDescent="0.25">
      <c r="A1704" t="s">
        <v>403</v>
      </c>
      <c r="B1704">
        <v>150</v>
      </c>
      <c r="C1704" t="s">
        <v>125</v>
      </c>
      <c r="D1704" t="s">
        <v>401</v>
      </c>
    </row>
    <row r="1705" spans="1:4" x14ac:dyDescent="0.25">
      <c r="A1705" t="s">
        <v>340</v>
      </c>
      <c r="B1705">
        <v>147</v>
      </c>
      <c r="C1705" t="s">
        <v>125</v>
      </c>
      <c r="D1705" t="s">
        <v>341</v>
      </c>
    </row>
    <row r="1706" spans="1:4" x14ac:dyDescent="0.25">
      <c r="A1706" t="s">
        <v>407</v>
      </c>
      <c r="B1706">
        <v>121</v>
      </c>
      <c r="C1706" t="s">
        <v>125</v>
      </c>
      <c r="D1706" t="s">
        <v>401</v>
      </c>
    </row>
    <row r="1707" spans="1:4" x14ac:dyDescent="0.25">
      <c r="A1707" t="s">
        <v>372</v>
      </c>
      <c r="B1707">
        <v>117</v>
      </c>
      <c r="C1707" t="s">
        <v>125</v>
      </c>
      <c r="D1707" t="s">
        <v>373</v>
      </c>
    </row>
    <row r="1708" spans="1:4" x14ac:dyDescent="0.25">
      <c r="A1708" t="s">
        <v>255</v>
      </c>
      <c r="B1708">
        <v>104</v>
      </c>
      <c r="C1708" t="s">
        <v>125</v>
      </c>
      <c r="D1708" t="s">
        <v>249</v>
      </c>
    </row>
    <row r="1709" spans="1:4" x14ac:dyDescent="0.25">
      <c r="A1709" t="s">
        <v>400</v>
      </c>
      <c r="B1709">
        <v>97</v>
      </c>
      <c r="C1709" t="s">
        <v>125</v>
      </c>
      <c r="D1709" t="s">
        <v>401</v>
      </c>
    </row>
    <row r="1710" spans="1:4" x14ac:dyDescent="0.25">
      <c r="A1710" t="s">
        <v>402</v>
      </c>
      <c r="B1710">
        <v>95</v>
      </c>
      <c r="C1710" t="s">
        <v>125</v>
      </c>
      <c r="D1710" t="s">
        <v>401</v>
      </c>
    </row>
    <row r="1711" spans="1:4" x14ac:dyDescent="0.25">
      <c r="A1711" t="s">
        <v>276</v>
      </c>
      <c r="B1711">
        <v>91</v>
      </c>
      <c r="C1711" t="s">
        <v>125</v>
      </c>
      <c r="D1711" t="s">
        <v>249</v>
      </c>
    </row>
    <row r="1712" spans="1:4" x14ac:dyDescent="0.25">
      <c r="A1712" t="s">
        <v>468</v>
      </c>
      <c r="B1712">
        <v>82</v>
      </c>
      <c r="C1712" t="s">
        <v>125</v>
      </c>
      <c r="D1712" t="s">
        <v>469</v>
      </c>
    </row>
    <row r="1713" spans="1:4" x14ac:dyDescent="0.25">
      <c r="A1713" t="s">
        <v>326</v>
      </c>
      <c r="B1713">
        <v>81</v>
      </c>
      <c r="C1713" t="s">
        <v>125</v>
      </c>
      <c r="D1713" t="s">
        <v>325</v>
      </c>
    </row>
    <row r="1714" spans="1:4" x14ac:dyDescent="0.25">
      <c r="A1714" t="s">
        <v>253</v>
      </c>
      <c r="B1714">
        <v>73</v>
      </c>
      <c r="C1714" t="s">
        <v>125</v>
      </c>
      <c r="D1714" t="s">
        <v>249</v>
      </c>
    </row>
    <row r="1715" spans="1:4" x14ac:dyDescent="0.25">
      <c r="A1715" t="s">
        <v>257</v>
      </c>
      <c r="B1715">
        <v>71</v>
      </c>
      <c r="C1715" t="s">
        <v>125</v>
      </c>
      <c r="D1715" t="s">
        <v>249</v>
      </c>
    </row>
    <row r="1716" spans="1:4" x14ac:dyDescent="0.25">
      <c r="A1716" t="s">
        <v>316</v>
      </c>
      <c r="B1716">
        <v>58</v>
      </c>
      <c r="C1716" t="s">
        <v>125</v>
      </c>
      <c r="D1716" t="s">
        <v>315</v>
      </c>
    </row>
    <row r="1717" spans="1:4" x14ac:dyDescent="0.25">
      <c r="A1717" t="s">
        <v>445</v>
      </c>
      <c r="B1717">
        <v>51</v>
      </c>
      <c r="C1717" t="s">
        <v>125</v>
      </c>
      <c r="D1717" t="s">
        <v>442</v>
      </c>
    </row>
    <row r="1718" spans="1:4" x14ac:dyDescent="0.25">
      <c r="A1718" t="s">
        <v>264</v>
      </c>
      <c r="B1718">
        <v>47</v>
      </c>
      <c r="C1718" t="s">
        <v>125</v>
      </c>
      <c r="D1718" t="s">
        <v>249</v>
      </c>
    </row>
    <row r="1719" spans="1:4" x14ac:dyDescent="0.25">
      <c r="A1719" t="s">
        <v>440</v>
      </c>
      <c r="B1719">
        <v>46</v>
      </c>
      <c r="C1719" t="s">
        <v>125</v>
      </c>
      <c r="D1719" t="s">
        <v>401</v>
      </c>
    </row>
    <row r="1720" spans="1:4" x14ac:dyDescent="0.25">
      <c r="A1720" t="s">
        <v>314</v>
      </c>
      <c r="B1720">
        <v>43</v>
      </c>
      <c r="C1720" t="s">
        <v>125</v>
      </c>
      <c r="D1720" t="s">
        <v>315</v>
      </c>
    </row>
    <row r="1721" spans="1:4" x14ac:dyDescent="0.25">
      <c r="A1721" t="s">
        <v>208</v>
      </c>
      <c r="B1721">
        <v>31</v>
      </c>
      <c r="C1721" t="s">
        <v>886</v>
      </c>
      <c r="D1721" t="s">
        <v>209</v>
      </c>
    </row>
    <row r="1722" spans="1:4" x14ac:dyDescent="0.25">
      <c r="A1722" t="s">
        <v>254</v>
      </c>
      <c r="B1722">
        <v>28</v>
      </c>
      <c r="C1722" t="s">
        <v>125</v>
      </c>
      <c r="D1722" t="s">
        <v>249</v>
      </c>
    </row>
    <row r="1723" spans="1:4" x14ac:dyDescent="0.25">
      <c r="A1723" t="s">
        <v>415</v>
      </c>
      <c r="B1723">
        <v>27</v>
      </c>
      <c r="C1723" t="s">
        <v>125</v>
      </c>
      <c r="D1723" t="s">
        <v>401</v>
      </c>
    </row>
    <row r="1724" spans="1:4" x14ac:dyDescent="0.25">
      <c r="A1724" t="s">
        <v>295</v>
      </c>
      <c r="B1724">
        <v>26</v>
      </c>
      <c r="C1724" t="s">
        <v>125</v>
      </c>
      <c r="D1724" t="s">
        <v>296</v>
      </c>
    </row>
    <row r="1725" spans="1:4" x14ac:dyDescent="0.25">
      <c r="A1725" t="s">
        <v>359</v>
      </c>
      <c r="B1725">
        <v>26</v>
      </c>
      <c r="C1725" t="s">
        <v>125</v>
      </c>
      <c r="D1725" t="s">
        <v>360</v>
      </c>
    </row>
    <row r="1726" spans="1:4" x14ac:dyDescent="0.25">
      <c r="A1726" t="s">
        <v>214</v>
      </c>
      <c r="B1726">
        <v>21</v>
      </c>
      <c r="C1726" t="s">
        <v>886</v>
      </c>
      <c r="D1726" t="s">
        <v>215</v>
      </c>
    </row>
    <row r="1727" spans="1:4" x14ac:dyDescent="0.25">
      <c r="A1727" t="s">
        <v>63</v>
      </c>
      <c r="B1727">
        <v>10</v>
      </c>
    </row>
    <row r="1728" spans="1:4" x14ac:dyDescent="0.25">
      <c r="A1728" t="s">
        <v>185</v>
      </c>
      <c r="B1728">
        <v>12982</v>
      </c>
      <c r="C1728" t="s">
        <v>886</v>
      </c>
      <c r="D1728" t="s">
        <v>186</v>
      </c>
    </row>
    <row r="1729" spans="1:4" x14ac:dyDescent="0.25">
      <c r="A1729" t="s">
        <v>340</v>
      </c>
      <c r="B1729">
        <v>716</v>
      </c>
      <c r="C1729" t="s">
        <v>125</v>
      </c>
      <c r="D1729" t="s">
        <v>341</v>
      </c>
    </row>
    <row r="1730" spans="1:4" x14ac:dyDescent="0.25">
      <c r="A1730" t="s">
        <v>191</v>
      </c>
      <c r="B1730">
        <v>424</v>
      </c>
      <c r="C1730" t="s">
        <v>886</v>
      </c>
      <c r="D1730" t="s">
        <v>192</v>
      </c>
    </row>
    <row r="1731" spans="1:4" x14ac:dyDescent="0.25">
      <c r="A1731" t="s">
        <v>203</v>
      </c>
      <c r="B1731">
        <v>134</v>
      </c>
      <c r="C1731" t="s">
        <v>886</v>
      </c>
      <c r="D1731" t="s">
        <v>204</v>
      </c>
    </row>
    <row r="1732" spans="1:4" x14ac:dyDescent="0.25">
      <c r="A1732" t="s">
        <v>320</v>
      </c>
      <c r="B1732">
        <v>124</v>
      </c>
      <c r="C1732" t="s">
        <v>125</v>
      </c>
      <c r="D1732" t="s">
        <v>321</v>
      </c>
    </row>
    <row r="1733" spans="1:4" x14ac:dyDescent="0.25">
      <c r="A1733" t="s">
        <v>214</v>
      </c>
      <c r="B1733">
        <v>109</v>
      </c>
      <c r="C1733" t="s">
        <v>886</v>
      </c>
      <c r="D1733" t="s">
        <v>215</v>
      </c>
    </row>
    <row r="1734" spans="1:4" x14ac:dyDescent="0.25">
      <c r="A1734" t="s">
        <v>234</v>
      </c>
      <c r="B1734">
        <v>57</v>
      </c>
      <c r="C1734" t="s">
        <v>886</v>
      </c>
      <c r="D1734" t="s">
        <v>235</v>
      </c>
    </row>
    <row r="1735" spans="1:4" x14ac:dyDescent="0.25">
      <c r="A1735" t="s">
        <v>258</v>
      </c>
      <c r="B1735">
        <v>37</v>
      </c>
      <c r="C1735" t="s">
        <v>125</v>
      </c>
      <c r="D1735" t="s">
        <v>249</v>
      </c>
    </row>
    <row r="1736" spans="1:4" x14ac:dyDescent="0.25">
      <c r="A1736" t="s">
        <v>208</v>
      </c>
      <c r="B1736">
        <v>25</v>
      </c>
      <c r="C1736" t="s">
        <v>886</v>
      </c>
      <c r="D1736" t="s">
        <v>209</v>
      </c>
    </row>
    <row r="1737" spans="1:4" x14ac:dyDescent="0.25">
      <c r="A1737" t="s">
        <v>449</v>
      </c>
      <c r="B1737">
        <v>5</v>
      </c>
      <c r="C1737" t="s">
        <v>125</v>
      </c>
      <c r="D1737" t="s">
        <v>442</v>
      </c>
    </row>
    <row r="1738" spans="1:4" x14ac:dyDescent="0.25">
      <c r="A1738" t="s">
        <v>64</v>
      </c>
      <c r="B1738">
        <v>24</v>
      </c>
    </row>
    <row r="1739" spans="1:4" x14ac:dyDescent="0.25">
      <c r="A1739" t="s">
        <v>191</v>
      </c>
      <c r="B1739">
        <v>8784</v>
      </c>
      <c r="C1739" t="s">
        <v>886</v>
      </c>
      <c r="D1739" t="s">
        <v>192</v>
      </c>
    </row>
    <row r="1740" spans="1:4" x14ac:dyDescent="0.25">
      <c r="A1740" t="s">
        <v>185</v>
      </c>
      <c r="B1740">
        <v>3296</v>
      </c>
      <c r="C1740" t="s">
        <v>886</v>
      </c>
      <c r="D1740" t="s">
        <v>186</v>
      </c>
    </row>
    <row r="1741" spans="1:4" x14ac:dyDescent="0.25">
      <c r="A1741" t="s">
        <v>206</v>
      </c>
      <c r="B1741">
        <v>1498</v>
      </c>
      <c r="C1741" t="s">
        <v>886</v>
      </c>
      <c r="D1741" t="s">
        <v>189</v>
      </c>
    </row>
    <row r="1742" spans="1:4" x14ac:dyDescent="0.25">
      <c r="A1742" t="s">
        <v>188</v>
      </c>
      <c r="B1742">
        <v>1057</v>
      </c>
      <c r="C1742" t="s">
        <v>886</v>
      </c>
      <c r="D1742" t="s">
        <v>189</v>
      </c>
    </row>
    <row r="1743" spans="1:4" x14ac:dyDescent="0.25">
      <c r="A1743" t="s">
        <v>353</v>
      </c>
      <c r="B1743">
        <v>129</v>
      </c>
      <c r="C1743" t="s">
        <v>125</v>
      </c>
      <c r="D1743" t="s">
        <v>354</v>
      </c>
    </row>
    <row r="1744" spans="1:4" x14ac:dyDescent="0.25">
      <c r="A1744" t="s">
        <v>295</v>
      </c>
      <c r="B1744">
        <v>72</v>
      </c>
      <c r="C1744" t="s">
        <v>125</v>
      </c>
      <c r="D1744" t="s">
        <v>296</v>
      </c>
    </row>
    <row r="1745" spans="1:4" x14ac:dyDescent="0.25">
      <c r="A1745" t="s">
        <v>250</v>
      </c>
      <c r="B1745">
        <v>46</v>
      </c>
      <c r="C1745" t="s">
        <v>125</v>
      </c>
      <c r="D1745" t="s">
        <v>249</v>
      </c>
    </row>
    <row r="1746" spans="1:4" x14ac:dyDescent="0.25">
      <c r="A1746" t="s">
        <v>248</v>
      </c>
      <c r="B1746">
        <v>31</v>
      </c>
      <c r="C1746" t="s">
        <v>125</v>
      </c>
      <c r="D1746" t="s">
        <v>249</v>
      </c>
    </row>
    <row r="1747" spans="1:4" x14ac:dyDescent="0.25">
      <c r="A1747" t="s">
        <v>208</v>
      </c>
      <c r="B1747">
        <v>31</v>
      </c>
      <c r="C1747" t="s">
        <v>886</v>
      </c>
      <c r="D1747" t="s">
        <v>209</v>
      </c>
    </row>
    <row r="1748" spans="1:4" x14ac:dyDescent="0.25">
      <c r="A1748" t="s">
        <v>194</v>
      </c>
      <c r="B1748">
        <v>30</v>
      </c>
      <c r="C1748" t="s">
        <v>886</v>
      </c>
      <c r="D1748" t="s">
        <v>195</v>
      </c>
    </row>
    <row r="1749" spans="1:4" x14ac:dyDescent="0.25">
      <c r="A1749" t="s">
        <v>200</v>
      </c>
      <c r="B1749">
        <v>27</v>
      </c>
      <c r="C1749" t="s">
        <v>886</v>
      </c>
      <c r="D1749" t="s">
        <v>201</v>
      </c>
    </row>
    <row r="1750" spans="1:4" x14ac:dyDescent="0.25">
      <c r="A1750" t="s">
        <v>403</v>
      </c>
      <c r="B1750">
        <v>20</v>
      </c>
      <c r="C1750" t="s">
        <v>125</v>
      </c>
      <c r="D1750" t="s">
        <v>401</v>
      </c>
    </row>
    <row r="1751" spans="1:4" x14ac:dyDescent="0.25">
      <c r="A1751" t="s">
        <v>366</v>
      </c>
      <c r="B1751">
        <v>20</v>
      </c>
      <c r="C1751" t="s">
        <v>125</v>
      </c>
      <c r="D1751" t="s">
        <v>365</v>
      </c>
    </row>
    <row r="1752" spans="1:4" x14ac:dyDescent="0.25">
      <c r="A1752" t="s">
        <v>276</v>
      </c>
      <c r="B1752">
        <v>13</v>
      </c>
      <c r="C1752" t="s">
        <v>125</v>
      </c>
      <c r="D1752" t="s">
        <v>249</v>
      </c>
    </row>
    <row r="1753" spans="1:4" x14ac:dyDescent="0.25">
      <c r="A1753" t="s">
        <v>487</v>
      </c>
      <c r="B1753">
        <v>12</v>
      </c>
      <c r="C1753" t="s">
        <v>125</v>
      </c>
      <c r="D1753" t="s">
        <v>488</v>
      </c>
    </row>
    <row r="1754" spans="1:4" x14ac:dyDescent="0.25">
      <c r="A1754" t="s">
        <v>281</v>
      </c>
      <c r="B1754">
        <v>11</v>
      </c>
      <c r="C1754" t="s">
        <v>125</v>
      </c>
      <c r="D1754" t="s">
        <v>249</v>
      </c>
    </row>
    <row r="1755" spans="1:4" x14ac:dyDescent="0.25">
      <c r="A1755" t="s">
        <v>402</v>
      </c>
      <c r="B1755">
        <v>11</v>
      </c>
      <c r="C1755" t="s">
        <v>125</v>
      </c>
      <c r="D1755" t="s">
        <v>401</v>
      </c>
    </row>
    <row r="1756" spans="1:4" x14ac:dyDescent="0.25">
      <c r="A1756" t="s">
        <v>307</v>
      </c>
      <c r="B1756">
        <v>10</v>
      </c>
      <c r="C1756" t="s">
        <v>125</v>
      </c>
      <c r="D1756" t="s">
        <v>308</v>
      </c>
    </row>
    <row r="1757" spans="1:4" x14ac:dyDescent="0.25">
      <c r="A1757" t="s">
        <v>270</v>
      </c>
      <c r="B1757">
        <v>9</v>
      </c>
      <c r="C1757" t="s">
        <v>125</v>
      </c>
      <c r="D1757" t="s">
        <v>249</v>
      </c>
    </row>
    <row r="1758" spans="1:4" x14ac:dyDescent="0.25">
      <c r="A1758" t="s">
        <v>404</v>
      </c>
      <c r="B1758">
        <v>8</v>
      </c>
      <c r="C1758" t="s">
        <v>125</v>
      </c>
      <c r="D1758" t="s">
        <v>401</v>
      </c>
    </row>
    <row r="1759" spans="1:4" x14ac:dyDescent="0.25">
      <c r="A1759" t="s">
        <v>459</v>
      </c>
      <c r="B1759">
        <v>8</v>
      </c>
      <c r="C1759" t="s">
        <v>125</v>
      </c>
      <c r="D1759" t="s">
        <v>460</v>
      </c>
    </row>
    <row r="1760" spans="1:4" x14ac:dyDescent="0.25">
      <c r="A1760" t="s">
        <v>385</v>
      </c>
      <c r="B1760">
        <v>8</v>
      </c>
      <c r="C1760" t="s">
        <v>125</v>
      </c>
      <c r="D1760" t="s">
        <v>386</v>
      </c>
    </row>
    <row r="1761" spans="1:4" x14ac:dyDescent="0.25">
      <c r="A1761" t="s">
        <v>471</v>
      </c>
      <c r="B1761">
        <v>6</v>
      </c>
      <c r="C1761" t="s">
        <v>125</v>
      </c>
      <c r="D1761" t="s">
        <v>472</v>
      </c>
    </row>
    <row r="1762" spans="1:4" x14ac:dyDescent="0.25">
      <c r="A1762" t="s">
        <v>465</v>
      </c>
      <c r="B1762">
        <v>4</v>
      </c>
      <c r="C1762" t="s">
        <v>125</v>
      </c>
      <c r="D1762" t="s">
        <v>464</v>
      </c>
    </row>
    <row r="1763" spans="1:4" x14ac:dyDescent="0.25">
      <c r="A1763" t="s">
        <v>65</v>
      </c>
      <c r="B1763">
        <v>52</v>
      </c>
    </row>
    <row r="1764" spans="1:4" x14ac:dyDescent="0.25">
      <c r="A1764" t="s">
        <v>191</v>
      </c>
      <c r="B1764">
        <v>5822</v>
      </c>
      <c r="C1764" t="s">
        <v>886</v>
      </c>
      <c r="D1764" t="s">
        <v>192</v>
      </c>
    </row>
    <row r="1765" spans="1:4" x14ac:dyDescent="0.25">
      <c r="A1765" t="s">
        <v>188</v>
      </c>
      <c r="B1765">
        <v>2814</v>
      </c>
      <c r="C1765" t="s">
        <v>886</v>
      </c>
      <c r="D1765" t="s">
        <v>189</v>
      </c>
    </row>
    <row r="1766" spans="1:4" x14ac:dyDescent="0.25">
      <c r="A1766" t="s">
        <v>185</v>
      </c>
      <c r="B1766">
        <v>1897</v>
      </c>
      <c r="C1766" t="s">
        <v>886</v>
      </c>
      <c r="D1766" t="s">
        <v>186</v>
      </c>
    </row>
    <row r="1767" spans="1:4" x14ac:dyDescent="0.25">
      <c r="A1767" t="s">
        <v>208</v>
      </c>
      <c r="B1767">
        <v>1857</v>
      </c>
      <c r="C1767" t="s">
        <v>886</v>
      </c>
      <c r="D1767" t="s">
        <v>209</v>
      </c>
    </row>
    <row r="1768" spans="1:4" x14ac:dyDescent="0.25">
      <c r="A1768" t="s">
        <v>206</v>
      </c>
      <c r="B1768">
        <v>1547</v>
      </c>
      <c r="C1768" t="s">
        <v>886</v>
      </c>
      <c r="D1768" t="s">
        <v>189</v>
      </c>
    </row>
    <row r="1769" spans="1:4" x14ac:dyDescent="0.25">
      <c r="A1769" t="s">
        <v>479</v>
      </c>
      <c r="B1769">
        <v>574</v>
      </c>
      <c r="C1769" t="s">
        <v>125</v>
      </c>
      <c r="D1769" t="s">
        <v>478</v>
      </c>
    </row>
    <row r="1770" spans="1:4" x14ac:dyDescent="0.25">
      <c r="A1770" t="s">
        <v>446</v>
      </c>
      <c r="B1770">
        <v>194</v>
      </c>
      <c r="C1770" t="s">
        <v>125</v>
      </c>
      <c r="D1770" t="s">
        <v>442</v>
      </c>
    </row>
    <row r="1771" spans="1:4" x14ac:dyDescent="0.25">
      <c r="A1771" t="s">
        <v>259</v>
      </c>
      <c r="B1771">
        <v>180</v>
      </c>
      <c r="C1771" t="s">
        <v>125</v>
      </c>
      <c r="D1771" t="s">
        <v>249</v>
      </c>
    </row>
    <row r="1772" spans="1:4" x14ac:dyDescent="0.25">
      <c r="A1772" t="s">
        <v>314</v>
      </c>
      <c r="B1772">
        <v>157</v>
      </c>
      <c r="C1772" t="s">
        <v>125</v>
      </c>
      <c r="D1772" t="s">
        <v>315</v>
      </c>
    </row>
    <row r="1773" spans="1:4" x14ac:dyDescent="0.25">
      <c r="A1773" t="s">
        <v>200</v>
      </c>
      <c r="B1773">
        <v>135</v>
      </c>
      <c r="C1773" t="s">
        <v>886</v>
      </c>
      <c r="D1773" t="s">
        <v>201</v>
      </c>
    </row>
    <row r="1774" spans="1:4" x14ac:dyDescent="0.25">
      <c r="A1774" t="s">
        <v>358</v>
      </c>
      <c r="B1774">
        <v>61</v>
      </c>
      <c r="C1774" t="s">
        <v>125</v>
      </c>
      <c r="D1774" t="s">
        <v>356</v>
      </c>
    </row>
    <row r="1775" spans="1:4" x14ac:dyDescent="0.25">
      <c r="A1775" t="s">
        <v>203</v>
      </c>
      <c r="B1775">
        <v>56</v>
      </c>
      <c r="C1775" t="s">
        <v>886</v>
      </c>
      <c r="D1775" t="s">
        <v>204</v>
      </c>
    </row>
    <row r="1776" spans="1:4" x14ac:dyDescent="0.25">
      <c r="A1776" t="s">
        <v>194</v>
      </c>
      <c r="B1776">
        <v>54</v>
      </c>
      <c r="C1776" t="s">
        <v>886</v>
      </c>
      <c r="D1776" t="s">
        <v>195</v>
      </c>
    </row>
    <row r="1777" spans="1:4" x14ac:dyDescent="0.25">
      <c r="A1777" t="s">
        <v>217</v>
      </c>
      <c r="B1777">
        <v>47</v>
      </c>
      <c r="C1777" t="s">
        <v>886</v>
      </c>
      <c r="D1777" t="s">
        <v>218</v>
      </c>
    </row>
    <row r="1778" spans="1:4" x14ac:dyDescent="0.25">
      <c r="A1778" t="s">
        <v>220</v>
      </c>
      <c r="B1778">
        <v>43</v>
      </c>
      <c r="C1778" t="s">
        <v>886</v>
      </c>
      <c r="D1778" t="s">
        <v>221</v>
      </c>
    </row>
    <row r="1779" spans="1:4" x14ac:dyDescent="0.25">
      <c r="A1779" t="s">
        <v>471</v>
      </c>
      <c r="B1779">
        <v>41</v>
      </c>
      <c r="C1779" t="s">
        <v>125</v>
      </c>
      <c r="D1779" t="s">
        <v>472</v>
      </c>
    </row>
    <row r="1780" spans="1:4" x14ac:dyDescent="0.25">
      <c r="A1780" t="s">
        <v>255</v>
      </c>
      <c r="B1780">
        <v>40</v>
      </c>
      <c r="C1780" t="s">
        <v>125</v>
      </c>
      <c r="D1780" t="s">
        <v>249</v>
      </c>
    </row>
    <row r="1781" spans="1:4" x14ac:dyDescent="0.25">
      <c r="A1781" t="s">
        <v>289</v>
      </c>
      <c r="B1781">
        <v>39</v>
      </c>
      <c r="C1781" t="s">
        <v>125</v>
      </c>
      <c r="D1781" t="s">
        <v>290</v>
      </c>
    </row>
    <row r="1782" spans="1:4" x14ac:dyDescent="0.25">
      <c r="A1782" t="s">
        <v>317</v>
      </c>
      <c r="B1782">
        <v>37</v>
      </c>
      <c r="C1782" t="s">
        <v>125</v>
      </c>
      <c r="D1782" t="s">
        <v>318</v>
      </c>
    </row>
    <row r="1783" spans="1:4" x14ac:dyDescent="0.25">
      <c r="A1783" t="s">
        <v>357</v>
      </c>
      <c r="B1783">
        <v>34</v>
      </c>
      <c r="C1783" t="s">
        <v>125</v>
      </c>
      <c r="D1783" t="s">
        <v>356</v>
      </c>
    </row>
    <row r="1784" spans="1:4" x14ac:dyDescent="0.25">
      <c r="A1784" t="s">
        <v>485</v>
      </c>
      <c r="B1784">
        <v>34</v>
      </c>
      <c r="C1784" t="s">
        <v>125</v>
      </c>
      <c r="D1784" t="s">
        <v>478</v>
      </c>
    </row>
    <row r="1785" spans="1:4" x14ac:dyDescent="0.25">
      <c r="A1785" t="s">
        <v>326</v>
      </c>
      <c r="B1785">
        <v>33</v>
      </c>
      <c r="C1785" t="s">
        <v>125</v>
      </c>
      <c r="D1785" t="s">
        <v>325</v>
      </c>
    </row>
    <row r="1786" spans="1:4" x14ac:dyDescent="0.25">
      <c r="A1786" t="s">
        <v>473</v>
      </c>
      <c r="B1786">
        <v>30</v>
      </c>
      <c r="C1786" t="s">
        <v>125</v>
      </c>
      <c r="D1786" t="s">
        <v>474</v>
      </c>
    </row>
    <row r="1787" spans="1:4" x14ac:dyDescent="0.25">
      <c r="A1787" t="s">
        <v>237</v>
      </c>
      <c r="B1787">
        <v>29</v>
      </c>
      <c r="C1787" t="s">
        <v>886</v>
      </c>
      <c r="D1787" t="s">
        <v>238</v>
      </c>
    </row>
    <row r="1788" spans="1:4" x14ac:dyDescent="0.25">
      <c r="A1788" t="s">
        <v>449</v>
      </c>
      <c r="B1788">
        <v>28</v>
      </c>
      <c r="C1788" t="s">
        <v>125</v>
      </c>
      <c r="D1788" t="s">
        <v>442</v>
      </c>
    </row>
    <row r="1789" spans="1:4" x14ac:dyDescent="0.25">
      <c r="A1789" t="s">
        <v>268</v>
      </c>
      <c r="B1789">
        <v>27</v>
      </c>
      <c r="C1789" t="s">
        <v>125</v>
      </c>
      <c r="D1789" t="s">
        <v>249</v>
      </c>
    </row>
    <row r="1790" spans="1:4" x14ac:dyDescent="0.25">
      <c r="A1790" t="s">
        <v>458</v>
      </c>
      <c r="B1790">
        <v>25</v>
      </c>
      <c r="C1790" t="s">
        <v>125</v>
      </c>
      <c r="D1790" t="s">
        <v>442</v>
      </c>
    </row>
    <row r="1791" spans="1:4" x14ac:dyDescent="0.25">
      <c r="A1791" t="s">
        <v>461</v>
      </c>
      <c r="B1791">
        <v>25</v>
      </c>
      <c r="C1791" t="s">
        <v>125</v>
      </c>
      <c r="D1791" t="s">
        <v>462</v>
      </c>
    </row>
    <row r="1792" spans="1:4" x14ac:dyDescent="0.25">
      <c r="A1792" t="s">
        <v>316</v>
      </c>
      <c r="B1792">
        <v>24</v>
      </c>
      <c r="C1792" t="s">
        <v>125</v>
      </c>
      <c r="D1792" t="s">
        <v>315</v>
      </c>
    </row>
    <row r="1793" spans="1:4" x14ac:dyDescent="0.25">
      <c r="A1793" t="s">
        <v>251</v>
      </c>
      <c r="B1793">
        <v>21</v>
      </c>
      <c r="C1793" t="s">
        <v>125</v>
      </c>
      <c r="D1793" t="s">
        <v>249</v>
      </c>
    </row>
    <row r="1794" spans="1:4" x14ac:dyDescent="0.25">
      <c r="A1794" t="s">
        <v>445</v>
      </c>
      <c r="B1794">
        <v>19</v>
      </c>
      <c r="C1794" t="s">
        <v>125</v>
      </c>
      <c r="D1794" t="s">
        <v>442</v>
      </c>
    </row>
    <row r="1795" spans="1:4" x14ac:dyDescent="0.25">
      <c r="A1795" t="s">
        <v>270</v>
      </c>
      <c r="B1795">
        <v>19</v>
      </c>
      <c r="C1795" t="s">
        <v>125</v>
      </c>
      <c r="D1795" t="s">
        <v>249</v>
      </c>
    </row>
    <row r="1796" spans="1:4" x14ac:dyDescent="0.25">
      <c r="A1796" t="s">
        <v>340</v>
      </c>
      <c r="B1796">
        <v>16</v>
      </c>
      <c r="C1796" t="s">
        <v>125</v>
      </c>
      <c r="D1796" t="s">
        <v>341</v>
      </c>
    </row>
    <row r="1797" spans="1:4" x14ac:dyDescent="0.25">
      <c r="A1797" t="s">
        <v>350</v>
      </c>
      <c r="B1797">
        <v>16</v>
      </c>
      <c r="C1797" t="s">
        <v>125</v>
      </c>
      <c r="D1797" t="s">
        <v>346</v>
      </c>
    </row>
    <row r="1798" spans="1:4" x14ac:dyDescent="0.25">
      <c r="A1798" t="s">
        <v>260</v>
      </c>
      <c r="B1798">
        <v>16</v>
      </c>
      <c r="C1798" t="s">
        <v>125</v>
      </c>
      <c r="D1798" t="s">
        <v>249</v>
      </c>
    </row>
    <row r="1799" spans="1:4" x14ac:dyDescent="0.25">
      <c r="A1799" t="s">
        <v>447</v>
      </c>
      <c r="B1799">
        <v>12</v>
      </c>
      <c r="C1799" t="s">
        <v>125</v>
      </c>
      <c r="D1799" t="s">
        <v>442</v>
      </c>
    </row>
    <row r="1800" spans="1:4" x14ac:dyDescent="0.25">
      <c r="A1800" t="s">
        <v>454</v>
      </c>
      <c r="B1800">
        <v>12</v>
      </c>
      <c r="C1800" t="s">
        <v>125</v>
      </c>
      <c r="D1800" t="s">
        <v>442</v>
      </c>
    </row>
    <row r="1801" spans="1:4" x14ac:dyDescent="0.25">
      <c r="A1801" t="s">
        <v>261</v>
      </c>
      <c r="B1801">
        <v>12</v>
      </c>
      <c r="C1801" t="s">
        <v>125</v>
      </c>
      <c r="D1801" t="s">
        <v>249</v>
      </c>
    </row>
    <row r="1802" spans="1:4" x14ac:dyDescent="0.25">
      <c r="A1802" t="s">
        <v>480</v>
      </c>
      <c r="B1802">
        <v>12</v>
      </c>
      <c r="C1802" t="s">
        <v>125</v>
      </c>
      <c r="D1802" t="s">
        <v>478</v>
      </c>
    </row>
    <row r="1803" spans="1:4" x14ac:dyDescent="0.25">
      <c r="A1803" t="s">
        <v>355</v>
      </c>
      <c r="B1803">
        <v>12</v>
      </c>
      <c r="C1803" t="s">
        <v>125</v>
      </c>
      <c r="D1803" t="s">
        <v>356</v>
      </c>
    </row>
    <row r="1804" spans="1:4" x14ac:dyDescent="0.25">
      <c r="A1804" t="s">
        <v>214</v>
      </c>
      <c r="B1804">
        <v>11</v>
      </c>
      <c r="C1804" t="s">
        <v>886</v>
      </c>
      <c r="D1804" t="s">
        <v>215</v>
      </c>
    </row>
    <row r="1805" spans="1:4" x14ac:dyDescent="0.25">
      <c r="A1805" t="s">
        <v>468</v>
      </c>
      <c r="B1805">
        <v>11</v>
      </c>
      <c r="C1805" t="s">
        <v>125</v>
      </c>
      <c r="D1805" t="s">
        <v>469</v>
      </c>
    </row>
    <row r="1806" spans="1:4" x14ac:dyDescent="0.25">
      <c r="A1806" t="s">
        <v>349</v>
      </c>
      <c r="B1806">
        <v>10</v>
      </c>
      <c r="C1806" t="s">
        <v>125</v>
      </c>
      <c r="D1806" t="s">
        <v>346</v>
      </c>
    </row>
    <row r="1807" spans="1:4" x14ac:dyDescent="0.25">
      <c r="A1807" t="s">
        <v>226</v>
      </c>
      <c r="B1807">
        <v>10</v>
      </c>
      <c r="C1807" t="s">
        <v>886</v>
      </c>
      <c r="D1807" t="s">
        <v>227</v>
      </c>
    </row>
    <row r="1808" spans="1:4" x14ac:dyDescent="0.25">
      <c r="A1808" t="s">
        <v>263</v>
      </c>
      <c r="B1808">
        <v>7</v>
      </c>
      <c r="C1808" t="s">
        <v>125</v>
      </c>
      <c r="D1808" t="s">
        <v>249</v>
      </c>
    </row>
    <row r="1809" spans="1:4" x14ac:dyDescent="0.25">
      <c r="A1809" t="s">
        <v>273</v>
      </c>
      <c r="B1809">
        <v>6</v>
      </c>
      <c r="C1809" t="s">
        <v>125</v>
      </c>
      <c r="D1809" t="s">
        <v>249</v>
      </c>
    </row>
    <row r="1810" spans="1:4" x14ac:dyDescent="0.25">
      <c r="A1810" t="s">
        <v>248</v>
      </c>
      <c r="B1810">
        <v>6</v>
      </c>
      <c r="C1810" t="s">
        <v>125</v>
      </c>
      <c r="D1810" t="s">
        <v>249</v>
      </c>
    </row>
    <row r="1811" spans="1:4" x14ac:dyDescent="0.25">
      <c r="A1811" t="s">
        <v>274</v>
      </c>
      <c r="B1811">
        <v>5</v>
      </c>
      <c r="C1811" t="s">
        <v>125</v>
      </c>
      <c r="D1811" t="s">
        <v>249</v>
      </c>
    </row>
    <row r="1812" spans="1:4" x14ac:dyDescent="0.25">
      <c r="A1812" t="s">
        <v>453</v>
      </c>
      <c r="B1812">
        <v>5</v>
      </c>
      <c r="C1812" t="s">
        <v>125</v>
      </c>
      <c r="D1812" t="s">
        <v>442</v>
      </c>
    </row>
    <row r="1813" spans="1:4" x14ac:dyDescent="0.25">
      <c r="A1813" t="s">
        <v>484</v>
      </c>
      <c r="B1813">
        <v>4</v>
      </c>
      <c r="C1813" t="s">
        <v>125</v>
      </c>
      <c r="D1813" t="s">
        <v>478</v>
      </c>
    </row>
    <row r="1814" spans="1:4" x14ac:dyDescent="0.25">
      <c r="A1814" t="s">
        <v>397</v>
      </c>
      <c r="B1814">
        <v>3</v>
      </c>
      <c r="C1814" t="s">
        <v>125</v>
      </c>
      <c r="D1814" t="s">
        <v>396</v>
      </c>
    </row>
    <row r="1815" spans="1:4" x14ac:dyDescent="0.25">
      <c r="A1815" t="s">
        <v>418</v>
      </c>
      <c r="B1815">
        <v>2</v>
      </c>
      <c r="C1815" t="s">
        <v>125</v>
      </c>
      <c r="D1815" t="s">
        <v>401</v>
      </c>
    </row>
    <row r="1816" spans="1:4" x14ac:dyDescent="0.25">
      <c r="A1816" t="s">
        <v>66</v>
      </c>
      <c r="B1816">
        <v>29</v>
      </c>
    </row>
    <row r="1817" spans="1:4" x14ac:dyDescent="0.25">
      <c r="A1817" t="s">
        <v>191</v>
      </c>
      <c r="B1817">
        <v>8960</v>
      </c>
      <c r="C1817" t="s">
        <v>886</v>
      </c>
      <c r="D1817" t="s">
        <v>192</v>
      </c>
    </row>
    <row r="1818" spans="1:4" x14ac:dyDescent="0.25">
      <c r="A1818" t="s">
        <v>208</v>
      </c>
      <c r="B1818">
        <v>1468</v>
      </c>
      <c r="C1818" t="s">
        <v>886</v>
      </c>
      <c r="D1818" t="s">
        <v>209</v>
      </c>
    </row>
    <row r="1819" spans="1:4" x14ac:dyDescent="0.25">
      <c r="A1819" t="s">
        <v>188</v>
      </c>
      <c r="B1819">
        <v>972</v>
      </c>
      <c r="C1819" t="s">
        <v>886</v>
      </c>
      <c r="D1819" t="s">
        <v>189</v>
      </c>
    </row>
    <row r="1820" spans="1:4" x14ac:dyDescent="0.25">
      <c r="A1820" t="s">
        <v>185</v>
      </c>
      <c r="B1820">
        <v>801</v>
      </c>
      <c r="C1820" t="s">
        <v>886</v>
      </c>
      <c r="D1820" t="s">
        <v>186</v>
      </c>
    </row>
    <row r="1821" spans="1:4" x14ac:dyDescent="0.25">
      <c r="A1821" t="s">
        <v>206</v>
      </c>
      <c r="B1821">
        <v>712</v>
      </c>
      <c r="C1821" t="s">
        <v>886</v>
      </c>
      <c r="D1821" t="s">
        <v>189</v>
      </c>
    </row>
    <row r="1822" spans="1:4" x14ac:dyDescent="0.25">
      <c r="A1822" t="s">
        <v>319</v>
      </c>
      <c r="B1822">
        <v>456</v>
      </c>
      <c r="C1822" t="s">
        <v>125</v>
      </c>
      <c r="D1822" t="s">
        <v>318</v>
      </c>
    </row>
    <row r="1823" spans="1:4" x14ac:dyDescent="0.25">
      <c r="A1823" t="s">
        <v>314</v>
      </c>
      <c r="B1823">
        <v>99</v>
      </c>
      <c r="C1823" t="s">
        <v>125</v>
      </c>
      <c r="D1823" t="s">
        <v>315</v>
      </c>
    </row>
    <row r="1824" spans="1:4" x14ac:dyDescent="0.25">
      <c r="A1824" t="s">
        <v>446</v>
      </c>
      <c r="B1824">
        <v>86</v>
      </c>
      <c r="C1824" t="s">
        <v>125</v>
      </c>
      <c r="D1824" t="s">
        <v>442</v>
      </c>
    </row>
    <row r="1825" spans="1:4" x14ac:dyDescent="0.25">
      <c r="A1825" t="s">
        <v>251</v>
      </c>
      <c r="B1825">
        <v>63</v>
      </c>
      <c r="C1825" t="s">
        <v>125</v>
      </c>
      <c r="D1825" t="s">
        <v>249</v>
      </c>
    </row>
    <row r="1826" spans="1:4" x14ac:dyDescent="0.25">
      <c r="A1826" t="s">
        <v>385</v>
      </c>
      <c r="B1826">
        <v>41</v>
      </c>
      <c r="C1826" t="s">
        <v>125</v>
      </c>
      <c r="D1826" t="s">
        <v>386</v>
      </c>
    </row>
    <row r="1827" spans="1:4" x14ac:dyDescent="0.25">
      <c r="A1827" t="s">
        <v>479</v>
      </c>
      <c r="B1827">
        <v>38</v>
      </c>
      <c r="C1827" t="s">
        <v>125</v>
      </c>
      <c r="D1827" t="s">
        <v>478</v>
      </c>
    </row>
    <row r="1828" spans="1:4" x14ac:dyDescent="0.25">
      <c r="A1828" t="s">
        <v>266</v>
      </c>
      <c r="B1828">
        <v>32</v>
      </c>
      <c r="C1828" t="s">
        <v>125</v>
      </c>
      <c r="D1828" t="s">
        <v>249</v>
      </c>
    </row>
    <row r="1829" spans="1:4" x14ac:dyDescent="0.25">
      <c r="A1829" t="s">
        <v>261</v>
      </c>
      <c r="B1829">
        <v>30</v>
      </c>
      <c r="C1829" t="s">
        <v>125</v>
      </c>
      <c r="D1829" t="s">
        <v>249</v>
      </c>
    </row>
    <row r="1830" spans="1:4" x14ac:dyDescent="0.25">
      <c r="A1830" t="s">
        <v>289</v>
      </c>
      <c r="B1830">
        <v>29</v>
      </c>
      <c r="C1830" t="s">
        <v>125</v>
      </c>
      <c r="D1830" t="s">
        <v>290</v>
      </c>
    </row>
    <row r="1831" spans="1:4" x14ac:dyDescent="0.25">
      <c r="A1831" t="s">
        <v>326</v>
      </c>
      <c r="B1831">
        <v>23</v>
      </c>
      <c r="C1831" t="s">
        <v>125</v>
      </c>
      <c r="D1831" t="s">
        <v>325</v>
      </c>
    </row>
    <row r="1832" spans="1:4" x14ac:dyDescent="0.25">
      <c r="A1832" t="s">
        <v>217</v>
      </c>
      <c r="B1832">
        <v>17</v>
      </c>
      <c r="C1832" t="s">
        <v>886</v>
      </c>
      <c r="D1832" t="s">
        <v>218</v>
      </c>
    </row>
    <row r="1833" spans="1:4" x14ac:dyDescent="0.25">
      <c r="A1833" t="s">
        <v>461</v>
      </c>
      <c r="B1833">
        <v>14</v>
      </c>
      <c r="C1833" t="s">
        <v>125</v>
      </c>
      <c r="D1833" t="s">
        <v>462</v>
      </c>
    </row>
    <row r="1834" spans="1:4" x14ac:dyDescent="0.25">
      <c r="A1834" t="s">
        <v>330</v>
      </c>
      <c r="B1834">
        <v>13</v>
      </c>
      <c r="C1834" t="s">
        <v>125</v>
      </c>
      <c r="D1834" t="s">
        <v>331</v>
      </c>
    </row>
    <row r="1835" spans="1:4" x14ac:dyDescent="0.25">
      <c r="A1835" t="s">
        <v>447</v>
      </c>
      <c r="B1835">
        <v>13</v>
      </c>
      <c r="C1835" t="s">
        <v>125</v>
      </c>
      <c r="D1835" t="s">
        <v>442</v>
      </c>
    </row>
    <row r="1836" spans="1:4" x14ac:dyDescent="0.25">
      <c r="A1836" t="s">
        <v>357</v>
      </c>
      <c r="B1836">
        <v>12</v>
      </c>
      <c r="C1836" t="s">
        <v>125</v>
      </c>
      <c r="D1836" t="s">
        <v>356</v>
      </c>
    </row>
    <row r="1837" spans="1:4" x14ac:dyDescent="0.25">
      <c r="A1837" t="s">
        <v>340</v>
      </c>
      <c r="B1837">
        <v>12</v>
      </c>
      <c r="C1837" t="s">
        <v>125</v>
      </c>
      <c r="D1837" t="s">
        <v>341</v>
      </c>
    </row>
    <row r="1838" spans="1:4" x14ac:dyDescent="0.25">
      <c r="A1838" t="s">
        <v>200</v>
      </c>
      <c r="B1838">
        <v>10</v>
      </c>
      <c r="C1838" t="s">
        <v>886</v>
      </c>
      <c r="D1838" t="s">
        <v>201</v>
      </c>
    </row>
    <row r="1839" spans="1:4" x14ac:dyDescent="0.25">
      <c r="A1839" t="s">
        <v>232</v>
      </c>
      <c r="B1839">
        <v>7</v>
      </c>
      <c r="C1839" t="s">
        <v>886</v>
      </c>
      <c r="D1839" t="s">
        <v>204</v>
      </c>
    </row>
    <row r="1840" spans="1:4" x14ac:dyDescent="0.25">
      <c r="A1840" t="s">
        <v>395</v>
      </c>
      <c r="B1840">
        <v>6</v>
      </c>
      <c r="C1840" t="s">
        <v>125</v>
      </c>
      <c r="D1840" t="s">
        <v>396</v>
      </c>
    </row>
    <row r="1841" spans="1:4" x14ac:dyDescent="0.25">
      <c r="A1841" t="s">
        <v>220</v>
      </c>
      <c r="B1841">
        <v>6</v>
      </c>
      <c r="C1841" t="s">
        <v>886</v>
      </c>
      <c r="D1841" t="s">
        <v>221</v>
      </c>
    </row>
    <row r="1842" spans="1:4" x14ac:dyDescent="0.25">
      <c r="A1842" t="s">
        <v>258</v>
      </c>
      <c r="B1842">
        <v>5</v>
      </c>
      <c r="C1842" t="s">
        <v>125</v>
      </c>
      <c r="D1842" t="s">
        <v>249</v>
      </c>
    </row>
    <row r="1843" spans="1:4" x14ac:dyDescent="0.25">
      <c r="A1843" t="s">
        <v>449</v>
      </c>
      <c r="B1843">
        <v>4</v>
      </c>
      <c r="C1843" t="s">
        <v>125</v>
      </c>
      <c r="D1843" t="s">
        <v>442</v>
      </c>
    </row>
    <row r="1844" spans="1:4" x14ac:dyDescent="0.25">
      <c r="A1844" t="s">
        <v>468</v>
      </c>
      <c r="B1844">
        <v>4</v>
      </c>
      <c r="C1844" t="s">
        <v>125</v>
      </c>
      <c r="D1844" t="s">
        <v>469</v>
      </c>
    </row>
    <row r="1845" spans="1:4" x14ac:dyDescent="0.25">
      <c r="A1845" t="s">
        <v>271</v>
      </c>
      <c r="B1845">
        <v>2</v>
      </c>
      <c r="C1845" t="s">
        <v>125</v>
      </c>
      <c r="D1845" t="s">
        <v>249</v>
      </c>
    </row>
    <row r="1846" spans="1:4" x14ac:dyDescent="0.25">
      <c r="A1846" t="s">
        <v>67</v>
      </c>
      <c r="B1846">
        <v>39</v>
      </c>
    </row>
    <row r="1847" spans="1:4" x14ac:dyDescent="0.25">
      <c r="A1847" t="s">
        <v>185</v>
      </c>
      <c r="B1847">
        <v>9983</v>
      </c>
      <c r="C1847" t="s">
        <v>886</v>
      </c>
      <c r="D1847" t="s">
        <v>186</v>
      </c>
    </row>
    <row r="1848" spans="1:4" x14ac:dyDescent="0.25">
      <c r="A1848" t="s">
        <v>191</v>
      </c>
      <c r="B1848">
        <v>2158</v>
      </c>
      <c r="C1848" t="s">
        <v>886</v>
      </c>
      <c r="D1848" t="s">
        <v>192</v>
      </c>
    </row>
    <row r="1849" spans="1:4" x14ac:dyDescent="0.25">
      <c r="A1849" t="s">
        <v>208</v>
      </c>
      <c r="B1849">
        <v>1460</v>
      </c>
      <c r="C1849" t="s">
        <v>886</v>
      </c>
      <c r="D1849" t="s">
        <v>209</v>
      </c>
    </row>
    <row r="1850" spans="1:4" x14ac:dyDescent="0.25">
      <c r="A1850" t="s">
        <v>326</v>
      </c>
      <c r="B1850">
        <v>790</v>
      </c>
      <c r="C1850" t="s">
        <v>125</v>
      </c>
      <c r="D1850" t="s">
        <v>325</v>
      </c>
    </row>
    <row r="1851" spans="1:4" x14ac:dyDescent="0.25">
      <c r="A1851" t="s">
        <v>340</v>
      </c>
      <c r="B1851">
        <v>181</v>
      </c>
      <c r="C1851" t="s">
        <v>125</v>
      </c>
      <c r="D1851" t="s">
        <v>341</v>
      </c>
    </row>
    <row r="1852" spans="1:4" x14ac:dyDescent="0.25">
      <c r="A1852" t="s">
        <v>200</v>
      </c>
      <c r="B1852">
        <v>169</v>
      </c>
      <c r="C1852" t="s">
        <v>886</v>
      </c>
      <c r="D1852" t="s">
        <v>201</v>
      </c>
    </row>
    <row r="1853" spans="1:4" x14ac:dyDescent="0.25">
      <c r="A1853" t="s">
        <v>206</v>
      </c>
      <c r="B1853">
        <v>131</v>
      </c>
      <c r="C1853" t="s">
        <v>886</v>
      </c>
      <c r="D1853" t="s">
        <v>189</v>
      </c>
    </row>
    <row r="1854" spans="1:4" x14ac:dyDescent="0.25">
      <c r="A1854" t="s">
        <v>214</v>
      </c>
      <c r="B1854">
        <v>83</v>
      </c>
      <c r="C1854" t="s">
        <v>886</v>
      </c>
      <c r="D1854" t="s">
        <v>215</v>
      </c>
    </row>
    <row r="1855" spans="1:4" x14ac:dyDescent="0.25">
      <c r="A1855" t="s">
        <v>314</v>
      </c>
      <c r="B1855">
        <v>80</v>
      </c>
      <c r="C1855" t="s">
        <v>125</v>
      </c>
      <c r="D1855" t="s">
        <v>315</v>
      </c>
    </row>
    <row r="1856" spans="1:4" x14ac:dyDescent="0.25">
      <c r="A1856" t="s">
        <v>479</v>
      </c>
      <c r="B1856">
        <v>69</v>
      </c>
      <c r="C1856" t="s">
        <v>125</v>
      </c>
      <c r="D1856" t="s">
        <v>478</v>
      </c>
    </row>
    <row r="1857" spans="1:4" x14ac:dyDescent="0.25">
      <c r="A1857" t="s">
        <v>304</v>
      </c>
      <c r="B1857">
        <v>69</v>
      </c>
      <c r="C1857" t="s">
        <v>125</v>
      </c>
      <c r="D1857" t="s">
        <v>305</v>
      </c>
    </row>
    <row r="1858" spans="1:4" x14ac:dyDescent="0.25">
      <c r="A1858" t="s">
        <v>446</v>
      </c>
      <c r="B1858">
        <v>68</v>
      </c>
      <c r="C1858" t="s">
        <v>125</v>
      </c>
      <c r="D1858" t="s">
        <v>442</v>
      </c>
    </row>
    <row r="1859" spans="1:4" x14ac:dyDescent="0.25">
      <c r="A1859" t="s">
        <v>203</v>
      </c>
      <c r="B1859">
        <v>58</v>
      </c>
      <c r="C1859" t="s">
        <v>886</v>
      </c>
      <c r="D1859" t="s">
        <v>204</v>
      </c>
    </row>
    <row r="1860" spans="1:4" x14ac:dyDescent="0.25">
      <c r="A1860" t="s">
        <v>289</v>
      </c>
      <c r="B1860">
        <v>57</v>
      </c>
      <c r="C1860" t="s">
        <v>125</v>
      </c>
      <c r="D1860" t="s">
        <v>290</v>
      </c>
    </row>
    <row r="1861" spans="1:4" x14ac:dyDescent="0.25">
      <c r="A1861" t="s">
        <v>420</v>
      </c>
      <c r="B1861">
        <v>54</v>
      </c>
      <c r="C1861" t="s">
        <v>125</v>
      </c>
      <c r="D1861" t="s">
        <v>401</v>
      </c>
    </row>
    <row r="1862" spans="1:4" x14ac:dyDescent="0.25">
      <c r="A1862" t="s">
        <v>251</v>
      </c>
      <c r="B1862">
        <v>53</v>
      </c>
      <c r="C1862" t="s">
        <v>125</v>
      </c>
      <c r="D1862" t="s">
        <v>249</v>
      </c>
    </row>
    <row r="1863" spans="1:4" x14ac:dyDescent="0.25">
      <c r="A1863" t="s">
        <v>217</v>
      </c>
      <c r="B1863">
        <v>47</v>
      </c>
      <c r="C1863" t="s">
        <v>886</v>
      </c>
      <c r="D1863" t="s">
        <v>218</v>
      </c>
    </row>
    <row r="1864" spans="1:4" x14ac:dyDescent="0.25">
      <c r="A1864" t="s">
        <v>259</v>
      </c>
      <c r="B1864">
        <v>43</v>
      </c>
      <c r="C1864" t="s">
        <v>125</v>
      </c>
      <c r="D1864" t="s">
        <v>249</v>
      </c>
    </row>
    <row r="1865" spans="1:4" x14ac:dyDescent="0.25">
      <c r="A1865" t="s">
        <v>293</v>
      </c>
      <c r="B1865">
        <v>43</v>
      </c>
      <c r="C1865" t="s">
        <v>125</v>
      </c>
      <c r="D1865" t="s">
        <v>294</v>
      </c>
    </row>
    <row r="1866" spans="1:4" x14ac:dyDescent="0.25">
      <c r="A1866" t="s">
        <v>383</v>
      </c>
      <c r="B1866">
        <v>41</v>
      </c>
      <c r="C1866" t="s">
        <v>125</v>
      </c>
      <c r="D1866" t="s">
        <v>382</v>
      </c>
    </row>
    <row r="1867" spans="1:4" x14ac:dyDescent="0.25">
      <c r="A1867" t="s">
        <v>255</v>
      </c>
      <c r="B1867">
        <v>40</v>
      </c>
      <c r="C1867" t="s">
        <v>125</v>
      </c>
      <c r="D1867" t="s">
        <v>249</v>
      </c>
    </row>
    <row r="1868" spans="1:4" x14ac:dyDescent="0.25">
      <c r="A1868" t="s">
        <v>220</v>
      </c>
      <c r="B1868">
        <v>35</v>
      </c>
      <c r="C1868" t="s">
        <v>886</v>
      </c>
      <c r="D1868" t="s">
        <v>221</v>
      </c>
    </row>
    <row r="1869" spans="1:4" x14ac:dyDescent="0.25">
      <c r="A1869" t="s">
        <v>226</v>
      </c>
      <c r="B1869">
        <v>34</v>
      </c>
      <c r="C1869" t="s">
        <v>886</v>
      </c>
      <c r="D1869" t="s">
        <v>227</v>
      </c>
    </row>
    <row r="1870" spans="1:4" x14ac:dyDescent="0.25">
      <c r="A1870" t="s">
        <v>473</v>
      </c>
      <c r="B1870">
        <v>34</v>
      </c>
      <c r="C1870" t="s">
        <v>125</v>
      </c>
      <c r="D1870" t="s">
        <v>474</v>
      </c>
    </row>
    <row r="1871" spans="1:4" x14ac:dyDescent="0.25">
      <c r="A1871" t="s">
        <v>471</v>
      </c>
      <c r="B1871">
        <v>18</v>
      </c>
      <c r="C1871" t="s">
        <v>125</v>
      </c>
      <c r="D1871" t="s">
        <v>472</v>
      </c>
    </row>
    <row r="1872" spans="1:4" x14ac:dyDescent="0.25">
      <c r="A1872" t="s">
        <v>330</v>
      </c>
      <c r="B1872">
        <v>18</v>
      </c>
      <c r="C1872" t="s">
        <v>125</v>
      </c>
      <c r="D1872" t="s">
        <v>331</v>
      </c>
    </row>
    <row r="1873" spans="1:4" x14ac:dyDescent="0.25">
      <c r="A1873" t="s">
        <v>197</v>
      </c>
      <c r="B1873">
        <v>18</v>
      </c>
      <c r="C1873" t="s">
        <v>886</v>
      </c>
      <c r="D1873" t="s">
        <v>198</v>
      </c>
    </row>
    <row r="1874" spans="1:4" x14ac:dyDescent="0.25">
      <c r="A1874" t="s">
        <v>299</v>
      </c>
      <c r="B1874">
        <v>15</v>
      </c>
      <c r="C1874" t="s">
        <v>125</v>
      </c>
      <c r="D1874" t="s">
        <v>298</v>
      </c>
    </row>
    <row r="1875" spans="1:4" x14ac:dyDescent="0.25">
      <c r="A1875" t="s">
        <v>355</v>
      </c>
      <c r="B1875">
        <v>14</v>
      </c>
      <c r="C1875" t="s">
        <v>125</v>
      </c>
      <c r="D1875" t="s">
        <v>356</v>
      </c>
    </row>
    <row r="1876" spans="1:4" x14ac:dyDescent="0.25">
      <c r="A1876" t="s">
        <v>194</v>
      </c>
      <c r="B1876">
        <v>14</v>
      </c>
      <c r="C1876" t="s">
        <v>886</v>
      </c>
      <c r="D1876" t="s">
        <v>195</v>
      </c>
    </row>
    <row r="1877" spans="1:4" x14ac:dyDescent="0.25">
      <c r="A1877" t="s">
        <v>468</v>
      </c>
      <c r="B1877">
        <v>11</v>
      </c>
      <c r="C1877" t="s">
        <v>125</v>
      </c>
      <c r="D1877" t="s">
        <v>469</v>
      </c>
    </row>
    <row r="1878" spans="1:4" x14ac:dyDescent="0.25">
      <c r="A1878" t="s">
        <v>451</v>
      </c>
      <c r="B1878">
        <v>10</v>
      </c>
      <c r="C1878" t="s">
        <v>125</v>
      </c>
      <c r="D1878" t="s">
        <v>442</v>
      </c>
    </row>
    <row r="1879" spans="1:4" x14ac:dyDescent="0.25">
      <c r="A1879" t="s">
        <v>260</v>
      </c>
      <c r="B1879">
        <v>9</v>
      </c>
      <c r="C1879" t="s">
        <v>125</v>
      </c>
      <c r="D1879" t="s">
        <v>249</v>
      </c>
    </row>
    <row r="1880" spans="1:4" x14ac:dyDescent="0.25">
      <c r="A1880" t="s">
        <v>454</v>
      </c>
      <c r="B1880">
        <v>8</v>
      </c>
      <c r="C1880" t="s">
        <v>125</v>
      </c>
      <c r="D1880" t="s">
        <v>442</v>
      </c>
    </row>
    <row r="1881" spans="1:4" x14ac:dyDescent="0.25">
      <c r="A1881" t="s">
        <v>258</v>
      </c>
      <c r="B1881">
        <v>7</v>
      </c>
      <c r="C1881" t="s">
        <v>125</v>
      </c>
      <c r="D1881" t="s">
        <v>249</v>
      </c>
    </row>
    <row r="1882" spans="1:4" x14ac:dyDescent="0.25">
      <c r="A1882" t="s">
        <v>261</v>
      </c>
      <c r="B1882">
        <v>6</v>
      </c>
      <c r="C1882" t="s">
        <v>125</v>
      </c>
      <c r="D1882" t="s">
        <v>249</v>
      </c>
    </row>
    <row r="1883" spans="1:4" x14ac:dyDescent="0.25">
      <c r="A1883" t="s">
        <v>250</v>
      </c>
      <c r="B1883">
        <v>5</v>
      </c>
      <c r="C1883" t="s">
        <v>125</v>
      </c>
      <c r="D1883" t="s">
        <v>249</v>
      </c>
    </row>
    <row r="1884" spans="1:4" x14ac:dyDescent="0.25">
      <c r="A1884" t="s">
        <v>455</v>
      </c>
      <c r="B1884">
        <v>5</v>
      </c>
      <c r="C1884" t="s">
        <v>125</v>
      </c>
      <c r="D1884" t="s">
        <v>442</v>
      </c>
    </row>
    <row r="1885" spans="1:4" x14ac:dyDescent="0.25">
      <c r="A1885" t="s">
        <v>271</v>
      </c>
      <c r="B1885">
        <v>4</v>
      </c>
      <c r="C1885" t="s">
        <v>125</v>
      </c>
      <c r="D1885" t="s">
        <v>249</v>
      </c>
    </row>
    <row r="1886" spans="1:4" x14ac:dyDescent="0.25">
      <c r="A1886" t="s">
        <v>68</v>
      </c>
      <c r="B1886">
        <v>40</v>
      </c>
    </row>
    <row r="1887" spans="1:4" x14ac:dyDescent="0.25">
      <c r="A1887" t="s">
        <v>191</v>
      </c>
      <c r="B1887">
        <v>3213</v>
      </c>
      <c r="C1887" t="s">
        <v>886</v>
      </c>
      <c r="D1887" t="s">
        <v>192</v>
      </c>
    </row>
    <row r="1888" spans="1:4" x14ac:dyDescent="0.25">
      <c r="A1888" t="s">
        <v>487</v>
      </c>
      <c r="B1888">
        <v>1648</v>
      </c>
      <c r="C1888" t="s">
        <v>125</v>
      </c>
      <c r="D1888" t="s">
        <v>488</v>
      </c>
    </row>
    <row r="1889" spans="1:4" x14ac:dyDescent="0.25">
      <c r="A1889" t="s">
        <v>206</v>
      </c>
      <c r="B1889">
        <v>1043</v>
      </c>
      <c r="C1889" t="s">
        <v>886</v>
      </c>
      <c r="D1889" t="s">
        <v>189</v>
      </c>
    </row>
    <row r="1890" spans="1:4" x14ac:dyDescent="0.25">
      <c r="A1890" t="s">
        <v>489</v>
      </c>
      <c r="B1890">
        <v>578</v>
      </c>
      <c r="C1890" t="s">
        <v>125</v>
      </c>
      <c r="D1890" t="s">
        <v>488</v>
      </c>
    </row>
    <row r="1891" spans="1:4" x14ac:dyDescent="0.25">
      <c r="A1891" t="s">
        <v>188</v>
      </c>
      <c r="B1891">
        <v>528</v>
      </c>
      <c r="C1891" t="s">
        <v>886</v>
      </c>
      <c r="D1891" t="s">
        <v>189</v>
      </c>
    </row>
    <row r="1892" spans="1:4" x14ac:dyDescent="0.25">
      <c r="A1892" t="s">
        <v>250</v>
      </c>
      <c r="B1892">
        <v>525</v>
      </c>
      <c r="C1892" t="s">
        <v>125</v>
      </c>
      <c r="D1892" t="s">
        <v>249</v>
      </c>
    </row>
    <row r="1893" spans="1:4" x14ac:dyDescent="0.25">
      <c r="A1893" t="s">
        <v>479</v>
      </c>
      <c r="B1893">
        <v>448</v>
      </c>
      <c r="C1893" t="s">
        <v>125</v>
      </c>
      <c r="D1893" t="s">
        <v>478</v>
      </c>
    </row>
    <row r="1894" spans="1:4" x14ac:dyDescent="0.25">
      <c r="A1894" t="s">
        <v>248</v>
      </c>
      <c r="B1894">
        <v>370</v>
      </c>
      <c r="C1894" t="s">
        <v>125</v>
      </c>
      <c r="D1894" t="s">
        <v>249</v>
      </c>
    </row>
    <row r="1895" spans="1:4" x14ac:dyDescent="0.25">
      <c r="A1895" t="s">
        <v>185</v>
      </c>
      <c r="B1895">
        <v>354</v>
      </c>
      <c r="C1895" t="s">
        <v>886</v>
      </c>
      <c r="D1895" t="s">
        <v>186</v>
      </c>
    </row>
    <row r="1896" spans="1:4" x14ac:dyDescent="0.25">
      <c r="A1896" t="s">
        <v>194</v>
      </c>
      <c r="B1896">
        <v>248</v>
      </c>
      <c r="C1896" t="s">
        <v>886</v>
      </c>
      <c r="D1896" t="s">
        <v>195</v>
      </c>
    </row>
    <row r="1897" spans="1:4" x14ac:dyDescent="0.25">
      <c r="A1897" t="s">
        <v>379</v>
      </c>
      <c r="B1897">
        <v>195</v>
      </c>
      <c r="C1897" t="s">
        <v>125</v>
      </c>
      <c r="D1897" t="s">
        <v>373</v>
      </c>
    </row>
    <row r="1898" spans="1:4" x14ac:dyDescent="0.25">
      <c r="A1898" t="s">
        <v>307</v>
      </c>
      <c r="B1898">
        <v>188</v>
      </c>
      <c r="C1898" t="s">
        <v>125</v>
      </c>
      <c r="D1898" t="s">
        <v>308</v>
      </c>
    </row>
    <row r="1899" spans="1:4" x14ac:dyDescent="0.25">
      <c r="A1899" t="s">
        <v>232</v>
      </c>
      <c r="B1899">
        <v>165</v>
      </c>
      <c r="C1899" t="s">
        <v>886</v>
      </c>
      <c r="D1899" t="s">
        <v>204</v>
      </c>
    </row>
    <row r="1900" spans="1:4" x14ac:dyDescent="0.25">
      <c r="A1900" t="s">
        <v>355</v>
      </c>
      <c r="B1900">
        <v>121</v>
      </c>
      <c r="C1900" t="s">
        <v>125</v>
      </c>
      <c r="D1900" t="s">
        <v>356</v>
      </c>
    </row>
    <row r="1901" spans="1:4" x14ac:dyDescent="0.25">
      <c r="A1901" t="s">
        <v>490</v>
      </c>
      <c r="B1901">
        <v>107</v>
      </c>
      <c r="C1901" t="s">
        <v>125</v>
      </c>
      <c r="D1901" t="s">
        <v>488</v>
      </c>
    </row>
    <row r="1902" spans="1:4" x14ac:dyDescent="0.25">
      <c r="A1902" t="s">
        <v>266</v>
      </c>
      <c r="B1902">
        <v>105</v>
      </c>
      <c r="C1902" t="s">
        <v>125</v>
      </c>
      <c r="D1902" t="s">
        <v>249</v>
      </c>
    </row>
    <row r="1903" spans="1:4" x14ac:dyDescent="0.25">
      <c r="A1903" t="s">
        <v>220</v>
      </c>
      <c r="B1903">
        <v>102</v>
      </c>
      <c r="C1903" t="s">
        <v>886</v>
      </c>
      <c r="D1903" t="s">
        <v>221</v>
      </c>
    </row>
    <row r="1904" spans="1:4" x14ac:dyDescent="0.25">
      <c r="A1904" t="s">
        <v>197</v>
      </c>
      <c r="B1904">
        <v>93</v>
      </c>
      <c r="C1904" t="s">
        <v>886</v>
      </c>
      <c r="D1904" t="s">
        <v>198</v>
      </c>
    </row>
    <row r="1905" spans="1:4" x14ac:dyDescent="0.25">
      <c r="A1905" t="s">
        <v>463</v>
      </c>
      <c r="B1905">
        <v>93</v>
      </c>
      <c r="C1905" t="s">
        <v>125</v>
      </c>
      <c r="D1905" t="s">
        <v>464</v>
      </c>
    </row>
    <row r="1906" spans="1:4" x14ac:dyDescent="0.25">
      <c r="A1906" t="s">
        <v>395</v>
      </c>
      <c r="B1906">
        <v>91</v>
      </c>
      <c r="C1906" t="s">
        <v>125</v>
      </c>
      <c r="D1906" t="s">
        <v>396</v>
      </c>
    </row>
    <row r="1907" spans="1:4" x14ac:dyDescent="0.25">
      <c r="A1907" t="s">
        <v>326</v>
      </c>
      <c r="B1907">
        <v>85</v>
      </c>
      <c r="C1907" t="s">
        <v>125</v>
      </c>
      <c r="D1907" t="s">
        <v>325</v>
      </c>
    </row>
    <row r="1908" spans="1:4" x14ac:dyDescent="0.25">
      <c r="A1908" t="s">
        <v>374</v>
      </c>
      <c r="B1908">
        <v>79</v>
      </c>
      <c r="C1908" t="s">
        <v>125</v>
      </c>
      <c r="D1908" t="s">
        <v>373</v>
      </c>
    </row>
    <row r="1909" spans="1:4" x14ac:dyDescent="0.25">
      <c r="A1909" t="s">
        <v>481</v>
      </c>
      <c r="B1909">
        <v>68</v>
      </c>
      <c r="C1909" t="s">
        <v>125</v>
      </c>
      <c r="D1909" t="s">
        <v>478</v>
      </c>
    </row>
    <row r="1910" spans="1:4" x14ac:dyDescent="0.25">
      <c r="A1910" t="s">
        <v>335</v>
      </c>
      <c r="B1910">
        <v>67</v>
      </c>
      <c r="C1910" t="s">
        <v>125</v>
      </c>
      <c r="D1910" t="s">
        <v>336</v>
      </c>
    </row>
    <row r="1911" spans="1:4" x14ac:dyDescent="0.25">
      <c r="A1911" t="s">
        <v>385</v>
      </c>
      <c r="B1911">
        <v>61</v>
      </c>
      <c r="C1911" t="s">
        <v>125</v>
      </c>
      <c r="D1911" t="s">
        <v>386</v>
      </c>
    </row>
    <row r="1912" spans="1:4" x14ac:dyDescent="0.25">
      <c r="A1912" t="s">
        <v>261</v>
      </c>
      <c r="B1912">
        <v>60</v>
      </c>
      <c r="C1912" t="s">
        <v>125</v>
      </c>
      <c r="D1912" t="s">
        <v>249</v>
      </c>
    </row>
    <row r="1913" spans="1:4" x14ac:dyDescent="0.25">
      <c r="A1913" t="s">
        <v>264</v>
      </c>
      <c r="B1913">
        <v>57</v>
      </c>
      <c r="C1913" t="s">
        <v>125</v>
      </c>
      <c r="D1913" t="s">
        <v>249</v>
      </c>
    </row>
    <row r="1914" spans="1:4" x14ac:dyDescent="0.25">
      <c r="A1914" t="s">
        <v>295</v>
      </c>
      <c r="B1914">
        <v>57</v>
      </c>
      <c r="C1914" t="s">
        <v>125</v>
      </c>
      <c r="D1914" t="s">
        <v>296</v>
      </c>
    </row>
    <row r="1915" spans="1:4" x14ac:dyDescent="0.25">
      <c r="A1915" t="s">
        <v>208</v>
      </c>
      <c r="B1915">
        <v>53</v>
      </c>
      <c r="C1915" t="s">
        <v>886</v>
      </c>
      <c r="D1915" t="s">
        <v>209</v>
      </c>
    </row>
    <row r="1916" spans="1:4" x14ac:dyDescent="0.25">
      <c r="A1916" t="s">
        <v>440</v>
      </c>
      <c r="B1916">
        <v>51</v>
      </c>
      <c r="C1916" t="s">
        <v>125</v>
      </c>
      <c r="D1916" t="s">
        <v>401</v>
      </c>
    </row>
    <row r="1917" spans="1:4" x14ac:dyDescent="0.25">
      <c r="A1917" t="s">
        <v>200</v>
      </c>
      <c r="B1917">
        <v>48</v>
      </c>
      <c r="C1917" t="s">
        <v>886</v>
      </c>
      <c r="D1917" t="s">
        <v>201</v>
      </c>
    </row>
    <row r="1918" spans="1:4" x14ac:dyDescent="0.25">
      <c r="A1918" t="s">
        <v>450</v>
      </c>
      <c r="B1918">
        <v>45</v>
      </c>
      <c r="C1918" t="s">
        <v>125</v>
      </c>
      <c r="D1918" t="s">
        <v>442</v>
      </c>
    </row>
    <row r="1919" spans="1:4" x14ac:dyDescent="0.25">
      <c r="A1919" t="s">
        <v>257</v>
      </c>
      <c r="B1919">
        <v>44</v>
      </c>
      <c r="C1919" t="s">
        <v>125</v>
      </c>
      <c r="D1919" t="s">
        <v>249</v>
      </c>
    </row>
    <row r="1920" spans="1:4" x14ac:dyDescent="0.25">
      <c r="A1920" t="s">
        <v>226</v>
      </c>
      <c r="B1920">
        <v>44</v>
      </c>
      <c r="C1920" t="s">
        <v>886</v>
      </c>
      <c r="D1920" t="s">
        <v>227</v>
      </c>
    </row>
    <row r="1921" spans="1:4" x14ac:dyDescent="0.25">
      <c r="A1921" t="s">
        <v>441</v>
      </c>
      <c r="B1921">
        <v>43</v>
      </c>
      <c r="C1921" t="s">
        <v>125</v>
      </c>
      <c r="D1921" t="s">
        <v>442</v>
      </c>
    </row>
    <row r="1922" spans="1:4" x14ac:dyDescent="0.25">
      <c r="A1922" t="s">
        <v>429</v>
      </c>
      <c r="B1922">
        <v>40</v>
      </c>
      <c r="C1922" t="s">
        <v>125</v>
      </c>
      <c r="D1922" t="s">
        <v>401</v>
      </c>
    </row>
    <row r="1923" spans="1:4" x14ac:dyDescent="0.25">
      <c r="A1923" t="s">
        <v>431</v>
      </c>
      <c r="B1923">
        <v>38</v>
      </c>
      <c r="C1923" t="s">
        <v>125</v>
      </c>
      <c r="D1923" t="s">
        <v>401</v>
      </c>
    </row>
    <row r="1924" spans="1:4" x14ac:dyDescent="0.25">
      <c r="A1924" t="s">
        <v>254</v>
      </c>
      <c r="B1924">
        <v>28</v>
      </c>
      <c r="C1924" t="s">
        <v>125</v>
      </c>
      <c r="D1924" t="s">
        <v>249</v>
      </c>
    </row>
    <row r="1925" spans="1:4" x14ac:dyDescent="0.25">
      <c r="A1925" t="s">
        <v>340</v>
      </c>
      <c r="B1925">
        <v>25</v>
      </c>
      <c r="C1925" t="s">
        <v>125</v>
      </c>
      <c r="D1925" t="s">
        <v>341</v>
      </c>
    </row>
    <row r="1926" spans="1:4" x14ac:dyDescent="0.25">
      <c r="A1926" t="s">
        <v>245</v>
      </c>
      <c r="B1926">
        <v>25</v>
      </c>
      <c r="C1926" t="s">
        <v>886</v>
      </c>
      <c r="D1926" t="s">
        <v>246</v>
      </c>
    </row>
    <row r="1927" spans="1:4" x14ac:dyDescent="0.25">
      <c r="A1927" t="s">
        <v>69</v>
      </c>
      <c r="B1927">
        <v>30</v>
      </c>
    </row>
    <row r="1928" spans="1:4" x14ac:dyDescent="0.25">
      <c r="A1928" t="s">
        <v>185</v>
      </c>
      <c r="B1928">
        <v>7094</v>
      </c>
      <c r="C1928" t="s">
        <v>886</v>
      </c>
      <c r="D1928" t="s">
        <v>186</v>
      </c>
    </row>
    <row r="1929" spans="1:4" x14ac:dyDescent="0.25">
      <c r="A1929" t="s">
        <v>188</v>
      </c>
      <c r="B1929">
        <v>639</v>
      </c>
      <c r="C1929" t="s">
        <v>886</v>
      </c>
      <c r="D1929" t="s">
        <v>189</v>
      </c>
    </row>
    <row r="1930" spans="1:4" x14ac:dyDescent="0.25">
      <c r="A1930" t="s">
        <v>191</v>
      </c>
      <c r="B1930">
        <v>319</v>
      </c>
      <c r="C1930" t="s">
        <v>886</v>
      </c>
      <c r="D1930" t="s">
        <v>192</v>
      </c>
    </row>
    <row r="1931" spans="1:4" x14ac:dyDescent="0.25">
      <c r="A1931" t="s">
        <v>359</v>
      </c>
      <c r="B1931">
        <v>254</v>
      </c>
      <c r="C1931" t="s">
        <v>125</v>
      </c>
      <c r="D1931" t="s">
        <v>360</v>
      </c>
    </row>
    <row r="1932" spans="1:4" x14ac:dyDescent="0.25">
      <c r="A1932" t="s">
        <v>248</v>
      </c>
      <c r="B1932">
        <v>116</v>
      </c>
      <c r="C1932" t="s">
        <v>125</v>
      </c>
      <c r="D1932" t="s">
        <v>249</v>
      </c>
    </row>
    <row r="1933" spans="1:4" x14ac:dyDescent="0.25">
      <c r="A1933" t="s">
        <v>250</v>
      </c>
      <c r="B1933">
        <v>86</v>
      </c>
      <c r="C1933" t="s">
        <v>125</v>
      </c>
      <c r="D1933" t="s">
        <v>249</v>
      </c>
    </row>
    <row r="1934" spans="1:4" x14ac:dyDescent="0.25">
      <c r="A1934" t="s">
        <v>314</v>
      </c>
      <c r="B1934">
        <v>68</v>
      </c>
      <c r="C1934" t="s">
        <v>125</v>
      </c>
      <c r="D1934" t="s">
        <v>315</v>
      </c>
    </row>
    <row r="1935" spans="1:4" x14ac:dyDescent="0.25">
      <c r="A1935" t="s">
        <v>194</v>
      </c>
      <c r="B1935">
        <v>58</v>
      </c>
      <c r="C1935" t="s">
        <v>886</v>
      </c>
      <c r="D1935" t="s">
        <v>195</v>
      </c>
    </row>
    <row r="1936" spans="1:4" x14ac:dyDescent="0.25">
      <c r="A1936" t="s">
        <v>317</v>
      </c>
      <c r="B1936">
        <v>31</v>
      </c>
      <c r="C1936" t="s">
        <v>125</v>
      </c>
      <c r="D1936" t="s">
        <v>318</v>
      </c>
    </row>
    <row r="1937" spans="1:4" x14ac:dyDescent="0.25">
      <c r="A1937" t="s">
        <v>276</v>
      </c>
      <c r="B1937">
        <v>28</v>
      </c>
      <c r="C1937" t="s">
        <v>125</v>
      </c>
      <c r="D1937" t="s">
        <v>249</v>
      </c>
    </row>
    <row r="1938" spans="1:4" x14ac:dyDescent="0.25">
      <c r="A1938" t="s">
        <v>282</v>
      </c>
      <c r="B1938">
        <v>28</v>
      </c>
      <c r="C1938" t="s">
        <v>125</v>
      </c>
      <c r="D1938" t="s">
        <v>249</v>
      </c>
    </row>
    <row r="1939" spans="1:4" x14ac:dyDescent="0.25">
      <c r="A1939" t="s">
        <v>307</v>
      </c>
      <c r="B1939">
        <v>26</v>
      </c>
      <c r="C1939" t="s">
        <v>125</v>
      </c>
      <c r="D1939" t="s">
        <v>308</v>
      </c>
    </row>
    <row r="1940" spans="1:4" x14ac:dyDescent="0.25">
      <c r="A1940" t="s">
        <v>251</v>
      </c>
      <c r="B1940">
        <v>23</v>
      </c>
      <c r="C1940" t="s">
        <v>125</v>
      </c>
      <c r="D1940" t="s">
        <v>249</v>
      </c>
    </row>
    <row r="1941" spans="1:4" x14ac:dyDescent="0.25">
      <c r="A1941" t="s">
        <v>197</v>
      </c>
      <c r="B1941">
        <v>22</v>
      </c>
      <c r="C1941" t="s">
        <v>886</v>
      </c>
      <c r="D1941" t="s">
        <v>198</v>
      </c>
    </row>
    <row r="1942" spans="1:4" x14ac:dyDescent="0.25">
      <c r="A1942" t="s">
        <v>328</v>
      </c>
      <c r="B1942">
        <v>21</v>
      </c>
      <c r="C1942" t="s">
        <v>125</v>
      </c>
      <c r="D1942" t="s">
        <v>325</v>
      </c>
    </row>
    <row r="1943" spans="1:4" x14ac:dyDescent="0.25">
      <c r="A1943" t="s">
        <v>366</v>
      </c>
      <c r="B1943">
        <v>20</v>
      </c>
      <c r="C1943" t="s">
        <v>125</v>
      </c>
      <c r="D1943" t="s">
        <v>365</v>
      </c>
    </row>
    <row r="1944" spans="1:4" x14ac:dyDescent="0.25">
      <c r="A1944" t="s">
        <v>395</v>
      </c>
      <c r="B1944">
        <v>18</v>
      </c>
      <c r="C1944" t="s">
        <v>125</v>
      </c>
      <c r="D1944" t="s">
        <v>396</v>
      </c>
    </row>
    <row r="1945" spans="1:4" x14ac:dyDescent="0.25">
      <c r="A1945" t="s">
        <v>280</v>
      </c>
      <c r="B1945">
        <v>17</v>
      </c>
      <c r="C1945" t="s">
        <v>125</v>
      </c>
      <c r="D1945" t="s">
        <v>249</v>
      </c>
    </row>
    <row r="1946" spans="1:4" x14ac:dyDescent="0.25">
      <c r="A1946" t="s">
        <v>200</v>
      </c>
      <c r="B1946">
        <v>15</v>
      </c>
      <c r="C1946" t="s">
        <v>886</v>
      </c>
      <c r="D1946" t="s">
        <v>201</v>
      </c>
    </row>
    <row r="1947" spans="1:4" x14ac:dyDescent="0.25">
      <c r="A1947" t="s">
        <v>441</v>
      </c>
      <c r="B1947">
        <v>11</v>
      </c>
      <c r="C1947" t="s">
        <v>125</v>
      </c>
      <c r="D1947" t="s">
        <v>442</v>
      </c>
    </row>
    <row r="1948" spans="1:4" x14ac:dyDescent="0.25">
      <c r="A1948" t="s">
        <v>459</v>
      </c>
      <c r="B1948">
        <v>8</v>
      </c>
      <c r="C1948" t="s">
        <v>125</v>
      </c>
      <c r="D1948" t="s">
        <v>460</v>
      </c>
    </row>
    <row r="1949" spans="1:4" x14ac:dyDescent="0.25">
      <c r="A1949" t="s">
        <v>461</v>
      </c>
      <c r="B1949">
        <v>6</v>
      </c>
      <c r="C1949" t="s">
        <v>125</v>
      </c>
      <c r="D1949" t="s">
        <v>462</v>
      </c>
    </row>
    <row r="1950" spans="1:4" x14ac:dyDescent="0.25">
      <c r="A1950" t="s">
        <v>285</v>
      </c>
      <c r="B1950">
        <v>6</v>
      </c>
      <c r="C1950" t="s">
        <v>125</v>
      </c>
      <c r="D1950" t="s">
        <v>249</v>
      </c>
    </row>
    <row r="1951" spans="1:4" x14ac:dyDescent="0.25">
      <c r="A1951" t="s">
        <v>403</v>
      </c>
      <c r="B1951">
        <v>6</v>
      </c>
      <c r="C1951" t="s">
        <v>125</v>
      </c>
      <c r="D1951" t="s">
        <v>401</v>
      </c>
    </row>
    <row r="1952" spans="1:4" x14ac:dyDescent="0.25">
      <c r="A1952" t="s">
        <v>254</v>
      </c>
      <c r="B1952">
        <v>5</v>
      </c>
      <c r="C1952" t="s">
        <v>125</v>
      </c>
      <c r="D1952" t="s">
        <v>249</v>
      </c>
    </row>
    <row r="1953" spans="1:4" x14ac:dyDescent="0.25">
      <c r="A1953" t="s">
        <v>445</v>
      </c>
      <c r="B1953">
        <v>4</v>
      </c>
      <c r="C1953" t="s">
        <v>125</v>
      </c>
      <c r="D1953" t="s">
        <v>442</v>
      </c>
    </row>
    <row r="1954" spans="1:4" x14ac:dyDescent="0.25">
      <c r="A1954" t="s">
        <v>481</v>
      </c>
      <c r="B1954">
        <v>4</v>
      </c>
      <c r="C1954" t="s">
        <v>125</v>
      </c>
      <c r="D1954" t="s">
        <v>478</v>
      </c>
    </row>
    <row r="1955" spans="1:4" x14ac:dyDescent="0.25">
      <c r="A1955" t="s">
        <v>353</v>
      </c>
      <c r="B1955">
        <v>3</v>
      </c>
      <c r="C1955" t="s">
        <v>125</v>
      </c>
      <c r="D1955" t="s">
        <v>354</v>
      </c>
    </row>
    <row r="1956" spans="1:4" x14ac:dyDescent="0.25">
      <c r="A1956" t="s">
        <v>385</v>
      </c>
      <c r="B1956">
        <v>3</v>
      </c>
      <c r="C1956" t="s">
        <v>125</v>
      </c>
      <c r="D1956" t="s">
        <v>386</v>
      </c>
    </row>
    <row r="1957" spans="1:4" x14ac:dyDescent="0.25">
      <c r="A1957" t="s">
        <v>203</v>
      </c>
      <c r="B1957">
        <v>3</v>
      </c>
      <c r="C1957" t="s">
        <v>886</v>
      </c>
      <c r="D1957" t="s">
        <v>204</v>
      </c>
    </row>
    <row r="1958" spans="1:4" x14ac:dyDescent="0.25">
      <c r="A1958" t="s">
        <v>70</v>
      </c>
      <c r="B1958">
        <v>33</v>
      </c>
    </row>
    <row r="1959" spans="1:4" x14ac:dyDescent="0.25">
      <c r="A1959" t="s">
        <v>185</v>
      </c>
      <c r="B1959">
        <v>11578</v>
      </c>
      <c r="C1959" t="s">
        <v>886</v>
      </c>
      <c r="D1959" t="s">
        <v>186</v>
      </c>
    </row>
    <row r="1960" spans="1:4" x14ac:dyDescent="0.25">
      <c r="A1960" t="s">
        <v>191</v>
      </c>
      <c r="B1960">
        <v>1606</v>
      </c>
      <c r="C1960" t="s">
        <v>886</v>
      </c>
      <c r="D1960" t="s">
        <v>192</v>
      </c>
    </row>
    <row r="1961" spans="1:4" x14ac:dyDescent="0.25">
      <c r="A1961" t="s">
        <v>214</v>
      </c>
      <c r="B1961">
        <v>756</v>
      </c>
      <c r="C1961" t="s">
        <v>886</v>
      </c>
      <c r="D1961" t="s">
        <v>215</v>
      </c>
    </row>
    <row r="1962" spans="1:4" x14ac:dyDescent="0.25">
      <c r="A1962" t="s">
        <v>326</v>
      </c>
      <c r="B1962">
        <v>657</v>
      </c>
      <c r="C1962" t="s">
        <v>125</v>
      </c>
      <c r="D1962" t="s">
        <v>325</v>
      </c>
    </row>
    <row r="1963" spans="1:4" x14ac:dyDescent="0.25">
      <c r="A1963" t="s">
        <v>340</v>
      </c>
      <c r="B1963">
        <v>412</v>
      </c>
      <c r="C1963" t="s">
        <v>125</v>
      </c>
      <c r="D1963" t="s">
        <v>341</v>
      </c>
    </row>
    <row r="1964" spans="1:4" x14ac:dyDescent="0.25">
      <c r="A1964" t="s">
        <v>208</v>
      </c>
      <c r="B1964">
        <v>340</v>
      </c>
      <c r="C1964" t="s">
        <v>886</v>
      </c>
      <c r="D1964" t="s">
        <v>209</v>
      </c>
    </row>
    <row r="1965" spans="1:4" x14ac:dyDescent="0.25">
      <c r="A1965" t="s">
        <v>385</v>
      </c>
      <c r="B1965">
        <v>173</v>
      </c>
      <c r="C1965" t="s">
        <v>125</v>
      </c>
      <c r="D1965" t="s">
        <v>386</v>
      </c>
    </row>
    <row r="1966" spans="1:4" x14ac:dyDescent="0.25">
      <c r="A1966" t="s">
        <v>203</v>
      </c>
      <c r="B1966">
        <v>160</v>
      </c>
      <c r="C1966" t="s">
        <v>886</v>
      </c>
      <c r="D1966" t="s">
        <v>204</v>
      </c>
    </row>
    <row r="1967" spans="1:4" x14ac:dyDescent="0.25">
      <c r="A1967" t="s">
        <v>304</v>
      </c>
      <c r="B1967">
        <v>77</v>
      </c>
      <c r="C1967" t="s">
        <v>125</v>
      </c>
      <c r="D1967" t="s">
        <v>305</v>
      </c>
    </row>
    <row r="1968" spans="1:4" x14ac:dyDescent="0.25">
      <c r="A1968" t="s">
        <v>314</v>
      </c>
      <c r="B1968">
        <v>70</v>
      </c>
      <c r="C1968" t="s">
        <v>125</v>
      </c>
      <c r="D1968" t="s">
        <v>315</v>
      </c>
    </row>
    <row r="1969" spans="1:4" x14ac:dyDescent="0.25">
      <c r="A1969" t="s">
        <v>250</v>
      </c>
      <c r="B1969">
        <v>64</v>
      </c>
      <c r="C1969" t="s">
        <v>125</v>
      </c>
      <c r="D1969" t="s">
        <v>249</v>
      </c>
    </row>
    <row r="1970" spans="1:4" x14ac:dyDescent="0.25">
      <c r="A1970" t="s">
        <v>188</v>
      </c>
      <c r="B1970">
        <v>63</v>
      </c>
      <c r="C1970" t="s">
        <v>886</v>
      </c>
      <c r="D1970" t="s">
        <v>189</v>
      </c>
    </row>
    <row r="1971" spans="1:4" x14ac:dyDescent="0.25">
      <c r="A1971" t="s">
        <v>306</v>
      </c>
      <c r="B1971">
        <v>54</v>
      </c>
      <c r="C1971" t="s">
        <v>125</v>
      </c>
      <c r="D1971" t="s">
        <v>305</v>
      </c>
    </row>
    <row r="1972" spans="1:4" x14ac:dyDescent="0.25">
      <c r="A1972" t="s">
        <v>446</v>
      </c>
      <c r="B1972">
        <v>54</v>
      </c>
      <c r="C1972" t="s">
        <v>125</v>
      </c>
      <c r="D1972" t="s">
        <v>442</v>
      </c>
    </row>
    <row r="1973" spans="1:4" x14ac:dyDescent="0.25">
      <c r="A1973" t="s">
        <v>200</v>
      </c>
      <c r="B1973">
        <v>49</v>
      </c>
      <c r="C1973" t="s">
        <v>886</v>
      </c>
      <c r="D1973" t="s">
        <v>201</v>
      </c>
    </row>
    <row r="1974" spans="1:4" x14ac:dyDescent="0.25">
      <c r="A1974" t="s">
        <v>259</v>
      </c>
      <c r="B1974">
        <v>48</v>
      </c>
      <c r="C1974" t="s">
        <v>125</v>
      </c>
      <c r="D1974" t="s">
        <v>249</v>
      </c>
    </row>
    <row r="1975" spans="1:4" x14ac:dyDescent="0.25">
      <c r="A1975" t="s">
        <v>479</v>
      </c>
      <c r="B1975">
        <v>47</v>
      </c>
      <c r="C1975" t="s">
        <v>125</v>
      </c>
      <c r="D1975" t="s">
        <v>478</v>
      </c>
    </row>
    <row r="1976" spans="1:4" x14ac:dyDescent="0.25">
      <c r="A1976" t="s">
        <v>420</v>
      </c>
      <c r="B1976">
        <v>29</v>
      </c>
      <c r="C1976" t="s">
        <v>125</v>
      </c>
      <c r="D1976" t="s">
        <v>401</v>
      </c>
    </row>
    <row r="1977" spans="1:4" x14ac:dyDescent="0.25">
      <c r="A1977" t="s">
        <v>471</v>
      </c>
      <c r="B1977">
        <v>29</v>
      </c>
      <c r="C1977" t="s">
        <v>125</v>
      </c>
      <c r="D1977" t="s">
        <v>472</v>
      </c>
    </row>
    <row r="1978" spans="1:4" x14ac:dyDescent="0.25">
      <c r="A1978" t="s">
        <v>232</v>
      </c>
      <c r="B1978">
        <v>26</v>
      </c>
      <c r="C1978" t="s">
        <v>886</v>
      </c>
      <c r="D1978" t="s">
        <v>204</v>
      </c>
    </row>
    <row r="1979" spans="1:4" x14ac:dyDescent="0.25">
      <c r="A1979" t="s">
        <v>251</v>
      </c>
      <c r="B1979">
        <v>22</v>
      </c>
      <c r="C1979" t="s">
        <v>125</v>
      </c>
      <c r="D1979" t="s">
        <v>249</v>
      </c>
    </row>
    <row r="1980" spans="1:4" x14ac:dyDescent="0.25">
      <c r="A1980" t="s">
        <v>383</v>
      </c>
      <c r="B1980">
        <v>22</v>
      </c>
      <c r="C1980" t="s">
        <v>125</v>
      </c>
      <c r="D1980" t="s">
        <v>382</v>
      </c>
    </row>
    <row r="1981" spans="1:4" x14ac:dyDescent="0.25">
      <c r="A1981" t="s">
        <v>330</v>
      </c>
      <c r="B1981">
        <v>20</v>
      </c>
      <c r="C1981" t="s">
        <v>125</v>
      </c>
      <c r="D1981" t="s">
        <v>331</v>
      </c>
    </row>
    <row r="1982" spans="1:4" x14ac:dyDescent="0.25">
      <c r="A1982" t="s">
        <v>289</v>
      </c>
      <c r="B1982">
        <v>18</v>
      </c>
      <c r="C1982" t="s">
        <v>125</v>
      </c>
      <c r="D1982" t="s">
        <v>290</v>
      </c>
    </row>
    <row r="1983" spans="1:4" x14ac:dyDescent="0.25">
      <c r="A1983" t="s">
        <v>473</v>
      </c>
      <c r="B1983">
        <v>12</v>
      </c>
      <c r="C1983" t="s">
        <v>125</v>
      </c>
      <c r="D1983" t="s">
        <v>474</v>
      </c>
    </row>
    <row r="1984" spans="1:4" x14ac:dyDescent="0.25">
      <c r="A1984" t="s">
        <v>220</v>
      </c>
      <c r="B1984">
        <v>11</v>
      </c>
      <c r="C1984" t="s">
        <v>886</v>
      </c>
      <c r="D1984" t="s">
        <v>221</v>
      </c>
    </row>
    <row r="1985" spans="1:4" x14ac:dyDescent="0.25">
      <c r="A1985" t="s">
        <v>270</v>
      </c>
      <c r="B1985">
        <v>8</v>
      </c>
      <c r="C1985" t="s">
        <v>125</v>
      </c>
      <c r="D1985" t="s">
        <v>249</v>
      </c>
    </row>
    <row r="1986" spans="1:4" x14ac:dyDescent="0.25">
      <c r="A1986" t="s">
        <v>345</v>
      </c>
      <c r="B1986">
        <v>8</v>
      </c>
      <c r="C1986" t="s">
        <v>125</v>
      </c>
      <c r="D1986" t="s">
        <v>346</v>
      </c>
    </row>
    <row r="1987" spans="1:4" x14ac:dyDescent="0.25">
      <c r="A1987" t="s">
        <v>217</v>
      </c>
      <c r="B1987">
        <v>7</v>
      </c>
      <c r="C1987" t="s">
        <v>886</v>
      </c>
      <c r="D1987" t="s">
        <v>218</v>
      </c>
    </row>
    <row r="1988" spans="1:4" x14ac:dyDescent="0.25">
      <c r="A1988" t="s">
        <v>261</v>
      </c>
      <c r="B1988">
        <v>6</v>
      </c>
      <c r="C1988" t="s">
        <v>125</v>
      </c>
      <c r="D1988" t="s">
        <v>249</v>
      </c>
    </row>
    <row r="1989" spans="1:4" x14ac:dyDescent="0.25">
      <c r="A1989" t="s">
        <v>454</v>
      </c>
      <c r="B1989">
        <v>5</v>
      </c>
      <c r="C1989" t="s">
        <v>125</v>
      </c>
      <c r="D1989" t="s">
        <v>442</v>
      </c>
    </row>
    <row r="1990" spans="1:4" x14ac:dyDescent="0.25">
      <c r="A1990" t="s">
        <v>258</v>
      </c>
      <c r="B1990">
        <v>4</v>
      </c>
      <c r="C1990" t="s">
        <v>125</v>
      </c>
      <c r="D1990" t="s">
        <v>249</v>
      </c>
    </row>
    <row r="1991" spans="1:4" x14ac:dyDescent="0.25">
      <c r="A1991" t="s">
        <v>418</v>
      </c>
      <c r="B1991">
        <v>2</v>
      </c>
      <c r="C1991" t="s">
        <v>125</v>
      </c>
      <c r="D1991" t="s">
        <v>401</v>
      </c>
    </row>
    <row r="1992" spans="1:4" x14ac:dyDescent="0.25">
      <c r="A1992" t="s">
        <v>71</v>
      </c>
      <c r="B1992">
        <v>11</v>
      </c>
    </row>
    <row r="1993" spans="1:4" x14ac:dyDescent="0.25">
      <c r="A1993" t="s">
        <v>368</v>
      </c>
      <c r="B1993">
        <v>11742</v>
      </c>
      <c r="C1993" t="s">
        <v>125</v>
      </c>
      <c r="D1993" t="s">
        <v>369</v>
      </c>
    </row>
    <row r="1994" spans="1:4" x14ac:dyDescent="0.25">
      <c r="A1994" t="s">
        <v>185</v>
      </c>
      <c r="B1994">
        <v>2272</v>
      </c>
      <c r="C1994" t="s">
        <v>886</v>
      </c>
      <c r="D1994" t="s">
        <v>186</v>
      </c>
    </row>
    <row r="1995" spans="1:4" x14ac:dyDescent="0.25">
      <c r="A1995" t="s">
        <v>208</v>
      </c>
      <c r="B1995">
        <v>923</v>
      </c>
      <c r="C1995" t="s">
        <v>886</v>
      </c>
      <c r="D1995" t="s">
        <v>209</v>
      </c>
    </row>
    <row r="1996" spans="1:4" x14ac:dyDescent="0.25">
      <c r="A1996" t="s">
        <v>191</v>
      </c>
      <c r="B1996">
        <v>192</v>
      </c>
      <c r="C1996" t="s">
        <v>886</v>
      </c>
      <c r="D1996" t="s">
        <v>192</v>
      </c>
    </row>
    <row r="1997" spans="1:4" x14ac:dyDescent="0.25">
      <c r="A1997" t="s">
        <v>370</v>
      </c>
      <c r="B1997">
        <v>69</v>
      </c>
      <c r="C1997" t="s">
        <v>125</v>
      </c>
      <c r="D1997" t="s">
        <v>371</v>
      </c>
    </row>
    <row r="1998" spans="1:4" x14ac:dyDescent="0.25">
      <c r="A1998" t="s">
        <v>226</v>
      </c>
      <c r="B1998">
        <v>15</v>
      </c>
      <c r="C1998" t="s">
        <v>886</v>
      </c>
      <c r="D1998" t="s">
        <v>227</v>
      </c>
    </row>
    <row r="1999" spans="1:4" x14ac:dyDescent="0.25">
      <c r="A1999" t="s">
        <v>328</v>
      </c>
      <c r="B1999">
        <v>13</v>
      </c>
      <c r="C1999" t="s">
        <v>125</v>
      </c>
      <c r="D1999" t="s">
        <v>325</v>
      </c>
    </row>
    <row r="2000" spans="1:4" x14ac:dyDescent="0.25">
      <c r="A2000" t="s">
        <v>316</v>
      </c>
      <c r="B2000">
        <v>12</v>
      </c>
      <c r="C2000" t="s">
        <v>125</v>
      </c>
      <c r="D2000" t="s">
        <v>315</v>
      </c>
    </row>
    <row r="2001" spans="1:4" x14ac:dyDescent="0.25">
      <c r="A2001" t="s">
        <v>188</v>
      </c>
      <c r="B2001">
        <v>9</v>
      </c>
      <c r="C2001" t="s">
        <v>886</v>
      </c>
      <c r="D2001" t="s">
        <v>189</v>
      </c>
    </row>
    <row r="2002" spans="1:4" x14ac:dyDescent="0.25">
      <c r="A2002" t="s">
        <v>203</v>
      </c>
      <c r="B2002">
        <v>7</v>
      </c>
      <c r="C2002" t="s">
        <v>886</v>
      </c>
      <c r="D2002" t="s">
        <v>204</v>
      </c>
    </row>
    <row r="2003" spans="1:4" x14ac:dyDescent="0.25">
      <c r="A2003" t="s">
        <v>393</v>
      </c>
      <c r="B2003">
        <v>6</v>
      </c>
      <c r="C2003" t="s">
        <v>125</v>
      </c>
      <c r="D2003" t="s">
        <v>394</v>
      </c>
    </row>
    <row r="2004" spans="1:4" x14ac:dyDescent="0.25">
      <c r="A2004" t="s">
        <v>72</v>
      </c>
      <c r="B2004">
        <v>25</v>
      </c>
    </row>
    <row r="2005" spans="1:4" x14ac:dyDescent="0.25">
      <c r="A2005" t="s">
        <v>191</v>
      </c>
      <c r="B2005">
        <v>9921</v>
      </c>
      <c r="C2005" t="s">
        <v>886</v>
      </c>
      <c r="D2005" t="s">
        <v>192</v>
      </c>
    </row>
    <row r="2006" spans="1:4" x14ac:dyDescent="0.25">
      <c r="A2006" t="s">
        <v>206</v>
      </c>
      <c r="B2006">
        <v>4113</v>
      </c>
      <c r="C2006" t="s">
        <v>886</v>
      </c>
      <c r="D2006" t="s">
        <v>189</v>
      </c>
    </row>
    <row r="2007" spans="1:4" x14ac:dyDescent="0.25">
      <c r="A2007" t="s">
        <v>208</v>
      </c>
      <c r="B2007">
        <v>3247</v>
      </c>
      <c r="C2007" t="s">
        <v>886</v>
      </c>
      <c r="D2007" t="s">
        <v>209</v>
      </c>
    </row>
    <row r="2008" spans="1:4" x14ac:dyDescent="0.25">
      <c r="A2008" t="s">
        <v>185</v>
      </c>
      <c r="B2008">
        <v>2416</v>
      </c>
      <c r="C2008" t="s">
        <v>886</v>
      </c>
      <c r="D2008" t="s">
        <v>186</v>
      </c>
    </row>
    <row r="2009" spans="1:4" x14ac:dyDescent="0.25">
      <c r="A2009" t="s">
        <v>188</v>
      </c>
      <c r="B2009">
        <v>2010</v>
      </c>
      <c r="C2009" t="s">
        <v>886</v>
      </c>
      <c r="D2009" t="s">
        <v>189</v>
      </c>
    </row>
    <row r="2010" spans="1:4" x14ac:dyDescent="0.25">
      <c r="A2010" t="s">
        <v>320</v>
      </c>
      <c r="B2010">
        <v>367</v>
      </c>
      <c r="C2010" t="s">
        <v>125</v>
      </c>
      <c r="D2010" t="s">
        <v>321</v>
      </c>
    </row>
    <row r="2011" spans="1:4" x14ac:dyDescent="0.25">
      <c r="A2011" t="s">
        <v>200</v>
      </c>
      <c r="B2011">
        <v>208</v>
      </c>
      <c r="C2011" t="s">
        <v>886</v>
      </c>
      <c r="D2011" t="s">
        <v>201</v>
      </c>
    </row>
    <row r="2012" spans="1:4" x14ac:dyDescent="0.25">
      <c r="A2012" t="s">
        <v>266</v>
      </c>
      <c r="B2012">
        <v>170</v>
      </c>
      <c r="C2012" t="s">
        <v>125</v>
      </c>
      <c r="D2012" t="s">
        <v>249</v>
      </c>
    </row>
    <row r="2013" spans="1:4" x14ac:dyDescent="0.25">
      <c r="A2013" t="s">
        <v>314</v>
      </c>
      <c r="B2013">
        <v>150</v>
      </c>
      <c r="C2013" t="s">
        <v>125</v>
      </c>
      <c r="D2013" t="s">
        <v>315</v>
      </c>
    </row>
    <row r="2014" spans="1:4" x14ac:dyDescent="0.25">
      <c r="A2014" t="s">
        <v>446</v>
      </c>
      <c r="B2014">
        <v>99</v>
      </c>
      <c r="C2014" t="s">
        <v>125</v>
      </c>
      <c r="D2014" t="s">
        <v>442</v>
      </c>
    </row>
    <row r="2015" spans="1:4" x14ac:dyDescent="0.25">
      <c r="A2015" t="s">
        <v>362</v>
      </c>
      <c r="B2015">
        <v>88</v>
      </c>
      <c r="C2015" t="s">
        <v>125</v>
      </c>
      <c r="D2015" t="s">
        <v>363</v>
      </c>
    </row>
    <row r="2016" spans="1:4" x14ac:dyDescent="0.25">
      <c r="A2016" t="s">
        <v>357</v>
      </c>
      <c r="B2016">
        <v>86</v>
      </c>
      <c r="C2016" t="s">
        <v>125</v>
      </c>
      <c r="D2016" t="s">
        <v>356</v>
      </c>
    </row>
    <row r="2017" spans="1:4" x14ac:dyDescent="0.25">
      <c r="A2017" t="s">
        <v>383</v>
      </c>
      <c r="B2017">
        <v>65</v>
      </c>
      <c r="C2017" t="s">
        <v>125</v>
      </c>
      <c r="D2017" t="s">
        <v>382</v>
      </c>
    </row>
    <row r="2018" spans="1:4" x14ac:dyDescent="0.25">
      <c r="A2018" t="s">
        <v>479</v>
      </c>
      <c r="B2018">
        <v>57</v>
      </c>
      <c r="C2018" t="s">
        <v>125</v>
      </c>
      <c r="D2018" t="s">
        <v>478</v>
      </c>
    </row>
    <row r="2019" spans="1:4" x14ac:dyDescent="0.25">
      <c r="A2019" t="s">
        <v>220</v>
      </c>
      <c r="B2019">
        <v>55</v>
      </c>
      <c r="C2019" t="s">
        <v>886</v>
      </c>
      <c r="D2019" t="s">
        <v>221</v>
      </c>
    </row>
    <row r="2020" spans="1:4" x14ac:dyDescent="0.25">
      <c r="A2020" t="s">
        <v>351</v>
      </c>
      <c r="B2020">
        <v>55</v>
      </c>
      <c r="C2020" t="s">
        <v>125</v>
      </c>
      <c r="D2020" t="s">
        <v>352</v>
      </c>
    </row>
    <row r="2021" spans="1:4" x14ac:dyDescent="0.25">
      <c r="A2021" t="s">
        <v>289</v>
      </c>
      <c r="B2021">
        <v>53</v>
      </c>
      <c r="C2021" t="s">
        <v>125</v>
      </c>
      <c r="D2021" t="s">
        <v>290</v>
      </c>
    </row>
    <row r="2022" spans="1:4" x14ac:dyDescent="0.25">
      <c r="A2022" t="s">
        <v>452</v>
      </c>
      <c r="B2022">
        <v>47</v>
      </c>
      <c r="C2022" t="s">
        <v>125</v>
      </c>
      <c r="D2022" t="s">
        <v>442</v>
      </c>
    </row>
    <row r="2023" spans="1:4" x14ac:dyDescent="0.25">
      <c r="A2023" t="s">
        <v>367</v>
      </c>
      <c r="B2023">
        <v>46</v>
      </c>
      <c r="C2023" t="s">
        <v>125</v>
      </c>
      <c r="D2023" t="s">
        <v>365</v>
      </c>
    </row>
    <row r="2024" spans="1:4" x14ac:dyDescent="0.25">
      <c r="A2024" t="s">
        <v>471</v>
      </c>
      <c r="B2024">
        <v>42</v>
      </c>
      <c r="C2024" t="s">
        <v>125</v>
      </c>
      <c r="D2024" t="s">
        <v>472</v>
      </c>
    </row>
    <row r="2025" spans="1:4" x14ac:dyDescent="0.25">
      <c r="A2025" t="s">
        <v>454</v>
      </c>
      <c r="B2025">
        <v>33</v>
      </c>
      <c r="C2025" t="s">
        <v>125</v>
      </c>
      <c r="D2025" t="s">
        <v>442</v>
      </c>
    </row>
    <row r="2026" spans="1:4" x14ac:dyDescent="0.25">
      <c r="A2026" t="s">
        <v>483</v>
      </c>
      <c r="B2026">
        <v>28</v>
      </c>
      <c r="C2026" t="s">
        <v>125</v>
      </c>
      <c r="D2026" t="s">
        <v>478</v>
      </c>
    </row>
    <row r="2027" spans="1:4" x14ac:dyDescent="0.25">
      <c r="A2027" t="s">
        <v>328</v>
      </c>
      <c r="B2027">
        <v>28</v>
      </c>
      <c r="C2027" t="s">
        <v>125</v>
      </c>
      <c r="D2027" t="s">
        <v>325</v>
      </c>
    </row>
    <row r="2028" spans="1:4" x14ac:dyDescent="0.25">
      <c r="A2028" t="s">
        <v>445</v>
      </c>
      <c r="B2028">
        <v>24</v>
      </c>
      <c r="C2028" t="s">
        <v>125</v>
      </c>
      <c r="D2028" t="s">
        <v>442</v>
      </c>
    </row>
    <row r="2029" spans="1:4" x14ac:dyDescent="0.25">
      <c r="A2029" t="s">
        <v>421</v>
      </c>
      <c r="B2029">
        <v>8</v>
      </c>
      <c r="C2029" t="s">
        <v>125</v>
      </c>
      <c r="D2029" t="s">
        <v>401</v>
      </c>
    </row>
    <row r="2030" spans="1:4" x14ac:dyDescent="0.25">
      <c r="A2030" t="s">
        <v>73</v>
      </c>
      <c r="B2030">
        <v>7</v>
      </c>
    </row>
    <row r="2031" spans="1:4" x14ac:dyDescent="0.25">
      <c r="A2031" t="s">
        <v>194</v>
      </c>
      <c r="B2031">
        <v>6855</v>
      </c>
      <c r="C2031" t="s">
        <v>886</v>
      </c>
      <c r="D2031" t="s">
        <v>195</v>
      </c>
    </row>
    <row r="2032" spans="1:4" x14ac:dyDescent="0.25">
      <c r="A2032" t="s">
        <v>191</v>
      </c>
      <c r="B2032">
        <v>1170</v>
      </c>
      <c r="C2032" t="s">
        <v>886</v>
      </c>
      <c r="D2032" t="s">
        <v>192</v>
      </c>
    </row>
    <row r="2033" spans="1:4" x14ac:dyDescent="0.25">
      <c r="A2033" t="s">
        <v>185</v>
      </c>
      <c r="B2033">
        <v>302</v>
      </c>
      <c r="C2033" t="s">
        <v>886</v>
      </c>
      <c r="D2033" t="s">
        <v>186</v>
      </c>
    </row>
    <row r="2034" spans="1:4" x14ac:dyDescent="0.25">
      <c r="A2034" t="s">
        <v>208</v>
      </c>
      <c r="B2034">
        <v>211</v>
      </c>
      <c r="C2034" t="s">
        <v>886</v>
      </c>
      <c r="D2034" t="s">
        <v>209</v>
      </c>
    </row>
    <row r="2035" spans="1:4" x14ac:dyDescent="0.25">
      <c r="A2035" t="s">
        <v>188</v>
      </c>
      <c r="B2035">
        <v>109</v>
      </c>
      <c r="C2035" t="s">
        <v>886</v>
      </c>
      <c r="D2035" t="s">
        <v>189</v>
      </c>
    </row>
    <row r="2036" spans="1:4" x14ac:dyDescent="0.25">
      <c r="A2036" t="s">
        <v>364</v>
      </c>
      <c r="B2036">
        <v>103</v>
      </c>
      <c r="C2036" t="s">
        <v>125</v>
      </c>
      <c r="D2036" t="s">
        <v>365</v>
      </c>
    </row>
    <row r="2037" spans="1:4" x14ac:dyDescent="0.25">
      <c r="A2037" t="s">
        <v>258</v>
      </c>
      <c r="B2037">
        <v>97</v>
      </c>
      <c r="C2037" t="s">
        <v>125</v>
      </c>
      <c r="D2037" t="s">
        <v>249</v>
      </c>
    </row>
    <row r="2038" spans="1:4" x14ac:dyDescent="0.25">
      <c r="A2038" t="s">
        <v>74</v>
      </c>
      <c r="B2038">
        <v>29</v>
      </c>
    </row>
    <row r="2039" spans="1:4" x14ac:dyDescent="0.25">
      <c r="A2039" t="s">
        <v>185</v>
      </c>
      <c r="B2039">
        <v>7721</v>
      </c>
      <c r="C2039" t="s">
        <v>886</v>
      </c>
      <c r="D2039" t="s">
        <v>186</v>
      </c>
    </row>
    <row r="2040" spans="1:4" x14ac:dyDescent="0.25">
      <c r="A2040" t="s">
        <v>340</v>
      </c>
      <c r="B2040">
        <v>6053</v>
      </c>
      <c r="C2040" t="s">
        <v>125</v>
      </c>
      <c r="D2040" t="s">
        <v>341</v>
      </c>
    </row>
    <row r="2041" spans="1:4" x14ac:dyDescent="0.25">
      <c r="A2041" t="s">
        <v>191</v>
      </c>
      <c r="B2041">
        <v>1731</v>
      </c>
      <c r="C2041" t="s">
        <v>886</v>
      </c>
      <c r="D2041" t="s">
        <v>192</v>
      </c>
    </row>
    <row r="2042" spans="1:4" x14ac:dyDescent="0.25">
      <c r="A2042" t="s">
        <v>203</v>
      </c>
      <c r="B2042">
        <v>939</v>
      </c>
      <c r="C2042" t="s">
        <v>886</v>
      </c>
      <c r="D2042" t="s">
        <v>204</v>
      </c>
    </row>
    <row r="2043" spans="1:4" x14ac:dyDescent="0.25">
      <c r="A2043" t="s">
        <v>344</v>
      </c>
      <c r="B2043">
        <v>448</v>
      </c>
      <c r="C2043" t="s">
        <v>125</v>
      </c>
      <c r="D2043" t="s">
        <v>343</v>
      </c>
    </row>
    <row r="2044" spans="1:4" x14ac:dyDescent="0.25">
      <c r="A2044" t="s">
        <v>208</v>
      </c>
      <c r="B2044">
        <v>252</v>
      </c>
      <c r="C2044" t="s">
        <v>886</v>
      </c>
      <c r="D2044" t="s">
        <v>209</v>
      </c>
    </row>
    <row r="2045" spans="1:4" x14ac:dyDescent="0.25">
      <c r="A2045" t="s">
        <v>342</v>
      </c>
      <c r="B2045">
        <v>176</v>
      </c>
      <c r="C2045" t="s">
        <v>125</v>
      </c>
      <c r="D2045" t="s">
        <v>343</v>
      </c>
    </row>
    <row r="2046" spans="1:4" x14ac:dyDescent="0.25">
      <c r="A2046" t="s">
        <v>326</v>
      </c>
      <c r="B2046">
        <v>115</v>
      </c>
      <c r="C2046" t="s">
        <v>125</v>
      </c>
      <c r="D2046" t="s">
        <v>325</v>
      </c>
    </row>
    <row r="2047" spans="1:4" x14ac:dyDescent="0.25">
      <c r="A2047" t="s">
        <v>214</v>
      </c>
      <c r="B2047">
        <v>84</v>
      </c>
      <c r="C2047" t="s">
        <v>886</v>
      </c>
      <c r="D2047" t="s">
        <v>215</v>
      </c>
    </row>
    <row r="2048" spans="1:4" x14ac:dyDescent="0.25">
      <c r="A2048" t="s">
        <v>250</v>
      </c>
      <c r="B2048">
        <v>83</v>
      </c>
      <c r="C2048" t="s">
        <v>125</v>
      </c>
      <c r="D2048" t="s">
        <v>249</v>
      </c>
    </row>
    <row r="2049" spans="1:4" x14ac:dyDescent="0.25">
      <c r="A2049" t="s">
        <v>383</v>
      </c>
      <c r="B2049">
        <v>75</v>
      </c>
      <c r="C2049" t="s">
        <v>125</v>
      </c>
      <c r="D2049" t="s">
        <v>382</v>
      </c>
    </row>
    <row r="2050" spans="1:4" x14ac:dyDescent="0.25">
      <c r="A2050" t="s">
        <v>314</v>
      </c>
      <c r="B2050">
        <v>73</v>
      </c>
      <c r="C2050" t="s">
        <v>125</v>
      </c>
      <c r="D2050" t="s">
        <v>315</v>
      </c>
    </row>
    <row r="2051" spans="1:4" x14ac:dyDescent="0.25">
      <c r="A2051" t="s">
        <v>385</v>
      </c>
      <c r="B2051">
        <v>66</v>
      </c>
      <c r="C2051" t="s">
        <v>125</v>
      </c>
      <c r="D2051" t="s">
        <v>386</v>
      </c>
    </row>
    <row r="2052" spans="1:4" x14ac:dyDescent="0.25">
      <c r="A2052" t="s">
        <v>304</v>
      </c>
      <c r="B2052">
        <v>49</v>
      </c>
      <c r="C2052" t="s">
        <v>125</v>
      </c>
      <c r="D2052" t="s">
        <v>305</v>
      </c>
    </row>
    <row r="2053" spans="1:4" x14ac:dyDescent="0.25">
      <c r="A2053" t="s">
        <v>206</v>
      </c>
      <c r="B2053">
        <v>32</v>
      </c>
      <c r="C2053" t="s">
        <v>886</v>
      </c>
      <c r="D2053" t="s">
        <v>189</v>
      </c>
    </row>
    <row r="2054" spans="1:4" x14ac:dyDescent="0.25">
      <c r="A2054" t="s">
        <v>479</v>
      </c>
      <c r="B2054">
        <v>28</v>
      </c>
      <c r="C2054" t="s">
        <v>125</v>
      </c>
      <c r="D2054" t="s">
        <v>478</v>
      </c>
    </row>
    <row r="2055" spans="1:4" x14ac:dyDescent="0.25">
      <c r="A2055" t="s">
        <v>217</v>
      </c>
      <c r="B2055">
        <v>20</v>
      </c>
      <c r="C2055" t="s">
        <v>886</v>
      </c>
      <c r="D2055" t="s">
        <v>218</v>
      </c>
    </row>
    <row r="2056" spans="1:4" x14ac:dyDescent="0.25">
      <c r="A2056" t="s">
        <v>200</v>
      </c>
      <c r="B2056">
        <v>20</v>
      </c>
      <c r="C2056" t="s">
        <v>886</v>
      </c>
      <c r="D2056" t="s">
        <v>201</v>
      </c>
    </row>
    <row r="2057" spans="1:4" x14ac:dyDescent="0.25">
      <c r="A2057" t="s">
        <v>330</v>
      </c>
      <c r="B2057">
        <v>19</v>
      </c>
      <c r="C2057" t="s">
        <v>125</v>
      </c>
      <c r="D2057" t="s">
        <v>331</v>
      </c>
    </row>
    <row r="2058" spans="1:4" x14ac:dyDescent="0.25">
      <c r="A2058" t="s">
        <v>446</v>
      </c>
      <c r="B2058">
        <v>18</v>
      </c>
      <c r="C2058" t="s">
        <v>125</v>
      </c>
      <c r="D2058" t="s">
        <v>442</v>
      </c>
    </row>
    <row r="2059" spans="1:4" x14ac:dyDescent="0.25">
      <c r="A2059" t="s">
        <v>328</v>
      </c>
      <c r="B2059">
        <v>16</v>
      </c>
      <c r="C2059" t="s">
        <v>125</v>
      </c>
      <c r="D2059" t="s">
        <v>325</v>
      </c>
    </row>
    <row r="2060" spans="1:4" x14ac:dyDescent="0.25">
      <c r="A2060" t="s">
        <v>220</v>
      </c>
      <c r="B2060">
        <v>12</v>
      </c>
      <c r="C2060" t="s">
        <v>886</v>
      </c>
      <c r="D2060" t="s">
        <v>221</v>
      </c>
    </row>
    <row r="2061" spans="1:4" x14ac:dyDescent="0.25">
      <c r="A2061" t="s">
        <v>432</v>
      </c>
      <c r="B2061">
        <v>9</v>
      </c>
      <c r="C2061" t="s">
        <v>125</v>
      </c>
      <c r="D2061" t="s">
        <v>401</v>
      </c>
    </row>
    <row r="2062" spans="1:4" x14ac:dyDescent="0.25">
      <c r="A2062" t="s">
        <v>251</v>
      </c>
      <c r="B2062">
        <v>9</v>
      </c>
      <c r="C2062" t="s">
        <v>125</v>
      </c>
      <c r="D2062" t="s">
        <v>249</v>
      </c>
    </row>
    <row r="2063" spans="1:4" x14ac:dyDescent="0.25">
      <c r="A2063" t="s">
        <v>473</v>
      </c>
      <c r="B2063">
        <v>8</v>
      </c>
      <c r="C2063" t="s">
        <v>125</v>
      </c>
      <c r="D2063" t="s">
        <v>474</v>
      </c>
    </row>
    <row r="2064" spans="1:4" x14ac:dyDescent="0.25">
      <c r="A2064" t="s">
        <v>484</v>
      </c>
      <c r="B2064">
        <v>5</v>
      </c>
      <c r="C2064" t="s">
        <v>125</v>
      </c>
      <c r="D2064" t="s">
        <v>478</v>
      </c>
    </row>
    <row r="2065" spans="1:4" x14ac:dyDescent="0.25">
      <c r="A2065" t="s">
        <v>393</v>
      </c>
      <c r="B2065">
        <v>3</v>
      </c>
      <c r="C2065" t="s">
        <v>125</v>
      </c>
      <c r="D2065" t="s">
        <v>394</v>
      </c>
    </row>
    <row r="2066" spans="1:4" x14ac:dyDescent="0.25">
      <c r="A2066" t="s">
        <v>471</v>
      </c>
      <c r="B2066">
        <v>2</v>
      </c>
      <c r="C2066" t="s">
        <v>125</v>
      </c>
      <c r="D2066" t="s">
        <v>472</v>
      </c>
    </row>
    <row r="2067" spans="1:4" x14ac:dyDescent="0.25">
      <c r="A2067" t="s">
        <v>351</v>
      </c>
      <c r="B2067">
        <v>2</v>
      </c>
      <c r="C2067" t="s">
        <v>125</v>
      </c>
      <c r="D2067" t="s">
        <v>352</v>
      </c>
    </row>
    <row r="2068" spans="1:4" x14ac:dyDescent="0.25">
      <c r="A2068" t="s">
        <v>75</v>
      </c>
      <c r="B2068">
        <v>36</v>
      </c>
    </row>
    <row r="2069" spans="1:4" x14ac:dyDescent="0.25">
      <c r="A2069" t="s">
        <v>191</v>
      </c>
      <c r="B2069">
        <v>12730</v>
      </c>
      <c r="C2069" t="s">
        <v>886</v>
      </c>
      <c r="D2069" t="s">
        <v>192</v>
      </c>
    </row>
    <row r="2070" spans="1:4" x14ac:dyDescent="0.25">
      <c r="A2070" t="s">
        <v>208</v>
      </c>
      <c r="B2070">
        <v>4061</v>
      </c>
      <c r="C2070" t="s">
        <v>886</v>
      </c>
      <c r="D2070" t="s">
        <v>209</v>
      </c>
    </row>
    <row r="2071" spans="1:4" x14ac:dyDescent="0.25">
      <c r="A2071" t="s">
        <v>188</v>
      </c>
      <c r="B2071">
        <v>2833</v>
      </c>
      <c r="C2071" t="s">
        <v>886</v>
      </c>
      <c r="D2071" t="s">
        <v>189</v>
      </c>
    </row>
    <row r="2072" spans="1:4" x14ac:dyDescent="0.25">
      <c r="A2072" t="s">
        <v>185</v>
      </c>
      <c r="B2072">
        <v>1517</v>
      </c>
      <c r="C2072" t="s">
        <v>886</v>
      </c>
      <c r="D2072" t="s">
        <v>186</v>
      </c>
    </row>
    <row r="2073" spans="1:4" x14ac:dyDescent="0.25">
      <c r="A2073" t="s">
        <v>206</v>
      </c>
      <c r="B2073">
        <v>619</v>
      </c>
      <c r="C2073" t="s">
        <v>886</v>
      </c>
      <c r="D2073" t="s">
        <v>189</v>
      </c>
    </row>
    <row r="2074" spans="1:4" x14ac:dyDescent="0.25">
      <c r="A2074" t="s">
        <v>320</v>
      </c>
      <c r="B2074">
        <v>329</v>
      </c>
      <c r="C2074" t="s">
        <v>125</v>
      </c>
      <c r="D2074" t="s">
        <v>321</v>
      </c>
    </row>
    <row r="2075" spans="1:4" x14ac:dyDescent="0.25">
      <c r="A2075" t="s">
        <v>312</v>
      </c>
      <c r="B2075">
        <v>153</v>
      </c>
      <c r="C2075" t="s">
        <v>125</v>
      </c>
      <c r="D2075" t="s">
        <v>313</v>
      </c>
    </row>
    <row r="2076" spans="1:4" x14ac:dyDescent="0.25">
      <c r="A2076" t="s">
        <v>340</v>
      </c>
      <c r="B2076">
        <v>143</v>
      </c>
      <c r="C2076" t="s">
        <v>125</v>
      </c>
      <c r="D2076" t="s">
        <v>341</v>
      </c>
    </row>
    <row r="2077" spans="1:4" x14ac:dyDescent="0.25">
      <c r="A2077" t="s">
        <v>200</v>
      </c>
      <c r="B2077">
        <v>111</v>
      </c>
      <c r="C2077" t="s">
        <v>886</v>
      </c>
      <c r="D2077" t="s">
        <v>201</v>
      </c>
    </row>
    <row r="2078" spans="1:4" x14ac:dyDescent="0.25">
      <c r="A2078" t="s">
        <v>284</v>
      </c>
      <c r="B2078">
        <v>84</v>
      </c>
      <c r="C2078" t="s">
        <v>125</v>
      </c>
      <c r="D2078" t="s">
        <v>249</v>
      </c>
    </row>
    <row r="2079" spans="1:4" x14ac:dyDescent="0.25">
      <c r="A2079" t="s">
        <v>314</v>
      </c>
      <c r="B2079">
        <v>80</v>
      </c>
      <c r="C2079" t="s">
        <v>125</v>
      </c>
      <c r="D2079" t="s">
        <v>315</v>
      </c>
    </row>
    <row r="2080" spans="1:4" x14ac:dyDescent="0.25">
      <c r="A2080" t="s">
        <v>479</v>
      </c>
      <c r="B2080">
        <v>63</v>
      </c>
      <c r="C2080" t="s">
        <v>125</v>
      </c>
      <c r="D2080" t="s">
        <v>478</v>
      </c>
    </row>
    <row r="2081" spans="1:4" x14ac:dyDescent="0.25">
      <c r="A2081" t="s">
        <v>289</v>
      </c>
      <c r="B2081">
        <v>63</v>
      </c>
      <c r="C2081" t="s">
        <v>125</v>
      </c>
      <c r="D2081" t="s">
        <v>290</v>
      </c>
    </row>
    <row r="2082" spans="1:4" x14ac:dyDescent="0.25">
      <c r="A2082" t="s">
        <v>385</v>
      </c>
      <c r="B2082">
        <v>54</v>
      </c>
      <c r="C2082" t="s">
        <v>125</v>
      </c>
      <c r="D2082" t="s">
        <v>386</v>
      </c>
    </row>
    <row r="2083" spans="1:4" x14ac:dyDescent="0.25">
      <c r="A2083" t="s">
        <v>258</v>
      </c>
      <c r="B2083">
        <v>53</v>
      </c>
      <c r="C2083" t="s">
        <v>125</v>
      </c>
      <c r="D2083" t="s">
        <v>249</v>
      </c>
    </row>
    <row r="2084" spans="1:4" x14ac:dyDescent="0.25">
      <c r="A2084" t="s">
        <v>292</v>
      </c>
      <c r="B2084">
        <v>52</v>
      </c>
      <c r="C2084" t="s">
        <v>125</v>
      </c>
      <c r="D2084" t="s">
        <v>290</v>
      </c>
    </row>
    <row r="2085" spans="1:4" x14ac:dyDescent="0.25">
      <c r="A2085" t="s">
        <v>217</v>
      </c>
      <c r="B2085">
        <v>47</v>
      </c>
      <c r="C2085" t="s">
        <v>886</v>
      </c>
      <c r="D2085" t="s">
        <v>218</v>
      </c>
    </row>
    <row r="2086" spans="1:4" x14ac:dyDescent="0.25">
      <c r="A2086" t="s">
        <v>328</v>
      </c>
      <c r="B2086">
        <v>38</v>
      </c>
      <c r="C2086" t="s">
        <v>125</v>
      </c>
      <c r="D2086" t="s">
        <v>325</v>
      </c>
    </row>
    <row r="2087" spans="1:4" x14ac:dyDescent="0.25">
      <c r="A2087" t="s">
        <v>446</v>
      </c>
      <c r="B2087">
        <v>34</v>
      </c>
      <c r="C2087" t="s">
        <v>125</v>
      </c>
      <c r="D2087" t="s">
        <v>442</v>
      </c>
    </row>
    <row r="2088" spans="1:4" x14ac:dyDescent="0.25">
      <c r="A2088" t="s">
        <v>326</v>
      </c>
      <c r="B2088">
        <v>33</v>
      </c>
      <c r="C2088" t="s">
        <v>125</v>
      </c>
      <c r="D2088" t="s">
        <v>325</v>
      </c>
    </row>
    <row r="2089" spans="1:4" x14ac:dyDescent="0.25">
      <c r="A2089" t="s">
        <v>259</v>
      </c>
      <c r="B2089">
        <v>32</v>
      </c>
      <c r="C2089" t="s">
        <v>125</v>
      </c>
      <c r="D2089" t="s">
        <v>249</v>
      </c>
    </row>
    <row r="2090" spans="1:4" x14ac:dyDescent="0.25">
      <c r="A2090" t="s">
        <v>355</v>
      </c>
      <c r="B2090">
        <v>31</v>
      </c>
      <c r="C2090" t="s">
        <v>125</v>
      </c>
      <c r="D2090" t="s">
        <v>356</v>
      </c>
    </row>
    <row r="2091" spans="1:4" x14ac:dyDescent="0.25">
      <c r="A2091" t="s">
        <v>203</v>
      </c>
      <c r="B2091">
        <v>22</v>
      </c>
      <c r="C2091" t="s">
        <v>886</v>
      </c>
      <c r="D2091" t="s">
        <v>204</v>
      </c>
    </row>
    <row r="2092" spans="1:4" x14ac:dyDescent="0.25">
      <c r="A2092" t="s">
        <v>435</v>
      </c>
      <c r="B2092">
        <v>22</v>
      </c>
      <c r="C2092" t="s">
        <v>125</v>
      </c>
      <c r="D2092" t="s">
        <v>401</v>
      </c>
    </row>
    <row r="2093" spans="1:4" x14ac:dyDescent="0.25">
      <c r="A2093" t="s">
        <v>232</v>
      </c>
      <c r="B2093">
        <v>21</v>
      </c>
      <c r="C2093" t="s">
        <v>886</v>
      </c>
      <c r="D2093" t="s">
        <v>204</v>
      </c>
    </row>
    <row r="2094" spans="1:4" x14ac:dyDescent="0.25">
      <c r="A2094" t="s">
        <v>383</v>
      </c>
      <c r="B2094">
        <v>21</v>
      </c>
      <c r="C2094" t="s">
        <v>125</v>
      </c>
      <c r="D2094" t="s">
        <v>382</v>
      </c>
    </row>
    <row r="2095" spans="1:4" x14ac:dyDescent="0.25">
      <c r="A2095" t="s">
        <v>272</v>
      </c>
      <c r="B2095">
        <v>15</v>
      </c>
      <c r="C2095" t="s">
        <v>125</v>
      </c>
      <c r="D2095" t="s">
        <v>249</v>
      </c>
    </row>
    <row r="2096" spans="1:4" x14ac:dyDescent="0.25">
      <c r="A2096" t="s">
        <v>273</v>
      </c>
      <c r="B2096">
        <v>14</v>
      </c>
      <c r="C2096" t="s">
        <v>125</v>
      </c>
      <c r="D2096" t="s">
        <v>249</v>
      </c>
    </row>
    <row r="2097" spans="1:4" x14ac:dyDescent="0.25">
      <c r="A2097" t="s">
        <v>270</v>
      </c>
      <c r="B2097">
        <v>13</v>
      </c>
      <c r="C2097" t="s">
        <v>125</v>
      </c>
      <c r="D2097" t="s">
        <v>249</v>
      </c>
    </row>
    <row r="2098" spans="1:4" x14ac:dyDescent="0.25">
      <c r="A2098" t="s">
        <v>220</v>
      </c>
      <c r="B2098">
        <v>12</v>
      </c>
      <c r="C2098" t="s">
        <v>886</v>
      </c>
      <c r="D2098" t="s">
        <v>221</v>
      </c>
    </row>
    <row r="2099" spans="1:4" x14ac:dyDescent="0.25">
      <c r="A2099" t="s">
        <v>449</v>
      </c>
      <c r="B2099">
        <v>11</v>
      </c>
      <c r="C2099" t="s">
        <v>125</v>
      </c>
      <c r="D2099" t="s">
        <v>442</v>
      </c>
    </row>
    <row r="2100" spans="1:4" x14ac:dyDescent="0.25">
      <c r="A2100" t="s">
        <v>251</v>
      </c>
      <c r="B2100">
        <v>8</v>
      </c>
      <c r="C2100" t="s">
        <v>125</v>
      </c>
      <c r="D2100" t="s">
        <v>249</v>
      </c>
    </row>
    <row r="2101" spans="1:4" x14ac:dyDescent="0.25">
      <c r="A2101" t="s">
        <v>412</v>
      </c>
      <c r="B2101">
        <v>6</v>
      </c>
      <c r="C2101" t="s">
        <v>125</v>
      </c>
      <c r="D2101" t="s">
        <v>401</v>
      </c>
    </row>
    <row r="2102" spans="1:4" x14ac:dyDescent="0.25">
      <c r="A2102" t="s">
        <v>432</v>
      </c>
      <c r="B2102">
        <v>4</v>
      </c>
      <c r="C2102" t="s">
        <v>125</v>
      </c>
      <c r="D2102" t="s">
        <v>401</v>
      </c>
    </row>
    <row r="2103" spans="1:4" x14ac:dyDescent="0.25">
      <c r="A2103" t="s">
        <v>349</v>
      </c>
      <c r="B2103">
        <v>4</v>
      </c>
      <c r="C2103" t="s">
        <v>125</v>
      </c>
      <c r="D2103" t="s">
        <v>346</v>
      </c>
    </row>
    <row r="2104" spans="1:4" x14ac:dyDescent="0.25">
      <c r="A2104" t="s">
        <v>425</v>
      </c>
      <c r="B2104">
        <v>4</v>
      </c>
      <c r="C2104" t="s">
        <v>125</v>
      </c>
      <c r="D2104" t="s">
        <v>401</v>
      </c>
    </row>
    <row r="2105" spans="1:4" x14ac:dyDescent="0.25">
      <c r="A2105" t="s">
        <v>76</v>
      </c>
      <c r="B2105">
        <v>71</v>
      </c>
    </row>
    <row r="2106" spans="1:4" x14ac:dyDescent="0.25">
      <c r="A2106" t="s">
        <v>191</v>
      </c>
      <c r="B2106">
        <v>4788</v>
      </c>
      <c r="C2106" t="s">
        <v>886</v>
      </c>
      <c r="D2106" t="s">
        <v>192</v>
      </c>
    </row>
    <row r="2107" spans="1:4" x14ac:dyDescent="0.25">
      <c r="A2107" t="s">
        <v>188</v>
      </c>
      <c r="B2107">
        <v>2060</v>
      </c>
      <c r="C2107" t="s">
        <v>886</v>
      </c>
      <c r="D2107" t="s">
        <v>189</v>
      </c>
    </row>
    <row r="2108" spans="1:4" x14ac:dyDescent="0.25">
      <c r="A2108" t="s">
        <v>185</v>
      </c>
      <c r="B2108">
        <v>1723</v>
      </c>
      <c r="C2108" t="s">
        <v>886</v>
      </c>
      <c r="D2108" t="s">
        <v>186</v>
      </c>
    </row>
    <row r="2109" spans="1:4" x14ac:dyDescent="0.25">
      <c r="A2109" t="s">
        <v>206</v>
      </c>
      <c r="B2109">
        <v>1635</v>
      </c>
      <c r="C2109" t="s">
        <v>886</v>
      </c>
      <c r="D2109" t="s">
        <v>189</v>
      </c>
    </row>
    <row r="2110" spans="1:4" x14ac:dyDescent="0.25">
      <c r="A2110" t="s">
        <v>200</v>
      </c>
      <c r="B2110">
        <v>1312</v>
      </c>
      <c r="C2110" t="s">
        <v>886</v>
      </c>
      <c r="D2110" t="s">
        <v>201</v>
      </c>
    </row>
    <row r="2111" spans="1:4" x14ac:dyDescent="0.25">
      <c r="A2111" t="s">
        <v>194</v>
      </c>
      <c r="B2111">
        <v>424</v>
      </c>
      <c r="C2111" t="s">
        <v>886</v>
      </c>
      <c r="D2111" t="s">
        <v>195</v>
      </c>
    </row>
    <row r="2112" spans="1:4" x14ac:dyDescent="0.25">
      <c r="A2112" t="s">
        <v>446</v>
      </c>
      <c r="B2112">
        <v>337</v>
      </c>
      <c r="C2112" t="s">
        <v>125</v>
      </c>
      <c r="D2112" t="s">
        <v>442</v>
      </c>
    </row>
    <row r="2113" spans="1:4" x14ac:dyDescent="0.25">
      <c r="A2113" t="s">
        <v>282</v>
      </c>
      <c r="B2113">
        <v>246</v>
      </c>
      <c r="C2113" t="s">
        <v>125</v>
      </c>
      <c r="D2113" t="s">
        <v>249</v>
      </c>
    </row>
    <row r="2114" spans="1:4" x14ac:dyDescent="0.25">
      <c r="A2114" t="s">
        <v>479</v>
      </c>
      <c r="B2114">
        <v>231</v>
      </c>
      <c r="C2114" t="s">
        <v>125</v>
      </c>
      <c r="D2114" t="s">
        <v>478</v>
      </c>
    </row>
    <row r="2115" spans="1:4" x14ac:dyDescent="0.25">
      <c r="A2115" t="s">
        <v>357</v>
      </c>
      <c r="B2115">
        <v>168</v>
      </c>
      <c r="C2115" t="s">
        <v>125</v>
      </c>
      <c r="D2115" t="s">
        <v>356</v>
      </c>
    </row>
    <row r="2116" spans="1:4" x14ac:dyDescent="0.25">
      <c r="A2116" t="s">
        <v>355</v>
      </c>
      <c r="B2116">
        <v>133</v>
      </c>
      <c r="C2116" t="s">
        <v>125</v>
      </c>
      <c r="D2116" t="s">
        <v>356</v>
      </c>
    </row>
    <row r="2117" spans="1:4" x14ac:dyDescent="0.25">
      <c r="A2117" t="s">
        <v>259</v>
      </c>
      <c r="B2117">
        <v>131</v>
      </c>
      <c r="C2117" t="s">
        <v>125</v>
      </c>
      <c r="D2117" t="s">
        <v>249</v>
      </c>
    </row>
    <row r="2118" spans="1:4" x14ac:dyDescent="0.25">
      <c r="A2118" t="s">
        <v>471</v>
      </c>
      <c r="B2118">
        <v>123</v>
      </c>
      <c r="C2118" t="s">
        <v>125</v>
      </c>
      <c r="D2118" t="s">
        <v>472</v>
      </c>
    </row>
    <row r="2119" spans="1:4" x14ac:dyDescent="0.25">
      <c r="A2119" t="s">
        <v>358</v>
      </c>
      <c r="B2119">
        <v>114</v>
      </c>
      <c r="C2119" t="s">
        <v>125</v>
      </c>
      <c r="D2119" t="s">
        <v>356</v>
      </c>
    </row>
    <row r="2120" spans="1:4" x14ac:dyDescent="0.25">
      <c r="A2120" t="s">
        <v>289</v>
      </c>
      <c r="B2120">
        <v>105</v>
      </c>
      <c r="C2120" t="s">
        <v>125</v>
      </c>
      <c r="D2120" t="s">
        <v>290</v>
      </c>
    </row>
    <row r="2121" spans="1:4" x14ac:dyDescent="0.25">
      <c r="A2121" t="s">
        <v>217</v>
      </c>
      <c r="B2121">
        <v>104</v>
      </c>
      <c r="C2121" t="s">
        <v>886</v>
      </c>
      <c r="D2121" t="s">
        <v>218</v>
      </c>
    </row>
    <row r="2122" spans="1:4" x14ac:dyDescent="0.25">
      <c r="A2122" t="s">
        <v>314</v>
      </c>
      <c r="B2122">
        <v>100</v>
      </c>
      <c r="C2122" t="s">
        <v>125</v>
      </c>
      <c r="D2122" t="s">
        <v>315</v>
      </c>
    </row>
    <row r="2123" spans="1:4" x14ac:dyDescent="0.25">
      <c r="A2123" t="s">
        <v>251</v>
      </c>
      <c r="B2123">
        <v>95</v>
      </c>
      <c r="C2123" t="s">
        <v>125</v>
      </c>
      <c r="D2123" t="s">
        <v>249</v>
      </c>
    </row>
    <row r="2124" spans="1:4" x14ac:dyDescent="0.25">
      <c r="A2124" t="s">
        <v>317</v>
      </c>
      <c r="B2124">
        <v>87</v>
      </c>
      <c r="C2124" t="s">
        <v>125</v>
      </c>
      <c r="D2124" t="s">
        <v>318</v>
      </c>
    </row>
    <row r="2125" spans="1:4" x14ac:dyDescent="0.25">
      <c r="A2125" t="s">
        <v>255</v>
      </c>
      <c r="B2125">
        <v>81</v>
      </c>
      <c r="C2125" t="s">
        <v>125</v>
      </c>
      <c r="D2125" t="s">
        <v>249</v>
      </c>
    </row>
    <row r="2126" spans="1:4" x14ac:dyDescent="0.25">
      <c r="A2126" t="s">
        <v>328</v>
      </c>
      <c r="B2126">
        <v>80</v>
      </c>
      <c r="C2126" t="s">
        <v>125</v>
      </c>
      <c r="D2126" t="s">
        <v>325</v>
      </c>
    </row>
    <row r="2127" spans="1:4" x14ac:dyDescent="0.25">
      <c r="A2127" t="s">
        <v>260</v>
      </c>
      <c r="B2127">
        <v>75</v>
      </c>
      <c r="C2127" t="s">
        <v>125</v>
      </c>
      <c r="D2127" t="s">
        <v>249</v>
      </c>
    </row>
    <row r="2128" spans="1:4" x14ac:dyDescent="0.25">
      <c r="A2128" t="s">
        <v>340</v>
      </c>
      <c r="B2128">
        <v>65</v>
      </c>
      <c r="C2128" t="s">
        <v>125</v>
      </c>
      <c r="D2128" t="s">
        <v>341</v>
      </c>
    </row>
    <row r="2129" spans="1:4" x14ac:dyDescent="0.25">
      <c r="A2129" t="s">
        <v>326</v>
      </c>
      <c r="B2129">
        <v>65</v>
      </c>
      <c r="C2129" t="s">
        <v>125</v>
      </c>
      <c r="D2129" t="s">
        <v>325</v>
      </c>
    </row>
    <row r="2130" spans="1:4" x14ac:dyDescent="0.25">
      <c r="A2130" t="s">
        <v>454</v>
      </c>
      <c r="B2130">
        <v>64</v>
      </c>
      <c r="C2130" t="s">
        <v>125</v>
      </c>
      <c r="D2130" t="s">
        <v>442</v>
      </c>
    </row>
    <row r="2131" spans="1:4" x14ac:dyDescent="0.25">
      <c r="A2131" t="s">
        <v>220</v>
      </c>
      <c r="B2131">
        <v>63</v>
      </c>
      <c r="C2131" t="s">
        <v>886</v>
      </c>
      <c r="D2131" t="s">
        <v>221</v>
      </c>
    </row>
    <row r="2132" spans="1:4" x14ac:dyDescent="0.25">
      <c r="A2132" t="s">
        <v>208</v>
      </c>
      <c r="B2132">
        <v>52</v>
      </c>
      <c r="C2132" t="s">
        <v>886</v>
      </c>
      <c r="D2132" t="s">
        <v>209</v>
      </c>
    </row>
    <row r="2133" spans="1:4" x14ac:dyDescent="0.25">
      <c r="A2133" t="s">
        <v>473</v>
      </c>
      <c r="B2133">
        <v>51</v>
      </c>
      <c r="C2133" t="s">
        <v>125</v>
      </c>
      <c r="D2133" t="s">
        <v>474</v>
      </c>
    </row>
    <row r="2134" spans="1:4" x14ac:dyDescent="0.25">
      <c r="A2134" t="s">
        <v>226</v>
      </c>
      <c r="B2134">
        <v>51</v>
      </c>
      <c r="C2134" t="s">
        <v>886</v>
      </c>
      <c r="D2134" t="s">
        <v>227</v>
      </c>
    </row>
    <row r="2135" spans="1:4" x14ac:dyDescent="0.25">
      <c r="A2135" t="s">
        <v>270</v>
      </c>
      <c r="B2135">
        <v>47</v>
      </c>
      <c r="C2135" t="s">
        <v>125</v>
      </c>
      <c r="D2135" t="s">
        <v>249</v>
      </c>
    </row>
    <row r="2136" spans="1:4" x14ac:dyDescent="0.25">
      <c r="A2136" t="s">
        <v>324</v>
      </c>
      <c r="B2136">
        <v>45</v>
      </c>
      <c r="C2136" t="s">
        <v>125</v>
      </c>
      <c r="D2136" t="s">
        <v>325</v>
      </c>
    </row>
    <row r="2137" spans="1:4" x14ac:dyDescent="0.25">
      <c r="A2137" t="s">
        <v>368</v>
      </c>
      <c r="B2137">
        <v>44</v>
      </c>
      <c r="C2137" t="s">
        <v>125</v>
      </c>
      <c r="D2137" t="s">
        <v>369</v>
      </c>
    </row>
    <row r="2138" spans="1:4" x14ac:dyDescent="0.25">
      <c r="A2138" t="s">
        <v>299</v>
      </c>
      <c r="B2138">
        <v>38</v>
      </c>
      <c r="C2138" t="s">
        <v>125</v>
      </c>
      <c r="D2138" t="s">
        <v>298</v>
      </c>
    </row>
    <row r="2139" spans="1:4" x14ac:dyDescent="0.25">
      <c r="A2139" t="s">
        <v>438</v>
      </c>
      <c r="B2139">
        <v>30</v>
      </c>
      <c r="C2139" t="s">
        <v>125</v>
      </c>
      <c r="D2139" t="s">
        <v>401</v>
      </c>
    </row>
    <row r="2140" spans="1:4" x14ac:dyDescent="0.25">
      <c r="A2140" t="s">
        <v>468</v>
      </c>
      <c r="B2140">
        <v>29</v>
      </c>
      <c r="C2140" t="s">
        <v>125</v>
      </c>
      <c r="D2140" t="s">
        <v>469</v>
      </c>
    </row>
    <row r="2141" spans="1:4" x14ac:dyDescent="0.25">
      <c r="A2141" t="s">
        <v>203</v>
      </c>
      <c r="B2141">
        <v>27</v>
      </c>
      <c r="C2141" t="s">
        <v>886</v>
      </c>
      <c r="D2141" t="s">
        <v>204</v>
      </c>
    </row>
    <row r="2142" spans="1:4" x14ac:dyDescent="0.25">
      <c r="A2142" t="s">
        <v>261</v>
      </c>
      <c r="B2142">
        <v>26</v>
      </c>
      <c r="C2142" t="s">
        <v>125</v>
      </c>
      <c r="D2142" t="s">
        <v>249</v>
      </c>
    </row>
    <row r="2143" spans="1:4" x14ac:dyDescent="0.25">
      <c r="A2143" t="s">
        <v>280</v>
      </c>
      <c r="B2143">
        <v>26</v>
      </c>
      <c r="C2143" t="s">
        <v>125</v>
      </c>
      <c r="D2143" t="s">
        <v>249</v>
      </c>
    </row>
    <row r="2144" spans="1:4" x14ac:dyDescent="0.25">
      <c r="A2144" t="s">
        <v>248</v>
      </c>
      <c r="B2144">
        <v>24</v>
      </c>
      <c r="C2144" t="s">
        <v>125</v>
      </c>
      <c r="D2144" t="s">
        <v>249</v>
      </c>
    </row>
    <row r="2145" spans="1:4" x14ac:dyDescent="0.25">
      <c r="A2145" t="s">
        <v>482</v>
      </c>
      <c r="B2145">
        <v>24</v>
      </c>
      <c r="C2145" t="s">
        <v>125</v>
      </c>
      <c r="D2145" t="s">
        <v>478</v>
      </c>
    </row>
    <row r="2146" spans="1:4" x14ac:dyDescent="0.25">
      <c r="A2146" t="s">
        <v>316</v>
      </c>
      <c r="B2146">
        <v>24</v>
      </c>
      <c r="C2146" t="s">
        <v>125</v>
      </c>
      <c r="D2146" t="s">
        <v>315</v>
      </c>
    </row>
    <row r="2147" spans="1:4" x14ac:dyDescent="0.25">
      <c r="A2147" t="s">
        <v>322</v>
      </c>
      <c r="B2147">
        <v>24</v>
      </c>
      <c r="C2147" t="s">
        <v>125</v>
      </c>
      <c r="D2147" t="s">
        <v>323</v>
      </c>
    </row>
    <row r="2148" spans="1:4" x14ac:dyDescent="0.25">
      <c r="A2148" t="s">
        <v>475</v>
      </c>
      <c r="B2148">
        <v>22</v>
      </c>
      <c r="C2148" t="s">
        <v>125</v>
      </c>
      <c r="D2148" t="s">
        <v>476</v>
      </c>
    </row>
    <row r="2149" spans="1:4" x14ac:dyDescent="0.25">
      <c r="A2149" t="s">
        <v>445</v>
      </c>
      <c r="B2149">
        <v>21</v>
      </c>
      <c r="C2149" t="s">
        <v>125</v>
      </c>
      <c r="D2149" t="s">
        <v>442</v>
      </c>
    </row>
    <row r="2150" spans="1:4" x14ac:dyDescent="0.25">
      <c r="A2150" t="s">
        <v>330</v>
      </c>
      <c r="B2150">
        <v>19</v>
      </c>
      <c r="C2150" t="s">
        <v>125</v>
      </c>
      <c r="D2150" t="s">
        <v>331</v>
      </c>
    </row>
    <row r="2151" spans="1:4" x14ac:dyDescent="0.25">
      <c r="A2151" t="s">
        <v>283</v>
      </c>
      <c r="B2151">
        <v>17</v>
      </c>
      <c r="C2151" t="s">
        <v>125</v>
      </c>
      <c r="D2151" t="s">
        <v>249</v>
      </c>
    </row>
    <row r="2152" spans="1:4" x14ac:dyDescent="0.25">
      <c r="A2152" t="s">
        <v>350</v>
      </c>
      <c r="B2152">
        <v>16</v>
      </c>
      <c r="C2152" t="s">
        <v>125</v>
      </c>
      <c r="D2152" t="s">
        <v>346</v>
      </c>
    </row>
    <row r="2153" spans="1:4" x14ac:dyDescent="0.25">
      <c r="A2153" t="s">
        <v>337</v>
      </c>
      <c r="B2153">
        <v>15</v>
      </c>
      <c r="C2153" t="s">
        <v>125</v>
      </c>
      <c r="D2153" t="s">
        <v>338</v>
      </c>
    </row>
    <row r="2154" spans="1:4" x14ac:dyDescent="0.25">
      <c r="A2154" t="s">
        <v>447</v>
      </c>
      <c r="B2154">
        <v>15</v>
      </c>
      <c r="C2154" t="s">
        <v>125</v>
      </c>
      <c r="D2154" t="s">
        <v>442</v>
      </c>
    </row>
    <row r="2155" spans="1:4" x14ac:dyDescent="0.25">
      <c r="A2155" t="s">
        <v>483</v>
      </c>
      <c r="B2155">
        <v>15</v>
      </c>
      <c r="C2155" t="s">
        <v>125</v>
      </c>
      <c r="D2155" t="s">
        <v>478</v>
      </c>
    </row>
    <row r="2156" spans="1:4" x14ac:dyDescent="0.25">
      <c r="A2156" t="s">
        <v>274</v>
      </c>
      <c r="B2156">
        <v>14</v>
      </c>
      <c r="C2156" t="s">
        <v>125</v>
      </c>
      <c r="D2156" t="s">
        <v>249</v>
      </c>
    </row>
    <row r="2157" spans="1:4" x14ac:dyDescent="0.25">
      <c r="A2157" t="s">
        <v>329</v>
      </c>
      <c r="B2157">
        <v>14</v>
      </c>
      <c r="C2157" t="s">
        <v>125</v>
      </c>
      <c r="D2157" t="s">
        <v>325</v>
      </c>
    </row>
    <row r="2158" spans="1:4" x14ac:dyDescent="0.25">
      <c r="A2158" t="s">
        <v>449</v>
      </c>
      <c r="B2158">
        <v>11</v>
      </c>
      <c r="C2158" t="s">
        <v>125</v>
      </c>
      <c r="D2158" t="s">
        <v>442</v>
      </c>
    </row>
    <row r="2159" spans="1:4" x14ac:dyDescent="0.25">
      <c r="A2159" t="s">
        <v>348</v>
      </c>
      <c r="B2159">
        <v>11</v>
      </c>
      <c r="C2159" t="s">
        <v>125</v>
      </c>
      <c r="D2159" t="s">
        <v>346</v>
      </c>
    </row>
    <row r="2160" spans="1:4" x14ac:dyDescent="0.25">
      <c r="A2160" t="s">
        <v>395</v>
      </c>
      <c r="B2160">
        <v>10</v>
      </c>
      <c r="C2160" t="s">
        <v>125</v>
      </c>
      <c r="D2160" t="s">
        <v>396</v>
      </c>
    </row>
    <row r="2161" spans="1:4" x14ac:dyDescent="0.25">
      <c r="A2161" t="s">
        <v>385</v>
      </c>
      <c r="B2161">
        <v>10</v>
      </c>
      <c r="C2161" t="s">
        <v>125</v>
      </c>
      <c r="D2161" t="s">
        <v>386</v>
      </c>
    </row>
    <row r="2162" spans="1:4" x14ac:dyDescent="0.25">
      <c r="A2162" t="s">
        <v>272</v>
      </c>
      <c r="B2162">
        <v>10</v>
      </c>
      <c r="C2162" t="s">
        <v>125</v>
      </c>
      <c r="D2162" t="s">
        <v>249</v>
      </c>
    </row>
    <row r="2163" spans="1:4" x14ac:dyDescent="0.25">
      <c r="A2163" t="s">
        <v>434</v>
      </c>
      <c r="B2163">
        <v>10</v>
      </c>
      <c r="C2163" t="s">
        <v>125</v>
      </c>
      <c r="D2163" t="s">
        <v>401</v>
      </c>
    </row>
    <row r="2164" spans="1:4" x14ac:dyDescent="0.25">
      <c r="A2164" t="s">
        <v>470</v>
      </c>
      <c r="B2164">
        <v>10</v>
      </c>
      <c r="C2164" t="s">
        <v>125</v>
      </c>
      <c r="D2164" t="s">
        <v>469</v>
      </c>
    </row>
    <row r="2165" spans="1:4" x14ac:dyDescent="0.25">
      <c r="A2165" t="s">
        <v>223</v>
      </c>
      <c r="B2165">
        <v>9</v>
      </c>
      <c r="C2165" t="s">
        <v>886</v>
      </c>
      <c r="D2165" t="s">
        <v>224</v>
      </c>
    </row>
    <row r="2166" spans="1:4" x14ac:dyDescent="0.25">
      <c r="A2166" t="s">
        <v>456</v>
      </c>
      <c r="B2166">
        <v>9</v>
      </c>
      <c r="C2166" t="s">
        <v>125</v>
      </c>
      <c r="D2166" t="s">
        <v>442</v>
      </c>
    </row>
    <row r="2167" spans="1:4" x14ac:dyDescent="0.25">
      <c r="A2167" t="s">
        <v>275</v>
      </c>
      <c r="B2167">
        <v>9</v>
      </c>
      <c r="C2167" t="s">
        <v>125</v>
      </c>
      <c r="D2167" t="s">
        <v>249</v>
      </c>
    </row>
    <row r="2168" spans="1:4" x14ac:dyDescent="0.25">
      <c r="A2168" t="s">
        <v>273</v>
      </c>
      <c r="B2168">
        <v>8</v>
      </c>
      <c r="C2168" t="s">
        <v>125</v>
      </c>
      <c r="D2168" t="s">
        <v>249</v>
      </c>
    </row>
    <row r="2169" spans="1:4" x14ac:dyDescent="0.25">
      <c r="A2169" t="s">
        <v>423</v>
      </c>
      <c r="B2169">
        <v>8</v>
      </c>
      <c r="C2169" t="s">
        <v>125</v>
      </c>
      <c r="D2169" t="s">
        <v>401</v>
      </c>
    </row>
    <row r="2170" spans="1:4" x14ac:dyDescent="0.25">
      <c r="A2170" t="s">
        <v>421</v>
      </c>
      <c r="B2170">
        <v>5</v>
      </c>
      <c r="C2170" t="s">
        <v>125</v>
      </c>
      <c r="D2170" t="s">
        <v>401</v>
      </c>
    </row>
    <row r="2171" spans="1:4" x14ac:dyDescent="0.25">
      <c r="A2171" t="s">
        <v>276</v>
      </c>
      <c r="B2171">
        <v>5</v>
      </c>
      <c r="C2171" t="s">
        <v>125</v>
      </c>
      <c r="D2171" t="s">
        <v>249</v>
      </c>
    </row>
    <row r="2172" spans="1:4" x14ac:dyDescent="0.25">
      <c r="A2172" t="s">
        <v>279</v>
      </c>
      <c r="B2172">
        <v>5</v>
      </c>
      <c r="C2172" t="s">
        <v>125</v>
      </c>
      <c r="D2172" t="s">
        <v>249</v>
      </c>
    </row>
    <row r="2173" spans="1:4" x14ac:dyDescent="0.25">
      <c r="A2173" t="s">
        <v>433</v>
      </c>
      <c r="B2173">
        <v>5</v>
      </c>
      <c r="C2173" t="s">
        <v>125</v>
      </c>
      <c r="D2173" t="s">
        <v>401</v>
      </c>
    </row>
    <row r="2174" spans="1:4" x14ac:dyDescent="0.25">
      <c r="A2174" t="s">
        <v>418</v>
      </c>
      <c r="B2174">
        <v>4</v>
      </c>
      <c r="C2174" t="s">
        <v>125</v>
      </c>
      <c r="D2174" t="s">
        <v>401</v>
      </c>
    </row>
    <row r="2175" spans="1:4" x14ac:dyDescent="0.25">
      <c r="A2175" t="s">
        <v>437</v>
      </c>
      <c r="B2175">
        <v>2</v>
      </c>
      <c r="C2175" t="s">
        <v>125</v>
      </c>
      <c r="D2175" t="s">
        <v>401</v>
      </c>
    </row>
    <row r="2176" spans="1:4" x14ac:dyDescent="0.25">
      <c r="A2176" t="s">
        <v>256</v>
      </c>
      <c r="B2176">
        <v>2</v>
      </c>
      <c r="C2176" t="s">
        <v>125</v>
      </c>
      <c r="D2176" t="s">
        <v>249</v>
      </c>
    </row>
    <row r="2177" spans="1:4" x14ac:dyDescent="0.25">
      <c r="A2177" t="s">
        <v>77</v>
      </c>
      <c r="B2177">
        <v>19</v>
      </c>
    </row>
    <row r="2178" spans="1:4" x14ac:dyDescent="0.25">
      <c r="A2178" t="s">
        <v>185</v>
      </c>
      <c r="B2178">
        <v>3089</v>
      </c>
      <c r="C2178" t="s">
        <v>886</v>
      </c>
      <c r="D2178" t="s">
        <v>186</v>
      </c>
    </row>
    <row r="2179" spans="1:4" x14ac:dyDescent="0.25">
      <c r="A2179" t="s">
        <v>340</v>
      </c>
      <c r="B2179">
        <v>1458</v>
      </c>
      <c r="C2179" t="s">
        <v>125</v>
      </c>
      <c r="D2179" t="s">
        <v>341</v>
      </c>
    </row>
    <row r="2180" spans="1:4" x14ac:dyDescent="0.25">
      <c r="A2180" t="s">
        <v>191</v>
      </c>
      <c r="B2180">
        <v>625</v>
      </c>
      <c r="C2180" t="s">
        <v>886</v>
      </c>
      <c r="D2180" t="s">
        <v>192</v>
      </c>
    </row>
    <row r="2181" spans="1:4" x14ac:dyDescent="0.25">
      <c r="A2181" t="s">
        <v>208</v>
      </c>
      <c r="B2181">
        <v>159</v>
      </c>
      <c r="C2181" t="s">
        <v>886</v>
      </c>
      <c r="D2181" t="s">
        <v>209</v>
      </c>
    </row>
    <row r="2182" spans="1:4" x14ac:dyDescent="0.25">
      <c r="A2182" t="s">
        <v>344</v>
      </c>
      <c r="B2182">
        <v>158</v>
      </c>
      <c r="C2182" t="s">
        <v>125</v>
      </c>
      <c r="D2182" t="s">
        <v>343</v>
      </c>
    </row>
    <row r="2183" spans="1:4" x14ac:dyDescent="0.25">
      <c r="A2183" t="s">
        <v>319</v>
      </c>
      <c r="B2183">
        <v>58</v>
      </c>
      <c r="C2183" t="s">
        <v>125</v>
      </c>
      <c r="D2183" t="s">
        <v>318</v>
      </c>
    </row>
    <row r="2184" spans="1:4" x14ac:dyDescent="0.25">
      <c r="A2184" t="s">
        <v>248</v>
      </c>
      <c r="B2184">
        <v>27</v>
      </c>
      <c r="C2184" t="s">
        <v>125</v>
      </c>
      <c r="D2184" t="s">
        <v>249</v>
      </c>
    </row>
    <row r="2185" spans="1:4" x14ac:dyDescent="0.25">
      <c r="A2185" t="s">
        <v>258</v>
      </c>
      <c r="B2185">
        <v>15</v>
      </c>
      <c r="C2185" t="s">
        <v>125</v>
      </c>
      <c r="D2185" t="s">
        <v>249</v>
      </c>
    </row>
    <row r="2186" spans="1:4" x14ac:dyDescent="0.25">
      <c r="A2186" t="s">
        <v>197</v>
      </c>
      <c r="B2186">
        <v>14</v>
      </c>
      <c r="C2186" t="s">
        <v>886</v>
      </c>
      <c r="D2186" t="s">
        <v>198</v>
      </c>
    </row>
    <row r="2187" spans="1:4" x14ac:dyDescent="0.25">
      <c r="A2187" t="s">
        <v>188</v>
      </c>
      <c r="B2187">
        <v>12</v>
      </c>
      <c r="C2187" t="s">
        <v>886</v>
      </c>
      <c r="D2187" t="s">
        <v>189</v>
      </c>
    </row>
    <row r="2188" spans="1:4" x14ac:dyDescent="0.25">
      <c r="A2188" t="s">
        <v>304</v>
      </c>
      <c r="B2188">
        <v>9</v>
      </c>
      <c r="C2188" t="s">
        <v>125</v>
      </c>
      <c r="D2188" t="s">
        <v>305</v>
      </c>
    </row>
    <row r="2189" spans="1:4" x14ac:dyDescent="0.25">
      <c r="A2189" t="s">
        <v>203</v>
      </c>
      <c r="B2189">
        <v>9</v>
      </c>
      <c r="C2189" t="s">
        <v>886</v>
      </c>
      <c r="D2189" t="s">
        <v>204</v>
      </c>
    </row>
    <row r="2190" spans="1:4" x14ac:dyDescent="0.25">
      <c r="A2190" t="s">
        <v>257</v>
      </c>
      <c r="B2190">
        <v>7</v>
      </c>
      <c r="C2190" t="s">
        <v>125</v>
      </c>
      <c r="D2190" t="s">
        <v>249</v>
      </c>
    </row>
    <row r="2191" spans="1:4" x14ac:dyDescent="0.25">
      <c r="A2191" t="s">
        <v>226</v>
      </c>
      <c r="B2191">
        <v>6</v>
      </c>
      <c r="C2191" t="s">
        <v>886</v>
      </c>
      <c r="D2191" t="s">
        <v>227</v>
      </c>
    </row>
    <row r="2192" spans="1:4" x14ac:dyDescent="0.25">
      <c r="A2192" t="s">
        <v>214</v>
      </c>
      <c r="B2192">
        <v>5</v>
      </c>
      <c r="C2192" t="s">
        <v>886</v>
      </c>
      <c r="D2192" t="s">
        <v>215</v>
      </c>
    </row>
    <row r="2193" spans="1:4" x14ac:dyDescent="0.25">
      <c r="A2193" t="s">
        <v>395</v>
      </c>
      <c r="B2193">
        <v>4</v>
      </c>
      <c r="C2193" t="s">
        <v>125</v>
      </c>
      <c r="D2193" t="s">
        <v>396</v>
      </c>
    </row>
    <row r="2194" spans="1:4" x14ac:dyDescent="0.25">
      <c r="A2194" t="s">
        <v>314</v>
      </c>
      <c r="B2194">
        <v>3</v>
      </c>
      <c r="C2194" t="s">
        <v>125</v>
      </c>
      <c r="D2194" t="s">
        <v>315</v>
      </c>
    </row>
    <row r="2195" spans="1:4" x14ac:dyDescent="0.25">
      <c r="A2195" t="s">
        <v>307</v>
      </c>
      <c r="B2195">
        <v>3</v>
      </c>
      <c r="C2195" t="s">
        <v>125</v>
      </c>
      <c r="D2195" t="s">
        <v>308</v>
      </c>
    </row>
    <row r="2196" spans="1:4" x14ac:dyDescent="0.25">
      <c r="A2196" t="s">
        <v>400</v>
      </c>
      <c r="B2196">
        <v>2</v>
      </c>
      <c r="C2196" t="s">
        <v>125</v>
      </c>
      <c r="D2196" t="s">
        <v>401</v>
      </c>
    </row>
    <row r="2197" spans="1:4" x14ac:dyDescent="0.25">
      <c r="A2197" t="s">
        <v>78</v>
      </c>
      <c r="B2197">
        <v>31</v>
      </c>
    </row>
    <row r="2198" spans="1:4" x14ac:dyDescent="0.25">
      <c r="A2198" t="s">
        <v>248</v>
      </c>
      <c r="B2198">
        <v>1161</v>
      </c>
      <c r="C2198" t="s">
        <v>125</v>
      </c>
      <c r="D2198" t="s">
        <v>249</v>
      </c>
    </row>
    <row r="2199" spans="1:4" x14ac:dyDescent="0.25">
      <c r="A2199" t="s">
        <v>280</v>
      </c>
      <c r="B2199">
        <v>926</v>
      </c>
      <c r="C2199" t="s">
        <v>125</v>
      </c>
      <c r="D2199" t="s">
        <v>249</v>
      </c>
    </row>
    <row r="2200" spans="1:4" x14ac:dyDescent="0.25">
      <c r="A2200" t="s">
        <v>282</v>
      </c>
      <c r="B2200">
        <v>710</v>
      </c>
      <c r="C2200" t="s">
        <v>125</v>
      </c>
      <c r="D2200" t="s">
        <v>249</v>
      </c>
    </row>
    <row r="2201" spans="1:4" x14ac:dyDescent="0.25">
      <c r="A2201" t="s">
        <v>250</v>
      </c>
      <c r="B2201">
        <v>596</v>
      </c>
      <c r="C2201" t="s">
        <v>125</v>
      </c>
      <c r="D2201" t="s">
        <v>249</v>
      </c>
    </row>
    <row r="2202" spans="1:4" x14ac:dyDescent="0.25">
      <c r="A2202" t="s">
        <v>197</v>
      </c>
      <c r="B2202">
        <v>561</v>
      </c>
      <c r="C2202" t="s">
        <v>886</v>
      </c>
      <c r="D2202" t="s">
        <v>198</v>
      </c>
    </row>
    <row r="2203" spans="1:4" x14ac:dyDescent="0.25">
      <c r="A2203" t="s">
        <v>307</v>
      </c>
      <c r="B2203">
        <v>447</v>
      </c>
      <c r="C2203" t="s">
        <v>125</v>
      </c>
      <c r="D2203" t="s">
        <v>308</v>
      </c>
    </row>
    <row r="2204" spans="1:4" x14ac:dyDescent="0.25">
      <c r="A2204" t="s">
        <v>194</v>
      </c>
      <c r="B2204">
        <v>443</v>
      </c>
      <c r="C2204" t="s">
        <v>886</v>
      </c>
      <c r="D2204" t="s">
        <v>195</v>
      </c>
    </row>
    <row r="2205" spans="1:4" x14ac:dyDescent="0.25">
      <c r="A2205" t="s">
        <v>477</v>
      </c>
      <c r="B2205">
        <v>410</v>
      </c>
      <c r="C2205" t="s">
        <v>125</v>
      </c>
      <c r="D2205" t="s">
        <v>478</v>
      </c>
    </row>
    <row r="2206" spans="1:4" x14ac:dyDescent="0.25">
      <c r="A2206" t="s">
        <v>208</v>
      </c>
      <c r="B2206">
        <v>312</v>
      </c>
      <c r="C2206" t="s">
        <v>886</v>
      </c>
      <c r="D2206" t="s">
        <v>209</v>
      </c>
    </row>
    <row r="2207" spans="1:4" x14ac:dyDescent="0.25">
      <c r="A2207" t="s">
        <v>408</v>
      </c>
      <c r="B2207">
        <v>201</v>
      </c>
      <c r="C2207" t="s">
        <v>125</v>
      </c>
      <c r="D2207" t="s">
        <v>401</v>
      </c>
    </row>
    <row r="2208" spans="1:4" x14ac:dyDescent="0.25">
      <c r="A2208" t="s">
        <v>281</v>
      </c>
      <c r="B2208">
        <v>164</v>
      </c>
      <c r="C2208" t="s">
        <v>125</v>
      </c>
      <c r="D2208" t="s">
        <v>249</v>
      </c>
    </row>
    <row r="2209" spans="1:4" x14ac:dyDescent="0.25">
      <c r="A2209" t="s">
        <v>402</v>
      </c>
      <c r="B2209">
        <v>153</v>
      </c>
      <c r="C2209" t="s">
        <v>125</v>
      </c>
      <c r="D2209" t="s">
        <v>401</v>
      </c>
    </row>
    <row r="2210" spans="1:4" x14ac:dyDescent="0.25">
      <c r="A2210" t="s">
        <v>400</v>
      </c>
      <c r="B2210">
        <v>132</v>
      </c>
      <c r="C2210" t="s">
        <v>125</v>
      </c>
      <c r="D2210" t="s">
        <v>401</v>
      </c>
    </row>
    <row r="2211" spans="1:4" x14ac:dyDescent="0.25">
      <c r="A2211" t="s">
        <v>267</v>
      </c>
      <c r="B2211">
        <v>130</v>
      </c>
      <c r="C2211" t="s">
        <v>125</v>
      </c>
      <c r="D2211" t="s">
        <v>249</v>
      </c>
    </row>
    <row r="2212" spans="1:4" x14ac:dyDescent="0.25">
      <c r="A2212" t="s">
        <v>295</v>
      </c>
      <c r="B2212">
        <v>130</v>
      </c>
      <c r="C2212" t="s">
        <v>125</v>
      </c>
      <c r="D2212" t="s">
        <v>296</v>
      </c>
    </row>
    <row r="2213" spans="1:4" x14ac:dyDescent="0.25">
      <c r="A2213" t="s">
        <v>335</v>
      </c>
      <c r="B2213">
        <v>128</v>
      </c>
      <c r="C2213" t="s">
        <v>125</v>
      </c>
      <c r="D2213" t="s">
        <v>336</v>
      </c>
    </row>
    <row r="2214" spans="1:4" x14ac:dyDescent="0.25">
      <c r="A2214" t="s">
        <v>188</v>
      </c>
      <c r="B2214">
        <v>113</v>
      </c>
      <c r="C2214" t="s">
        <v>886</v>
      </c>
      <c r="D2214" t="s">
        <v>189</v>
      </c>
    </row>
    <row r="2215" spans="1:4" x14ac:dyDescent="0.25">
      <c r="A2215" t="s">
        <v>446</v>
      </c>
      <c r="B2215">
        <v>107</v>
      </c>
      <c r="C2215" t="s">
        <v>125</v>
      </c>
      <c r="D2215" t="s">
        <v>442</v>
      </c>
    </row>
    <row r="2216" spans="1:4" x14ac:dyDescent="0.25">
      <c r="A2216" t="s">
        <v>395</v>
      </c>
      <c r="B2216">
        <v>105</v>
      </c>
      <c r="C2216" t="s">
        <v>125</v>
      </c>
      <c r="D2216" t="s">
        <v>396</v>
      </c>
    </row>
    <row r="2217" spans="1:4" x14ac:dyDescent="0.25">
      <c r="A2217" t="s">
        <v>252</v>
      </c>
      <c r="B2217">
        <v>103</v>
      </c>
      <c r="C2217" t="s">
        <v>125</v>
      </c>
      <c r="D2217" t="s">
        <v>249</v>
      </c>
    </row>
    <row r="2218" spans="1:4" x14ac:dyDescent="0.25">
      <c r="A2218" t="s">
        <v>489</v>
      </c>
      <c r="B2218">
        <v>100</v>
      </c>
      <c r="C2218" t="s">
        <v>125</v>
      </c>
      <c r="D2218" t="s">
        <v>488</v>
      </c>
    </row>
    <row r="2219" spans="1:4" x14ac:dyDescent="0.25">
      <c r="A2219" t="s">
        <v>328</v>
      </c>
      <c r="B2219">
        <v>98</v>
      </c>
      <c r="C2219" t="s">
        <v>125</v>
      </c>
      <c r="D2219" t="s">
        <v>325</v>
      </c>
    </row>
    <row r="2220" spans="1:4" x14ac:dyDescent="0.25">
      <c r="A2220" t="s">
        <v>459</v>
      </c>
      <c r="B2220">
        <v>94</v>
      </c>
      <c r="C2220" t="s">
        <v>125</v>
      </c>
      <c r="D2220" t="s">
        <v>460</v>
      </c>
    </row>
    <row r="2221" spans="1:4" x14ac:dyDescent="0.25">
      <c r="A2221" t="s">
        <v>200</v>
      </c>
      <c r="B2221">
        <v>70</v>
      </c>
      <c r="C2221" t="s">
        <v>886</v>
      </c>
      <c r="D2221" t="s">
        <v>201</v>
      </c>
    </row>
    <row r="2222" spans="1:4" x14ac:dyDescent="0.25">
      <c r="A2222" t="s">
        <v>468</v>
      </c>
      <c r="B2222">
        <v>69</v>
      </c>
      <c r="C2222" t="s">
        <v>125</v>
      </c>
      <c r="D2222" t="s">
        <v>469</v>
      </c>
    </row>
    <row r="2223" spans="1:4" x14ac:dyDescent="0.25">
      <c r="A2223" t="s">
        <v>287</v>
      </c>
      <c r="B2223">
        <v>62</v>
      </c>
      <c r="C2223" t="s">
        <v>125</v>
      </c>
      <c r="D2223" t="s">
        <v>249</v>
      </c>
    </row>
    <row r="2224" spans="1:4" x14ac:dyDescent="0.25">
      <c r="A2224" t="s">
        <v>314</v>
      </c>
      <c r="B2224">
        <v>58</v>
      </c>
      <c r="C2224" t="s">
        <v>125</v>
      </c>
      <c r="D2224" t="s">
        <v>315</v>
      </c>
    </row>
    <row r="2225" spans="1:4" x14ac:dyDescent="0.25">
      <c r="A2225" t="s">
        <v>473</v>
      </c>
      <c r="B2225">
        <v>52</v>
      </c>
      <c r="C2225" t="s">
        <v>125</v>
      </c>
      <c r="D2225" t="s">
        <v>474</v>
      </c>
    </row>
    <row r="2226" spans="1:4" x14ac:dyDescent="0.25">
      <c r="A2226" t="s">
        <v>355</v>
      </c>
      <c r="B2226">
        <v>42</v>
      </c>
      <c r="C2226" t="s">
        <v>125</v>
      </c>
      <c r="D2226" t="s">
        <v>356</v>
      </c>
    </row>
    <row r="2227" spans="1:4" x14ac:dyDescent="0.25">
      <c r="A2227" t="s">
        <v>403</v>
      </c>
      <c r="B2227">
        <v>41</v>
      </c>
      <c r="C2227" t="s">
        <v>125</v>
      </c>
      <c r="D2227" t="s">
        <v>401</v>
      </c>
    </row>
    <row r="2228" spans="1:4" x14ac:dyDescent="0.25">
      <c r="A2228" t="s">
        <v>191</v>
      </c>
      <c r="B2228">
        <v>2</v>
      </c>
      <c r="C2228" t="s">
        <v>886</v>
      </c>
      <c r="D2228" t="s">
        <v>192</v>
      </c>
    </row>
    <row r="2229" spans="1:4" x14ac:dyDescent="0.25">
      <c r="A2229" t="s">
        <v>79</v>
      </c>
      <c r="B2229">
        <v>27</v>
      </c>
    </row>
    <row r="2230" spans="1:4" x14ac:dyDescent="0.25">
      <c r="A2230" t="s">
        <v>191</v>
      </c>
      <c r="B2230">
        <v>10751</v>
      </c>
      <c r="C2230" t="s">
        <v>886</v>
      </c>
      <c r="D2230" t="s">
        <v>192</v>
      </c>
    </row>
    <row r="2231" spans="1:4" x14ac:dyDescent="0.25">
      <c r="A2231" t="s">
        <v>185</v>
      </c>
      <c r="B2231">
        <v>2041</v>
      </c>
      <c r="C2231" t="s">
        <v>886</v>
      </c>
      <c r="D2231" t="s">
        <v>186</v>
      </c>
    </row>
    <row r="2232" spans="1:4" x14ac:dyDescent="0.25">
      <c r="A2232" t="s">
        <v>208</v>
      </c>
      <c r="B2232">
        <v>524</v>
      </c>
      <c r="C2232" t="s">
        <v>886</v>
      </c>
      <c r="D2232" t="s">
        <v>209</v>
      </c>
    </row>
    <row r="2233" spans="1:4" x14ac:dyDescent="0.25">
      <c r="A2233" t="s">
        <v>314</v>
      </c>
      <c r="B2233">
        <v>132</v>
      </c>
      <c r="C2233" t="s">
        <v>125</v>
      </c>
      <c r="D2233" t="s">
        <v>315</v>
      </c>
    </row>
    <row r="2234" spans="1:4" x14ac:dyDescent="0.25">
      <c r="A2234" t="s">
        <v>188</v>
      </c>
      <c r="B2234">
        <v>84</v>
      </c>
      <c r="C2234" t="s">
        <v>886</v>
      </c>
      <c r="D2234" t="s">
        <v>189</v>
      </c>
    </row>
    <row r="2235" spans="1:4" x14ac:dyDescent="0.25">
      <c r="A2235" t="s">
        <v>206</v>
      </c>
      <c r="B2235">
        <v>84</v>
      </c>
      <c r="C2235" t="s">
        <v>886</v>
      </c>
      <c r="D2235" t="s">
        <v>189</v>
      </c>
    </row>
    <row r="2236" spans="1:4" x14ac:dyDescent="0.25">
      <c r="A2236" t="s">
        <v>328</v>
      </c>
      <c r="B2236">
        <v>83</v>
      </c>
      <c r="C2236" t="s">
        <v>125</v>
      </c>
      <c r="D2236" t="s">
        <v>325</v>
      </c>
    </row>
    <row r="2237" spans="1:4" x14ac:dyDescent="0.25">
      <c r="A2237" t="s">
        <v>217</v>
      </c>
      <c r="B2237">
        <v>39</v>
      </c>
      <c r="C2237" t="s">
        <v>886</v>
      </c>
      <c r="D2237" t="s">
        <v>218</v>
      </c>
    </row>
    <row r="2238" spans="1:4" x14ac:dyDescent="0.25">
      <c r="A2238" t="s">
        <v>255</v>
      </c>
      <c r="B2238">
        <v>34</v>
      </c>
      <c r="C2238" t="s">
        <v>125</v>
      </c>
      <c r="D2238" t="s">
        <v>249</v>
      </c>
    </row>
    <row r="2239" spans="1:4" x14ac:dyDescent="0.25">
      <c r="A2239" t="s">
        <v>200</v>
      </c>
      <c r="B2239">
        <v>29</v>
      </c>
      <c r="C2239" t="s">
        <v>886</v>
      </c>
      <c r="D2239" t="s">
        <v>201</v>
      </c>
    </row>
    <row r="2240" spans="1:4" x14ac:dyDescent="0.25">
      <c r="A2240" t="s">
        <v>479</v>
      </c>
      <c r="B2240">
        <v>23</v>
      </c>
      <c r="C2240" t="s">
        <v>125</v>
      </c>
      <c r="D2240" t="s">
        <v>478</v>
      </c>
    </row>
    <row r="2241" spans="1:4" x14ac:dyDescent="0.25">
      <c r="A2241" t="s">
        <v>446</v>
      </c>
      <c r="B2241">
        <v>16</v>
      </c>
      <c r="C2241" t="s">
        <v>125</v>
      </c>
      <c r="D2241" t="s">
        <v>442</v>
      </c>
    </row>
    <row r="2242" spans="1:4" x14ac:dyDescent="0.25">
      <c r="A2242" t="s">
        <v>289</v>
      </c>
      <c r="B2242">
        <v>13</v>
      </c>
      <c r="C2242" t="s">
        <v>125</v>
      </c>
      <c r="D2242" t="s">
        <v>290</v>
      </c>
    </row>
    <row r="2243" spans="1:4" x14ac:dyDescent="0.25">
      <c r="A2243" t="s">
        <v>326</v>
      </c>
      <c r="B2243">
        <v>12</v>
      </c>
      <c r="C2243" t="s">
        <v>125</v>
      </c>
      <c r="D2243" t="s">
        <v>325</v>
      </c>
    </row>
    <row r="2244" spans="1:4" x14ac:dyDescent="0.25">
      <c r="A2244" t="s">
        <v>453</v>
      </c>
      <c r="B2244">
        <v>12</v>
      </c>
      <c r="C2244" t="s">
        <v>125</v>
      </c>
      <c r="D2244" t="s">
        <v>442</v>
      </c>
    </row>
    <row r="2245" spans="1:4" x14ac:dyDescent="0.25">
      <c r="A2245" t="s">
        <v>340</v>
      </c>
      <c r="B2245">
        <v>12</v>
      </c>
      <c r="C2245" t="s">
        <v>125</v>
      </c>
      <c r="D2245" t="s">
        <v>341</v>
      </c>
    </row>
    <row r="2246" spans="1:4" x14ac:dyDescent="0.25">
      <c r="A2246" t="s">
        <v>220</v>
      </c>
      <c r="B2246">
        <v>11</v>
      </c>
      <c r="C2246" t="s">
        <v>886</v>
      </c>
      <c r="D2246" t="s">
        <v>221</v>
      </c>
    </row>
    <row r="2247" spans="1:4" x14ac:dyDescent="0.25">
      <c r="A2247" t="s">
        <v>447</v>
      </c>
      <c r="B2247">
        <v>11</v>
      </c>
      <c r="C2247" t="s">
        <v>125</v>
      </c>
      <c r="D2247" t="s">
        <v>442</v>
      </c>
    </row>
    <row r="2248" spans="1:4" x14ac:dyDescent="0.25">
      <c r="A2248" t="s">
        <v>253</v>
      </c>
      <c r="B2248">
        <v>8</v>
      </c>
      <c r="C2248" t="s">
        <v>125</v>
      </c>
      <c r="D2248" t="s">
        <v>249</v>
      </c>
    </row>
    <row r="2249" spans="1:4" x14ac:dyDescent="0.25">
      <c r="A2249" t="s">
        <v>473</v>
      </c>
      <c r="B2249">
        <v>6</v>
      </c>
      <c r="C2249" t="s">
        <v>125</v>
      </c>
      <c r="D2249" t="s">
        <v>474</v>
      </c>
    </row>
    <row r="2250" spans="1:4" x14ac:dyDescent="0.25">
      <c r="A2250" t="s">
        <v>310</v>
      </c>
      <c r="B2250">
        <v>5</v>
      </c>
      <c r="C2250" t="s">
        <v>125</v>
      </c>
      <c r="D2250" t="s">
        <v>311</v>
      </c>
    </row>
    <row r="2251" spans="1:4" x14ac:dyDescent="0.25">
      <c r="A2251" t="s">
        <v>226</v>
      </c>
      <c r="B2251">
        <v>5</v>
      </c>
      <c r="C2251" t="s">
        <v>886</v>
      </c>
      <c r="D2251" t="s">
        <v>227</v>
      </c>
    </row>
    <row r="2252" spans="1:4" x14ac:dyDescent="0.25">
      <c r="A2252" t="s">
        <v>203</v>
      </c>
      <c r="B2252">
        <v>4</v>
      </c>
      <c r="C2252" t="s">
        <v>886</v>
      </c>
      <c r="D2252" t="s">
        <v>204</v>
      </c>
    </row>
    <row r="2253" spans="1:4" x14ac:dyDescent="0.25">
      <c r="A2253" t="s">
        <v>353</v>
      </c>
      <c r="B2253">
        <v>3</v>
      </c>
      <c r="C2253" t="s">
        <v>125</v>
      </c>
      <c r="D2253" t="s">
        <v>354</v>
      </c>
    </row>
    <row r="2254" spans="1:4" x14ac:dyDescent="0.25">
      <c r="A2254" t="s">
        <v>282</v>
      </c>
      <c r="B2254">
        <v>3</v>
      </c>
      <c r="C2254" t="s">
        <v>125</v>
      </c>
      <c r="D2254" t="s">
        <v>249</v>
      </c>
    </row>
    <row r="2255" spans="1:4" x14ac:dyDescent="0.25">
      <c r="A2255" t="s">
        <v>337</v>
      </c>
      <c r="B2255">
        <v>3</v>
      </c>
      <c r="C2255" t="s">
        <v>125</v>
      </c>
      <c r="D2255" t="s">
        <v>338</v>
      </c>
    </row>
    <row r="2256" spans="1:4" x14ac:dyDescent="0.25">
      <c r="A2256" t="s">
        <v>274</v>
      </c>
      <c r="B2256">
        <v>2</v>
      </c>
      <c r="C2256" t="s">
        <v>125</v>
      </c>
      <c r="D2256" t="s">
        <v>249</v>
      </c>
    </row>
    <row r="2257" spans="1:4" x14ac:dyDescent="0.25">
      <c r="A2257" t="s">
        <v>80</v>
      </c>
      <c r="B2257">
        <v>10</v>
      </c>
    </row>
    <row r="2258" spans="1:4" x14ac:dyDescent="0.25">
      <c r="A2258" t="s">
        <v>185</v>
      </c>
      <c r="B2258">
        <v>8631</v>
      </c>
      <c r="C2258" t="s">
        <v>886</v>
      </c>
      <c r="D2258" t="s">
        <v>186</v>
      </c>
    </row>
    <row r="2259" spans="1:4" x14ac:dyDescent="0.25">
      <c r="A2259" t="s">
        <v>191</v>
      </c>
      <c r="B2259">
        <v>4730</v>
      </c>
      <c r="C2259" t="s">
        <v>886</v>
      </c>
      <c r="D2259" t="s">
        <v>192</v>
      </c>
    </row>
    <row r="2260" spans="1:4" x14ac:dyDescent="0.25">
      <c r="A2260" t="s">
        <v>203</v>
      </c>
      <c r="B2260">
        <v>118</v>
      </c>
      <c r="C2260" t="s">
        <v>886</v>
      </c>
      <c r="D2260" t="s">
        <v>204</v>
      </c>
    </row>
    <row r="2261" spans="1:4" x14ac:dyDescent="0.25">
      <c r="A2261" t="s">
        <v>208</v>
      </c>
      <c r="B2261">
        <v>50</v>
      </c>
      <c r="C2261" t="s">
        <v>886</v>
      </c>
      <c r="D2261" t="s">
        <v>209</v>
      </c>
    </row>
    <row r="2262" spans="1:4" x14ac:dyDescent="0.25">
      <c r="A2262" t="s">
        <v>214</v>
      </c>
      <c r="B2262">
        <v>39</v>
      </c>
      <c r="C2262" t="s">
        <v>886</v>
      </c>
      <c r="D2262" t="s">
        <v>215</v>
      </c>
    </row>
    <row r="2263" spans="1:4" x14ac:dyDescent="0.25">
      <c r="A2263" t="s">
        <v>304</v>
      </c>
      <c r="B2263">
        <v>22</v>
      </c>
      <c r="C2263" t="s">
        <v>125</v>
      </c>
      <c r="D2263" t="s">
        <v>305</v>
      </c>
    </row>
    <row r="2264" spans="1:4" x14ac:dyDescent="0.25">
      <c r="A2264" t="s">
        <v>326</v>
      </c>
      <c r="B2264">
        <v>19</v>
      </c>
      <c r="C2264" t="s">
        <v>125</v>
      </c>
      <c r="D2264" t="s">
        <v>325</v>
      </c>
    </row>
    <row r="2265" spans="1:4" x14ac:dyDescent="0.25">
      <c r="A2265" t="s">
        <v>314</v>
      </c>
      <c r="B2265">
        <v>18</v>
      </c>
      <c r="C2265" t="s">
        <v>125</v>
      </c>
      <c r="D2265" t="s">
        <v>315</v>
      </c>
    </row>
    <row r="2266" spans="1:4" x14ac:dyDescent="0.25">
      <c r="A2266" t="s">
        <v>340</v>
      </c>
      <c r="B2266">
        <v>10</v>
      </c>
      <c r="C2266" t="s">
        <v>125</v>
      </c>
      <c r="D2266" t="s">
        <v>341</v>
      </c>
    </row>
    <row r="2267" spans="1:4" x14ac:dyDescent="0.25">
      <c r="A2267" t="s">
        <v>188</v>
      </c>
      <c r="B2267">
        <v>2</v>
      </c>
      <c r="C2267" t="s">
        <v>886</v>
      </c>
      <c r="D2267" t="s">
        <v>189</v>
      </c>
    </row>
    <row r="2268" spans="1:4" x14ac:dyDescent="0.25">
      <c r="A2268" t="s">
        <v>81</v>
      </c>
      <c r="B2268">
        <v>16</v>
      </c>
    </row>
    <row r="2269" spans="1:4" x14ac:dyDescent="0.25">
      <c r="A2269" t="s">
        <v>191</v>
      </c>
      <c r="B2269">
        <v>9987</v>
      </c>
      <c r="C2269" t="s">
        <v>886</v>
      </c>
      <c r="D2269" t="s">
        <v>192</v>
      </c>
    </row>
    <row r="2270" spans="1:4" x14ac:dyDescent="0.25">
      <c r="A2270" t="s">
        <v>188</v>
      </c>
      <c r="B2270">
        <v>1310</v>
      </c>
      <c r="C2270" t="s">
        <v>886</v>
      </c>
      <c r="D2270" t="s">
        <v>189</v>
      </c>
    </row>
    <row r="2271" spans="1:4" x14ac:dyDescent="0.25">
      <c r="A2271" t="s">
        <v>206</v>
      </c>
      <c r="B2271">
        <v>1015</v>
      </c>
      <c r="C2271" t="s">
        <v>886</v>
      </c>
      <c r="D2271" t="s">
        <v>189</v>
      </c>
    </row>
    <row r="2272" spans="1:4" x14ac:dyDescent="0.25">
      <c r="A2272" t="s">
        <v>208</v>
      </c>
      <c r="B2272">
        <v>553</v>
      </c>
      <c r="C2272" t="s">
        <v>886</v>
      </c>
      <c r="D2272" t="s">
        <v>209</v>
      </c>
    </row>
    <row r="2273" spans="1:4" x14ac:dyDescent="0.25">
      <c r="A2273" t="s">
        <v>185</v>
      </c>
      <c r="B2273">
        <v>320</v>
      </c>
      <c r="C2273" t="s">
        <v>886</v>
      </c>
      <c r="D2273" t="s">
        <v>186</v>
      </c>
    </row>
    <row r="2274" spans="1:4" x14ac:dyDescent="0.25">
      <c r="A2274" t="s">
        <v>312</v>
      </c>
      <c r="B2274">
        <v>159</v>
      </c>
      <c r="C2274" t="s">
        <v>125</v>
      </c>
      <c r="D2274" t="s">
        <v>313</v>
      </c>
    </row>
    <row r="2275" spans="1:4" x14ac:dyDescent="0.25">
      <c r="A2275" t="s">
        <v>243</v>
      </c>
      <c r="B2275">
        <v>51</v>
      </c>
      <c r="C2275" t="s">
        <v>886</v>
      </c>
      <c r="D2275" t="s">
        <v>212</v>
      </c>
    </row>
    <row r="2276" spans="1:4" x14ac:dyDescent="0.25">
      <c r="A2276" t="s">
        <v>194</v>
      </c>
      <c r="B2276">
        <v>27</v>
      </c>
      <c r="C2276" t="s">
        <v>886</v>
      </c>
      <c r="D2276" t="s">
        <v>195</v>
      </c>
    </row>
    <row r="2277" spans="1:4" x14ac:dyDescent="0.25">
      <c r="A2277" t="s">
        <v>405</v>
      </c>
      <c r="B2277">
        <v>27</v>
      </c>
      <c r="C2277" t="s">
        <v>125</v>
      </c>
      <c r="D2277" t="s">
        <v>401</v>
      </c>
    </row>
    <row r="2278" spans="1:4" x14ac:dyDescent="0.25">
      <c r="A2278" t="s">
        <v>253</v>
      </c>
      <c r="B2278">
        <v>23</v>
      </c>
      <c r="C2278" t="s">
        <v>125</v>
      </c>
      <c r="D2278" t="s">
        <v>249</v>
      </c>
    </row>
    <row r="2279" spans="1:4" x14ac:dyDescent="0.25">
      <c r="A2279" t="s">
        <v>326</v>
      </c>
      <c r="B2279">
        <v>10</v>
      </c>
      <c r="C2279" t="s">
        <v>125</v>
      </c>
      <c r="D2279" t="s">
        <v>325</v>
      </c>
    </row>
    <row r="2280" spans="1:4" x14ac:dyDescent="0.25">
      <c r="A2280" t="s">
        <v>452</v>
      </c>
      <c r="B2280">
        <v>9</v>
      </c>
      <c r="C2280" t="s">
        <v>125</v>
      </c>
      <c r="D2280" t="s">
        <v>442</v>
      </c>
    </row>
    <row r="2281" spans="1:4" x14ac:dyDescent="0.25">
      <c r="A2281" t="s">
        <v>283</v>
      </c>
      <c r="B2281">
        <v>9</v>
      </c>
      <c r="C2281" t="s">
        <v>125</v>
      </c>
      <c r="D2281" t="s">
        <v>249</v>
      </c>
    </row>
    <row r="2282" spans="1:4" x14ac:dyDescent="0.25">
      <c r="A2282" t="s">
        <v>385</v>
      </c>
      <c r="B2282">
        <v>7</v>
      </c>
      <c r="C2282" t="s">
        <v>125</v>
      </c>
      <c r="D2282" t="s">
        <v>386</v>
      </c>
    </row>
    <row r="2283" spans="1:4" x14ac:dyDescent="0.25">
      <c r="A2283" t="s">
        <v>265</v>
      </c>
      <c r="B2283">
        <v>4</v>
      </c>
      <c r="C2283" t="s">
        <v>125</v>
      </c>
      <c r="D2283" t="s">
        <v>249</v>
      </c>
    </row>
    <row r="2284" spans="1:4" x14ac:dyDescent="0.25">
      <c r="A2284" t="s">
        <v>426</v>
      </c>
      <c r="B2284">
        <v>3</v>
      </c>
      <c r="C2284" t="s">
        <v>125</v>
      </c>
      <c r="D2284" t="s">
        <v>401</v>
      </c>
    </row>
    <row r="2285" spans="1:4" x14ac:dyDescent="0.25">
      <c r="A2285" t="s">
        <v>82</v>
      </c>
      <c r="B2285">
        <v>43</v>
      </c>
    </row>
    <row r="2286" spans="1:4" x14ac:dyDescent="0.25">
      <c r="A2286" t="s">
        <v>185</v>
      </c>
      <c r="B2286">
        <v>7558</v>
      </c>
      <c r="C2286" t="s">
        <v>886</v>
      </c>
      <c r="D2286" t="s">
        <v>186</v>
      </c>
    </row>
    <row r="2287" spans="1:4" x14ac:dyDescent="0.25">
      <c r="A2287" t="s">
        <v>191</v>
      </c>
      <c r="B2287">
        <v>3171</v>
      </c>
      <c r="C2287" t="s">
        <v>886</v>
      </c>
      <c r="D2287" t="s">
        <v>192</v>
      </c>
    </row>
    <row r="2288" spans="1:4" x14ac:dyDescent="0.25">
      <c r="A2288" t="s">
        <v>208</v>
      </c>
      <c r="B2288">
        <v>1645</v>
      </c>
      <c r="C2288" t="s">
        <v>886</v>
      </c>
      <c r="D2288" t="s">
        <v>209</v>
      </c>
    </row>
    <row r="2289" spans="1:4" x14ac:dyDescent="0.25">
      <c r="A2289" t="s">
        <v>214</v>
      </c>
      <c r="B2289">
        <v>1354</v>
      </c>
      <c r="C2289" t="s">
        <v>886</v>
      </c>
      <c r="D2289" t="s">
        <v>215</v>
      </c>
    </row>
    <row r="2290" spans="1:4" x14ac:dyDescent="0.25">
      <c r="A2290" t="s">
        <v>340</v>
      </c>
      <c r="B2290">
        <v>1198</v>
      </c>
      <c r="C2290" t="s">
        <v>125</v>
      </c>
      <c r="D2290" t="s">
        <v>341</v>
      </c>
    </row>
    <row r="2291" spans="1:4" x14ac:dyDescent="0.25">
      <c r="A2291" t="s">
        <v>385</v>
      </c>
      <c r="B2291">
        <v>670</v>
      </c>
      <c r="C2291" t="s">
        <v>125</v>
      </c>
      <c r="D2291" t="s">
        <v>386</v>
      </c>
    </row>
    <row r="2292" spans="1:4" x14ac:dyDescent="0.25">
      <c r="A2292" t="s">
        <v>203</v>
      </c>
      <c r="B2292">
        <v>275</v>
      </c>
      <c r="C2292" t="s">
        <v>886</v>
      </c>
      <c r="D2292" t="s">
        <v>204</v>
      </c>
    </row>
    <row r="2293" spans="1:4" x14ac:dyDescent="0.25">
      <c r="A2293" t="s">
        <v>326</v>
      </c>
      <c r="B2293">
        <v>238</v>
      </c>
      <c r="C2293" t="s">
        <v>125</v>
      </c>
      <c r="D2293" t="s">
        <v>325</v>
      </c>
    </row>
    <row r="2294" spans="1:4" x14ac:dyDescent="0.25">
      <c r="A2294" t="s">
        <v>200</v>
      </c>
      <c r="B2294">
        <v>230</v>
      </c>
      <c r="C2294" t="s">
        <v>886</v>
      </c>
      <c r="D2294" t="s">
        <v>201</v>
      </c>
    </row>
    <row r="2295" spans="1:4" x14ac:dyDescent="0.25">
      <c r="A2295" t="s">
        <v>444</v>
      </c>
      <c r="B2295">
        <v>214</v>
      </c>
      <c r="C2295" t="s">
        <v>125</v>
      </c>
      <c r="D2295" t="s">
        <v>442</v>
      </c>
    </row>
    <row r="2296" spans="1:4" x14ac:dyDescent="0.25">
      <c r="A2296" t="s">
        <v>479</v>
      </c>
      <c r="B2296">
        <v>166</v>
      </c>
      <c r="C2296" t="s">
        <v>125</v>
      </c>
      <c r="D2296" t="s">
        <v>478</v>
      </c>
    </row>
    <row r="2297" spans="1:4" x14ac:dyDescent="0.25">
      <c r="A2297" t="s">
        <v>314</v>
      </c>
      <c r="B2297">
        <v>137</v>
      </c>
      <c r="C2297" t="s">
        <v>125</v>
      </c>
      <c r="D2297" t="s">
        <v>315</v>
      </c>
    </row>
    <row r="2298" spans="1:4" x14ac:dyDescent="0.25">
      <c r="A2298" t="s">
        <v>217</v>
      </c>
      <c r="B2298">
        <v>94</v>
      </c>
      <c r="C2298" t="s">
        <v>886</v>
      </c>
      <c r="D2298" t="s">
        <v>218</v>
      </c>
    </row>
    <row r="2299" spans="1:4" x14ac:dyDescent="0.25">
      <c r="A2299" t="s">
        <v>342</v>
      </c>
      <c r="B2299">
        <v>88</v>
      </c>
      <c r="C2299" t="s">
        <v>125</v>
      </c>
      <c r="D2299" t="s">
        <v>343</v>
      </c>
    </row>
    <row r="2300" spans="1:4" x14ac:dyDescent="0.25">
      <c r="A2300" t="s">
        <v>266</v>
      </c>
      <c r="B2300">
        <v>76</v>
      </c>
      <c r="C2300" t="s">
        <v>125</v>
      </c>
      <c r="D2300" t="s">
        <v>249</v>
      </c>
    </row>
    <row r="2301" spans="1:4" x14ac:dyDescent="0.25">
      <c r="A2301" t="s">
        <v>188</v>
      </c>
      <c r="B2301">
        <v>73</v>
      </c>
      <c r="C2301" t="s">
        <v>886</v>
      </c>
      <c r="D2301" t="s">
        <v>189</v>
      </c>
    </row>
    <row r="2302" spans="1:4" x14ac:dyDescent="0.25">
      <c r="A2302" t="s">
        <v>324</v>
      </c>
      <c r="B2302">
        <v>66</v>
      </c>
      <c r="C2302" t="s">
        <v>125</v>
      </c>
      <c r="D2302" t="s">
        <v>325</v>
      </c>
    </row>
    <row r="2303" spans="1:4" x14ac:dyDescent="0.25">
      <c r="A2303" t="s">
        <v>446</v>
      </c>
      <c r="B2303">
        <v>58</v>
      </c>
      <c r="C2303" t="s">
        <v>125</v>
      </c>
      <c r="D2303" t="s">
        <v>442</v>
      </c>
    </row>
    <row r="2304" spans="1:4" x14ac:dyDescent="0.25">
      <c r="A2304" t="s">
        <v>255</v>
      </c>
      <c r="B2304">
        <v>50</v>
      </c>
      <c r="C2304" t="s">
        <v>125</v>
      </c>
      <c r="D2304" t="s">
        <v>249</v>
      </c>
    </row>
    <row r="2305" spans="1:4" x14ac:dyDescent="0.25">
      <c r="A2305" t="s">
        <v>330</v>
      </c>
      <c r="B2305">
        <v>47</v>
      </c>
      <c r="C2305" t="s">
        <v>125</v>
      </c>
      <c r="D2305" t="s">
        <v>331</v>
      </c>
    </row>
    <row r="2306" spans="1:4" x14ac:dyDescent="0.25">
      <c r="A2306" t="s">
        <v>220</v>
      </c>
      <c r="B2306">
        <v>36</v>
      </c>
      <c r="C2306" t="s">
        <v>886</v>
      </c>
      <c r="D2306" t="s">
        <v>221</v>
      </c>
    </row>
    <row r="2307" spans="1:4" x14ac:dyDescent="0.25">
      <c r="A2307" t="s">
        <v>258</v>
      </c>
      <c r="B2307">
        <v>34</v>
      </c>
      <c r="C2307" t="s">
        <v>125</v>
      </c>
      <c r="D2307" t="s">
        <v>249</v>
      </c>
    </row>
    <row r="2308" spans="1:4" x14ac:dyDescent="0.25">
      <c r="A2308" t="s">
        <v>383</v>
      </c>
      <c r="B2308">
        <v>34</v>
      </c>
      <c r="C2308" t="s">
        <v>125</v>
      </c>
      <c r="D2308" t="s">
        <v>382</v>
      </c>
    </row>
    <row r="2309" spans="1:4" x14ac:dyDescent="0.25">
      <c r="A2309" t="s">
        <v>289</v>
      </c>
      <c r="B2309">
        <v>33</v>
      </c>
      <c r="C2309" t="s">
        <v>125</v>
      </c>
      <c r="D2309" t="s">
        <v>290</v>
      </c>
    </row>
    <row r="2310" spans="1:4" x14ac:dyDescent="0.25">
      <c r="A2310" t="s">
        <v>473</v>
      </c>
      <c r="B2310">
        <v>32</v>
      </c>
      <c r="C2310" t="s">
        <v>125</v>
      </c>
      <c r="D2310" t="s">
        <v>474</v>
      </c>
    </row>
    <row r="2311" spans="1:4" x14ac:dyDescent="0.25">
      <c r="A2311" t="s">
        <v>232</v>
      </c>
      <c r="B2311">
        <v>25</v>
      </c>
      <c r="C2311" t="s">
        <v>886</v>
      </c>
      <c r="D2311" t="s">
        <v>204</v>
      </c>
    </row>
    <row r="2312" spans="1:4" x14ac:dyDescent="0.25">
      <c r="A2312" t="s">
        <v>345</v>
      </c>
      <c r="B2312">
        <v>21</v>
      </c>
      <c r="C2312" t="s">
        <v>125</v>
      </c>
      <c r="D2312" t="s">
        <v>346</v>
      </c>
    </row>
    <row r="2313" spans="1:4" x14ac:dyDescent="0.25">
      <c r="A2313" t="s">
        <v>447</v>
      </c>
      <c r="B2313">
        <v>16</v>
      </c>
      <c r="C2313" t="s">
        <v>125</v>
      </c>
      <c r="D2313" t="s">
        <v>442</v>
      </c>
    </row>
    <row r="2314" spans="1:4" x14ac:dyDescent="0.25">
      <c r="A2314" t="s">
        <v>250</v>
      </c>
      <c r="B2314">
        <v>15</v>
      </c>
      <c r="C2314" t="s">
        <v>125</v>
      </c>
      <c r="D2314" t="s">
        <v>249</v>
      </c>
    </row>
    <row r="2315" spans="1:4" x14ac:dyDescent="0.25">
      <c r="A2315" t="s">
        <v>251</v>
      </c>
      <c r="B2315">
        <v>15</v>
      </c>
      <c r="C2315" t="s">
        <v>125</v>
      </c>
      <c r="D2315" t="s">
        <v>249</v>
      </c>
    </row>
    <row r="2316" spans="1:4" x14ac:dyDescent="0.25">
      <c r="A2316" t="s">
        <v>293</v>
      </c>
      <c r="B2316">
        <v>15</v>
      </c>
      <c r="C2316" t="s">
        <v>125</v>
      </c>
      <c r="D2316" t="s">
        <v>294</v>
      </c>
    </row>
    <row r="2317" spans="1:4" x14ac:dyDescent="0.25">
      <c r="A2317" t="s">
        <v>288</v>
      </c>
      <c r="B2317">
        <v>14</v>
      </c>
      <c r="C2317" t="s">
        <v>125</v>
      </c>
      <c r="D2317" t="s">
        <v>249</v>
      </c>
    </row>
    <row r="2318" spans="1:4" x14ac:dyDescent="0.25">
      <c r="A2318" t="s">
        <v>471</v>
      </c>
      <c r="B2318">
        <v>11</v>
      </c>
      <c r="C2318" t="s">
        <v>125</v>
      </c>
      <c r="D2318" t="s">
        <v>472</v>
      </c>
    </row>
    <row r="2319" spans="1:4" x14ac:dyDescent="0.25">
      <c r="A2319" t="s">
        <v>304</v>
      </c>
      <c r="B2319">
        <v>11</v>
      </c>
      <c r="C2319" t="s">
        <v>125</v>
      </c>
      <c r="D2319" t="s">
        <v>305</v>
      </c>
    </row>
    <row r="2320" spans="1:4" x14ac:dyDescent="0.25">
      <c r="A2320" t="s">
        <v>248</v>
      </c>
      <c r="B2320">
        <v>10</v>
      </c>
      <c r="C2320" t="s">
        <v>125</v>
      </c>
      <c r="D2320" t="s">
        <v>249</v>
      </c>
    </row>
    <row r="2321" spans="1:4" x14ac:dyDescent="0.25">
      <c r="A2321" t="s">
        <v>261</v>
      </c>
      <c r="B2321">
        <v>10</v>
      </c>
      <c r="C2321" t="s">
        <v>125</v>
      </c>
      <c r="D2321" t="s">
        <v>249</v>
      </c>
    </row>
    <row r="2322" spans="1:4" x14ac:dyDescent="0.25">
      <c r="A2322" t="s">
        <v>475</v>
      </c>
      <c r="B2322">
        <v>9</v>
      </c>
      <c r="C2322" t="s">
        <v>125</v>
      </c>
      <c r="D2322" t="s">
        <v>476</v>
      </c>
    </row>
    <row r="2323" spans="1:4" x14ac:dyDescent="0.25">
      <c r="A2323" t="s">
        <v>337</v>
      </c>
      <c r="B2323">
        <v>7</v>
      </c>
      <c r="C2323" t="s">
        <v>125</v>
      </c>
      <c r="D2323" t="s">
        <v>338</v>
      </c>
    </row>
    <row r="2324" spans="1:4" x14ac:dyDescent="0.25">
      <c r="A2324" t="s">
        <v>454</v>
      </c>
      <c r="B2324">
        <v>7</v>
      </c>
      <c r="C2324" t="s">
        <v>125</v>
      </c>
      <c r="D2324" t="s">
        <v>442</v>
      </c>
    </row>
    <row r="2325" spans="1:4" x14ac:dyDescent="0.25">
      <c r="A2325" t="s">
        <v>273</v>
      </c>
      <c r="B2325">
        <v>7</v>
      </c>
      <c r="C2325" t="s">
        <v>125</v>
      </c>
      <c r="D2325" t="s">
        <v>249</v>
      </c>
    </row>
    <row r="2326" spans="1:4" x14ac:dyDescent="0.25">
      <c r="A2326" t="s">
        <v>484</v>
      </c>
      <c r="B2326">
        <v>7</v>
      </c>
      <c r="C2326" t="s">
        <v>125</v>
      </c>
      <c r="D2326" t="s">
        <v>478</v>
      </c>
    </row>
    <row r="2327" spans="1:4" x14ac:dyDescent="0.25">
      <c r="A2327" t="s">
        <v>468</v>
      </c>
      <c r="B2327">
        <v>4</v>
      </c>
      <c r="C2327" t="s">
        <v>125</v>
      </c>
      <c r="D2327" t="s">
        <v>469</v>
      </c>
    </row>
    <row r="2328" spans="1:4" x14ac:dyDescent="0.25">
      <c r="A2328" t="s">
        <v>418</v>
      </c>
      <c r="B2328">
        <v>3</v>
      </c>
      <c r="C2328" t="s">
        <v>125</v>
      </c>
      <c r="D2328" t="s">
        <v>401</v>
      </c>
    </row>
    <row r="2329" spans="1:4" x14ac:dyDescent="0.25">
      <c r="A2329" t="s">
        <v>83</v>
      </c>
      <c r="B2329">
        <v>34</v>
      </c>
    </row>
    <row r="2330" spans="1:4" x14ac:dyDescent="0.25">
      <c r="A2330" t="s">
        <v>185</v>
      </c>
      <c r="B2330">
        <v>6812</v>
      </c>
      <c r="C2330" t="s">
        <v>886</v>
      </c>
      <c r="D2330" t="s">
        <v>186</v>
      </c>
    </row>
    <row r="2331" spans="1:4" x14ac:dyDescent="0.25">
      <c r="A2331" t="s">
        <v>191</v>
      </c>
      <c r="B2331">
        <v>1363</v>
      </c>
      <c r="C2331" t="s">
        <v>886</v>
      </c>
      <c r="D2331" t="s">
        <v>192</v>
      </c>
    </row>
    <row r="2332" spans="1:4" x14ac:dyDescent="0.25">
      <c r="A2332" t="s">
        <v>214</v>
      </c>
      <c r="B2332">
        <v>1255</v>
      </c>
      <c r="C2332" t="s">
        <v>886</v>
      </c>
      <c r="D2332" t="s">
        <v>215</v>
      </c>
    </row>
    <row r="2333" spans="1:4" x14ac:dyDescent="0.25">
      <c r="A2333" t="s">
        <v>250</v>
      </c>
      <c r="B2333">
        <v>1147</v>
      </c>
      <c r="C2333" t="s">
        <v>125</v>
      </c>
      <c r="D2333" t="s">
        <v>249</v>
      </c>
    </row>
    <row r="2334" spans="1:4" x14ac:dyDescent="0.25">
      <c r="A2334" t="s">
        <v>188</v>
      </c>
      <c r="B2334">
        <v>769</v>
      </c>
      <c r="C2334" t="s">
        <v>886</v>
      </c>
      <c r="D2334" t="s">
        <v>189</v>
      </c>
    </row>
    <row r="2335" spans="1:4" x14ac:dyDescent="0.25">
      <c r="A2335" t="s">
        <v>326</v>
      </c>
      <c r="B2335">
        <v>665</v>
      </c>
      <c r="C2335" t="s">
        <v>125</v>
      </c>
      <c r="D2335" t="s">
        <v>325</v>
      </c>
    </row>
    <row r="2336" spans="1:4" x14ac:dyDescent="0.25">
      <c r="A2336" t="s">
        <v>385</v>
      </c>
      <c r="B2336">
        <v>586</v>
      </c>
      <c r="C2336" t="s">
        <v>125</v>
      </c>
      <c r="D2336" t="s">
        <v>386</v>
      </c>
    </row>
    <row r="2337" spans="1:4" x14ac:dyDescent="0.25">
      <c r="A2337" t="s">
        <v>340</v>
      </c>
      <c r="B2337">
        <v>531</v>
      </c>
      <c r="C2337" t="s">
        <v>125</v>
      </c>
      <c r="D2337" t="s">
        <v>341</v>
      </c>
    </row>
    <row r="2338" spans="1:4" x14ac:dyDescent="0.25">
      <c r="A2338" t="s">
        <v>208</v>
      </c>
      <c r="B2338">
        <v>422</v>
      </c>
      <c r="C2338" t="s">
        <v>886</v>
      </c>
      <c r="D2338" t="s">
        <v>209</v>
      </c>
    </row>
    <row r="2339" spans="1:4" x14ac:dyDescent="0.25">
      <c r="A2339" t="s">
        <v>265</v>
      </c>
      <c r="B2339">
        <v>398</v>
      </c>
      <c r="C2339" t="s">
        <v>125</v>
      </c>
      <c r="D2339" t="s">
        <v>249</v>
      </c>
    </row>
    <row r="2340" spans="1:4" x14ac:dyDescent="0.25">
      <c r="A2340" t="s">
        <v>203</v>
      </c>
      <c r="B2340">
        <v>129</v>
      </c>
      <c r="C2340" t="s">
        <v>886</v>
      </c>
      <c r="D2340" t="s">
        <v>204</v>
      </c>
    </row>
    <row r="2341" spans="1:4" x14ac:dyDescent="0.25">
      <c r="A2341" t="s">
        <v>383</v>
      </c>
      <c r="B2341">
        <v>118</v>
      </c>
      <c r="C2341" t="s">
        <v>125</v>
      </c>
      <c r="D2341" t="s">
        <v>382</v>
      </c>
    </row>
    <row r="2342" spans="1:4" x14ac:dyDescent="0.25">
      <c r="A2342" t="s">
        <v>200</v>
      </c>
      <c r="B2342">
        <v>87</v>
      </c>
      <c r="C2342" t="s">
        <v>886</v>
      </c>
      <c r="D2342" t="s">
        <v>201</v>
      </c>
    </row>
    <row r="2343" spans="1:4" x14ac:dyDescent="0.25">
      <c r="A2343" t="s">
        <v>314</v>
      </c>
      <c r="B2343">
        <v>85</v>
      </c>
      <c r="C2343" t="s">
        <v>125</v>
      </c>
      <c r="D2343" t="s">
        <v>315</v>
      </c>
    </row>
    <row r="2344" spans="1:4" x14ac:dyDescent="0.25">
      <c r="A2344" t="s">
        <v>479</v>
      </c>
      <c r="B2344">
        <v>76</v>
      </c>
      <c r="C2344" t="s">
        <v>125</v>
      </c>
      <c r="D2344" t="s">
        <v>478</v>
      </c>
    </row>
    <row r="2345" spans="1:4" x14ac:dyDescent="0.25">
      <c r="A2345" t="s">
        <v>266</v>
      </c>
      <c r="B2345">
        <v>59</v>
      </c>
      <c r="C2345" t="s">
        <v>125</v>
      </c>
      <c r="D2345" t="s">
        <v>249</v>
      </c>
    </row>
    <row r="2346" spans="1:4" x14ac:dyDescent="0.25">
      <c r="A2346" t="s">
        <v>304</v>
      </c>
      <c r="B2346">
        <v>57</v>
      </c>
      <c r="C2346" t="s">
        <v>125</v>
      </c>
      <c r="D2346" t="s">
        <v>305</v>
      </c>
    </row>
    <row r="2347" spans="1:4" x14ac:dyDescent="0.25">
      <c r="A2347" t="s">
        <v>324</v>
      </c>
      <c r="B2347">
        <v>47</v>
      </c>
      <c r="C2347" t="s">
        <v>125</v>
      </c>
      <c r="D2347" t="s">
        <v>325</v>
      </c>
    </row>
    <row r="2348" spans="1:4" x14ac:dyDescent="0.25">
      <c r="A2348" t="s">
        <v>319</v>
      </c>
      <c r="B2348">
        <v>45</v>
      </c>
      <c r="C2348" t="s">
        <v>125</v>
      </c>
      <c r="D2348" t="s">
        <v>318</v>
      </c>
    </row>
    <row r="2349" spans="1:4" x14ac:dyDescent="0.25">
      <c r="A2349" t="s">
        <v>471</v>
      </c>
      <c r="B2349">
        <v>43</v>
      </c>
      <c r="C2349" t="s">
        <v>125</v>
      </c>
      <c r="D2349" t="s">
        <v>472</v>
      </c>
    </row>
    <row r="2350" spans="1:4" x14ac:dyDescent="0.25">
      <c r="A2350" t="s">
        <v>446</v>
      </c>
      <c r="B2350">
        <v>31</v>
      </c>
      <c r="C2350" t="s">
        <v>125</v>
      </c>
      <c r="D2350" t="s">
        <v>442</v>
      </c>
    </row>
    <row r="2351" spans="1:4" x14ac:dyDescent="0.25">
      <c r="A2351" t="s">
        <v>330</v>
      </c>
      <c r="B2351">
        <v>25</v>
      </c>
      <c r="C2351" t="s">
        <v>125</v>
      </c>
      <c r="D2351" t="s">
        <v>331</v>
      </c>
    </row>
    <row r="2352" spans="1:4" x14ac:dyDescent="0.25">
      <c r="A2352" t="s">
        <v>289</v>
      </c>
      <c r="B2352">
        <v>22</v>
      </c>
      <c r="C2352" t="s">
        <v>125</v>
      </c>
      <c r="D2352" t="s">
        <v>290</v>
      </c>
    </row>
    <row r="2353" spans="1:4" x14ac:dyDescent="0.25">
      <c r="A2353" t="s">
        <v>194</v>
      </c>
      <c r="B2353">
        <v>17</v>
      </c>
      <c r="C2353" t="s">
        <v>886</v>
      </c>
      <c r="D2353" t="s">
        <v>195</v>
      </c>
    </row>
    <row r="2354" spans="1:4" x14ac:dyDescent="0.25">
      <c r="A2354" t="s">
        <v>217</v>
      </c>
      <c r="B2354">
        <v>17</v>
      </c>
      <c r="C2354" t="s">
        <v>886</v>
      </c>
      <c r="D2354" t="s">
        <v>218</v>
      </c>
    </row>
    <row r="2355" spans="1:4" x14ac:dyDescent="0.25">
      <c r="A2355" t="s">
        <v>220</v>
      </c>
      <c r="B2355">
        <v>14</v>
      </c>
      <c r="C2355" t="s">
        <v>886</v>
      </c>
      <c r="D2355" t="s">
        <v>221</v>
      </c>
    </row>
    <row r="2356" spans="1:4" x14ac:dyDescent="0.25">
      <c r="A2356" t="s">
        <v>270</v>
      </c>
      <c r="B2356">
        <v>12</v>
      </c>
      <c r="C2356" t="s">
        <v>125</v>
      </c>
      <c r="D2356" t="s">
        <v>249</v>
      </c>
    </row>
    <row r="2357" spans="1:4" x14ac:dyDescent="0.25">
      <c r="A2357" t="s">
        <v>261</v>
      </c>
      <c r="B2357">
        <v>12</v>
      </c>
      <c r="C2357" t="s">
        <v>125</v>
      </c>
      <c r="D2357" t="s">
        <v>249</v>
      </c>
    </row>
    <row r="2358" spans="1:4" x14ac:dyDescent="0.25">
      <c r="A2358" t="s">
        <v>468</v>
      </c>
      <c r="B2358">
        <v>8</v>
      </c>
      <c r="C2358" t="s">
        <v>125</v>
      </c>
      <c r="D2358" t="s">
        <v>469</v>
      </c>
    </row>
    <row r="2359" spans="1:4" x14ac:dyDescent="0.25">
      <c r="A2359" t="s">
        <v>337</v>
      </c>
      <c r="B2359">
        <v>6</v>
      </c>
      <c r="C2359" t="s">
        <v>125</v>
      </c>
      <c r="D2359" t="s">
        <v>338</v>
      </c>
    </row>
    <row r="2360" spans="1:4" x14ac:dyDescent="0.25">
      <c r="A2360" t="s">
        <v>473</v>
      </c>
      <c r="B2360">
        <v>6</v>
      </c>
      <c r="C2360" t="s">
        <v>125</v>
      </c>
      <c r="D2360" t="s">
        <v>474</v>
      </c>
    </row>
    <row r="2361" spans="1:4" x14ac:dyDescent="0.25">
      <c r="A2361" t="s">
        <v>454</v>
      </c>
      <c r="B2361">
        <v>5</v>
      </c>
      <c r="C2361" t="s">
        <v>125</v>
      </c>
      <c r="D2361" t="s">
        <v>442</v>
      </c>
    </row>
    <row r="2362" spans="1:4" x14ac:dyDescent="0.25">
      <c r="A2362" t="s">
        <v>299</v>
      </c>
      <c r="B2362">
        <v>3</v>
      </c>
      <c r="C2362" t="s">
        <v>125</v>
      </c>
      <c r="D2362" t="s">
        <v>298</v>
      </c>
    </row>
    <row r="2363" spans="1:4" x14ac:dyDescent="0.25">
      <c r="A2363" t="s">
        <v>345</v>
      </c>
      <c r="B2363">
        <v>3</v>
      </c>
      <c r="C2363" t="s">
        <v>125</v>
      </c>
      <c r="D2363" t="s">
        <v>346</v>
      </c>
    </row>
    <row r="2364" spans="1:4" x14ac:dyDescent="0.25">
      <c r="A2364" t="s">
        <v>84</v>
      </c>
      <c r="B2364">
        <v>46</v>
      </c>
    </row>
    <row r="2365" spans="1:4" x14ac:dyDescent="0.25">
      <c r="A2365" t="s">
        <v>191</v>
      </c>
      <c r="B2365">
        <v>9222</v>
      </c>
      <c r="C2365" t="s">
        <v>886</v>
      </c>
      <c r="D2365" t="s">
        <v>192</v>
      </c>
    </row>
    <row r="2366" spans="1:4" x14ac:dyDescent="0.25">
      <c r="A2366" t="s">
        <v>185</v>
      </c>
      <c r="B2366">
        <v>8279</v>
      </c>
      <c r="C2366" t="s">
        <v>886</v>
      </c>
      <c r="D2366" t="s">
        <v>186</v>
      </c>
    </row>
    <row r="2367" spans="1:4" x14ac:dyDescent="0.25">
      <c r="A2367" t="s">
        <v>208</v>
      </c>
      <c r="B2367">
        <v>1331</v>
      </c>
      <c r="C2367" t="s">
        <v>886</v>
      </c>
      <c r="D2367" t="s">
        <v>209</v>
      </c>
    </row>
    <row r="2368" spans="1:4" x14ac:dyDescent="0.25">
      <c r="A2368" t="s">
        <v>383</v>
      </c>
      <c r="B2368">
        <v>397</v>
      </c>
      <c r="C2368" t="s">
        <v>125</v>
      </c>
      <c r="D2368" t="s">
        <v>382</v>
      </c>
    </row>
    <row r="2369" spans="1:4" x14ac:dyDescent="0.25">
      <c r="A2369" t="s">
        <v>206</v>
      </c>
      <c r="B2369">
        <v>376</v>
      </c>
      <c r="C2369" t="s">
        <v>886</v>
      </c>
      <c r="D2369" t="s">
        <v>189</v>
      </c>
    </row>
    <row r="2370" spans="1:4" x14ac:dyDescent="0.25">
      <c r="A2370" t="s">
        <v>188</v>
      </c>
      <c r="B2370">
        <v>350</v>
      </c>
      <c r="C2370" t="s">
        <v>886</v>
      </c>
      <c r="D2370" t="s">
        <v>189</v>
      </c>
    </row>
    <row r="2371" spans="1:4" x14ac:dyDescent="0.25">
      <c r="A2371" t="s">
        <v>353</v>
      </c>
      <c r="B2371">
        <v>215</v>
      </c>
      <c r="C2371" t="s">
        <v>125</v>
      </c>
      <c r="D2371" t="s">
        <v>354</v>
      </c>
    </row>
    <row r="2372" spans="1:4" x14ac:dyDescent="0.25">
      <c r="A2372" t="s">
        <v>200</v>
      </c>
      <c r="B2372">
        <v>135</v>
      </c>
      <c r="C2372" t="s">
        <v>886</v>
      </c>
      <c r="D2372" t="s">
        <v>201</v>
      </c>
    </row>
    <row r="2373" spans="1:4" x14ac:dyDescent="0.25">
      <c r="A2373" t="s">
        <v>340</v>
      </c>
      <c r="B2373">
        <v>131</v>
      </c>
      <c r="C2373" t="s">
        <v>125</v>
      </c>
      <c r="D2373" t="s">
        <v>341</v>
      </c>
    </row>
    <row r="2374" spans="1:4" x14ac:dyDescent="0.25">
      <c r="A2374" t="s">
        <v>473</v>
      </c>
      <c r="B2374">
        <v>122</v>
      </c>
      <c r="C2374" t="s">
        <v>125</v>
      </c>
      <c r="D2374" t="s">
        <v>474</v>
      </c>
    </row>
    <row r="2375" spans="1:4" x14ac:dyDescent="0.25">
      <c r="A2375" t="s">
        <v>314</v>
      </c>
      <c r="B2375">
        <v>115</v>
      </c>
      <c r="C2375" t="s">
        <v>125</v>
      </c>
      <c r="D2375" t="s">
        <v>315</v>
      </c>
    </row>
    <row r="2376" spans="1:4" x14ac:dyDescent="0.25">
      <c r="A2376" t="s">
        <v>446</v>
      </c>
      <c r="B2376">
        <v>92</v>
      </c>
      <c r="C2376" t="s">
        <v>125</v>
      </c>
      <c r="D2376" t="s">
        <v>442</v>
      </c>
    </row>
    <row r="2377" spans="1:4" x14ac:dyDescent="0.25">
      <c r="A2377" t="s">
        <v>217</v>
      </c>
      <c r="B2377">
        <v>86</v>
      </c>
      <c r="C2377" t="s">
        <v>886</v>
      </c>
      <c r="D2377" t="s">
        <v>218</v>
      </c>
    </row>
    <row r="2378" spans="1:4" x14ac:dyDescent="0.25">
      <c r="A2378" t="s">
        <v>355</v>
      </c>
      <c r="B2378">
        <v>68</v>
      </c>
      <c r="C2378" t="s">
        <v>125</v>
      </c>
      <c r="D2378" t="s">
        <v>356</v>
      </c>
    </row>
    <row r="2379" spans="1:4" x14ac:dyDescent="0.25">
      <c r="A2379" t="s">
        <v>266</v>
      </c>
      <c r="B2379">
        <v>63</v>
      </c>
      <c r="C2379" t="s">
        <v>125</v>
      </c>
      <c r="D2379" t="s">
        <v>249</v>
      </c>
    </row>
    <row r="2380" spans="1:4" x14ac:dyDescent="0.25">
      <c r="A2380" t="s">
        <v>260</v>
      </c>
      <c r="B2380">
        <v>57</v>
      </c>
      <c r="C2380" t="s">
        <v>125</v>
      </c>
      <c r="D2380" t="s">
        <v>249</v>
      </c>
    </row>
    <row r="2381" spans="1:4" x14ac:dyDescent="0.25">
      <c r="A2381" t="s">
        <v>479</v>
      </c>
      <c r="B2381">
        <v>46</v>
      </c>
      <c r="C2381" t="s">
        <v>125</v>
      </c>
      <c r="D2381" t="s">
        <v>478</v>
      </c>
    </row>
    <row r="2382" spans="1:4" x14ac:dyDescent="0.25">
      <c r="A2382" t="s">
        <v>328</v>
      </c>
      <c r="B2382">
        <v>40</v>
      </c>
      <c r="C2382" t="s">
        <v>125</v>
      </c>
      <c r="D2382" t="s">
        <v>325</v>
      </c>
    </row>
    <row r="2383" spans="1:4" x14ac:dyDescent="0.25">
      <c r="A2383" t="s">
        <v>326</v>
      </c>
      <c r="B2383">
        <v>37</v>
      </c>
      <c r="C2383" t="s">
        <v>125</v>
      </c>
      <c r="D2383" t="s">
        <v>325</v>
      </c>
    </row>
    <row r="2384" spans="1:4" x14ac:dyDescent="0.25">
      <c r="A2384" t="s">
        <v>447</v>
      </c>
      <c r="B2384">
        <v>30</v>
      </c>
      <c r="C2384" t="s">
        <v>125</v>
      </c>
      <c r="D2384" t="s">
        <v>442</v>
      </c>
    </row>
    <row r="2385" spans="1:4" x14ac:dyDescent="0.25">
      <c r="A2385" t="s">
        <v>461</v>
      </c>
      <c r="B2385">
        <v>28</v>
      </c>
      <c r="C2385" t="s">
        <v>125</v>
      </c>
      <c r="D2385" t="s">
        <v>462</v>
      </c>
    </row>
    <row r="2386" spans="1:4" x14ac:dyDescent="0.25">
      <c r="A2386" t="s">
        <v>324</v>
      </c>
      <c r="B2386">
        <v>28</v>
      </c>
      <c r="C2386" t="s">
        <v>125</v>
      </c>
      <c r="D2386" t="s">
        <v>325</v>
      </c>
    </row>
    <row r="2387" spans="1:4" x14ac:dyDescent="0.25">
      <c r="A2387" t="s">
        <v>456</v>
      </c>
      <c r="B2387">
        <v>25</v>
      </c>
      <c r="C2387" t="s">
        <v>125</v>
      </c>
      <c r="D2387" t="s">
        <v>442</v>
      </c>
    </row>
    <row r="2388" spans="1:4" x14ac:dyDescent="0.25">
      <c r="A2388" t="s">
        <v>289</v>
      </c>
      <c r="B2388">
        <v>22</v>
      </c>
      <c r="C2388" t="s">
        <v>125</v>
      </c>
      <c r="D2388" t="s">
        <v>290</v>
      </c>
    </row>
    <row r="2389" spans="1:4" x14ac:dyDescent="0.25">
      <c r="A2389" t="s">
        <v>251</v>
      </c>
      <c r="B2389">
        <v>22</v>
      </c>
      <c r="C2389" t="s">
        <v>125</v>
      </c>
      <c r="D2389" t="s">
        <v>249</v>
      </c>
    </row>
    <row r="2390" spans="1:4" x14ac:dyDescent="0.25">
      <c r="A2390" t="s">
        <v>220</v>
      </c>
      <c r="B2390">
        <v>19</v>
      </c>
      <c r="C2390" t="s">
        <v>886</v>
      </c>
      <c r="D2390" t="s">
        <v>221</v>
      </c>
    </row>
    <row r="2391" spans="1:4" x14ac:dyDescent="0.25">
      <c r="A2391" t="s">
        <v>471</v>
      </c>
      <c r="B2391">
        <v>18</v>
      </c>
      <c r="C2391" t="s">
        <v>125</v>
      </c>
      <c r="D2391" t="s">
        <v>472</v>
      </c>
    </row>
    <row r="2392" spans="1:4" x14ac:dyDescent="0.25">
      <c r="A2392" t="s">
        <v>475</v>
      </c>
      <c r="B2392">
        <v>15</v>
      </c>
      <c r="C2392" t="s">
        <v>125</v>
      </c>
      <c r="D2392" t="s">
        <v>476</v>
      </c>
    </row>
    <row r="2393" spans="1:4" x14ac:dyDescent="0.25">
      <c r="A2393" t="s">
        <v>330</v>
      </c>
      <c r="B2393">
        <v>15</v>
      </c>
      <c r="C2393" t="s">
        <v>125</v>
      </c>
      <c r="D2393" t="s">
        <v>331</v>
      </c>
    </row>
    <row r="2394" spans="1:4" x14ac:dyDescent="0.25">
      <c r="A2394" t="s">
        <v>351</v>
      </c>
      <c r="B2394">
        <v>13</v>
      </c>
      <c r="C2394" t="s">
        <v>125</v>
      </c>
      <c r="D2394" t="s">
        <v>352</v>
      </c>
    </row>
    <row r="2395" spans="1:4" x14ac:dyDescent="0.25">
      <c r="A2395" t="s">
        <v>445</v>
      </c>
      <c r="B2395">
        <v>13</v>
      </c>
      <c r="C2395" t="s">
        <v>125</v>
      </c>
      <c r="D2395" t="s">
        <v>442</v>
      </c>
    </row>
    <row r="2396" spans="1:4" x14ac:dyDescent="0.25">
      <c r="A2396" t="s">
        <v>449</v>
      </c>
      <c r="B2396">
        <v>10</v>
      </c>
      <c r="C2396" t="s">
        <v>125</v>
      </c>
      <c r="D2396" t="s">
        <v>442</v>
      </c>
    </row>
    <row r="2397" spans="1:4" x14ac:dyDescent="0.25">
      <c r="A2397" t="s">
        <v>468</v>
      </c>
      <c r="B2397">
        <v>10</v>
      </c>
      <c r="C2397" t="s">
        <v>125</v>
      </c>
      <c r="D2397" t="s">
        <v>469</v>
      </c>
    </row>
    <row r="2398" spans="1:4" x14ac:dyDescent="0.25">
      <c r="A2398" t="s">
        <v>484</v>
      </c>
      <c r="B2398">
        <v>10</v>
      </c>
      <c r="C2398" t="s">
        <v>125</v>
      </c>
      <c r="D2398" t="s">
        <v>478</v>
      </c>
    </row>
    <row r="2399" spans="1:4" x14ac:dyDescent="0.25">
      <c r="A2399" t="s">
        <v>337</v>
      </c>
      <c r="B2399">
        <v>7</v>
      </c>
      <c r="C2399" t="s">
        <v>125</v>
      </c>
      <c r="D2399" t="s">
        <v>338</v>
      </c>
    </row>
    <row r="2400" spans="1:4" x14ac:dyDescent="0.25">
      <c r="A2400" t="s">
        <v>485</v>
      </c>
      <c r="B2400">
        <v>7</v>
      </c>
      <c r="C2400" t="s">
        <v>125</v>
      </c>
      <c r="D2400" t="s">
        <v>478</v>
      </c>
    </row>
    <row r="2401" spans="1:4" x14ac:dyDescent="0.25">
      <c r="A2401" t="s">
        <v>261</v>
      </c>
      <c r="B2401">
        <v>7</v>
      </c>
      <c r="C2401" t="s">
        <v>125</v>
      </c>
      <c r="D2401" t="s">
        <v>249</v>
      </c>
    </row>
    <row r="2402" spans="1:4" x14ac:dyDescent="0.25">
      <c r="A2402" t="s">
        <v>483</v>
      </c>
      <c r="B2402">
        <v>6</v>
      </c>
      <c r="C2402" t="s">
        <v>125</v>
      </c>
      <c r="D2402" t="s">
        <v>478</v>
      </c>
    </row>
    <row r="2403" spans="1:4" x14ac:dyDescent="0.25">
      <c r="A2403" t="s">
        <v>482</v>
      </c>
      <c r="B2403">
        <v>5</v>
      </c>
      <c r="C2403" t="s">
        <v>125</v>
      </c>
      <c r="D2403" t="s">
        <v>478</v>
      </c>
    </row>
    <row r="2404" spans="1:4" x14ac:dyDescent="0.25">
      <c r="A2404" t="s">
        <v>395</v>
      </c>
      <c r="B2404">
        <v>5</v>
      </c>
      <c r="C2404" t="s">
        <v>125</v>
      </c>
      <c r="D2404" t="s">
        <v>396</v>
      </c>
    </row>
    <row r="2405" spans="1:4" x14ac:dyDescent="0.25">
      <c r="A2405" t="s">
        <v>223</v>
      </c>
      <c r="B2405">
        <v>5</v>
      </c>
      <c r="C2405" t="s">
        <v>886</v>
      </c>
      <c r="D2405" t="s">
        <v>224</v>
      </c>
    </row>
    <row r="2406" spans="1:4" x14ac:dyDescent="0.25">
      <c r="A2406" t="s">
        <v>258</v>
      </c>
      <c r="B2406">
        <v>5</v>
      </c>
      <c r="C2406" t="s">
        <v>125</v>
      </c>
      <c r="D2406" t="s">
        <v>249</v>
      </c>
    </row>
    <row r="2407" spans="1:4" x14ac:dyDescent="0.25">
      <c r="A2407" t="s">
        <v>203</v>
      </c>
      <c r="B2407">
        <v>4</v>
      </c>
      <c r="C2407" t="s">
        <v>886</v>
      </c>
      <c r="D2407" t="s">
        <v>204</v>
      </c>
    </row>
    <row r="2408" spans="1:4" x14ac:dyDescent="0.25">
      <c r="A2408" t="s">
        <v>438</v>
      </c>
      <c r="B2408">
        <v>4</v>
      </c>
      <c r="C2408" t="s">
        <v>125</v>
      </c>
      <c r="D2408" t="s">
        <v>401</v>
      </c>
    </row>
    <row r="2409" spans="1:4" x14ac:dyDescent="0.25">
      <c r="A2409" t="s">
        <v>282</v>
      </c>
      <c r="B2409">
        <v>4</v>
      </c>
      <c r="C2409" t="s">
        <v>125</v>
      </c>
      <c r="D2409" t="s">
        <v>249</v>
      </c>
    </row>
    <row r="2410" spans="1:4" x14ac:dyDescent="0.25">
      <c r="A2410" t="s">
        <v>214</v>
      </c>
      <c r="B2410">
        <v>3</v>
      </c>
      <c r="C2410" t="s">
        <v>886</v>
      </c>
      <c r="D2410" t="s">
        <v>215</v>
      </c>
    </row>
    <row r="2411" spans="1:4" x14ac:dyDescent="0.25">
      <c r="A2411" t="s">
        <v>85</v>
      </c>
      <c r="B2411">
        <v>39</v>
      </c>
    </row>
    <row r="2412" spans="1:4" x14ac:dyDescent="0.25">
      <c r="A2412" t="s">
        <v>340</v>
      </c>
      <c r="B2412">
        <v>3718</v>
      </c>
      <c r="C2412" t="s">
        <v>125</v>
      </c>
      <c r="D2412" t="s">
        <v>341</v>
      </c>
    </row>
    <row r="2413" spans="1:4" x14ac:dyDescent="0.25">
      <c r="A2413" t="s">
        <v>185</v>
      </c>
      <c r="B2413">
        <v>3627</v>
      </c>
      <c r="C2413" t="s">
        <v>886</v>
      </c>
      <c r="D2413" t="s">
        <v>186</v>
      </c>
    </row>
    <row r="2414" spans="1:4" x14ac:dyDescent="0.25">
      <c r="A2414" t="s">
        <v>191</v>
      </c>
      <c r="B2414">
        <v>3436</v>
      </c>
      <c r="C2414" t="s">
        <v>886</v>
      </c>
      <c r="D2414" t="s">
        <v>192</v>
      </c>
    </row>
    <row r="2415" spans="1:4" x14ac:dyDescent="0.25">
      <c r="A2415" t="s">
        <v>208</v>
      </c>
      <c r="B2415">
        <v>2197</v>
      </c>
      <c r="C2415" t="s">
        <v>886</v>
      </c>
      <c r="D2415" t="s">
        <v>209</v>
      </c>
    </row>
    <row r="2416" spans="1:4" x14ac:dyDescent="0.25">
      <c r="A2416" t="s">
        <v>326</v>
      </c>
      <c r="B2416">
        <v>508</v>
      </c>
      <c r="C2416" t="s">
        <v>125</v>
      </c>
      <c r="D2416" t="s">
        <v>325</v>
      </c>
    </row>
    <row r="2417" spans="1:4" x14ac:dyDescent="0.25">
      <c r="A2417" t="s">
        <v>214</v>
      </c>
      <c r="B2417">
        <v>360</v>
      </c>
      <c r="C2417" t="s">
        <v>886</v>
      </c>
      <c r="D2417" t="s">
        <v>215</v>
      </c>
    </row>
    <row r="2418" spans="1:4" x14ac:dyDescent="0.25">
      <c r="A2418" t="s">
        <v>200</v>
      </c>
      <c r="B2418">
        <v>233</v>
      </c>
      <c r="C2418" t="s">
        <v>886</v>
      </c>
      <c r="D2418" t="s">
        <v>201</v>
      </c>
    </row>
    <row r="2419" spans="1:4" x14ac:dyDescent="0.25">
      <c r="A2419" t="s">
        <v>385</v>
      </c>
      <c r="B2419">
        <v>144</v>
      </c>
      <c r="C2419" t="s">
        <v>125</v>
      </c>
      <c r="D2419" t="s">
        <v>386</v>
      </c>
    </row>
    <row r="2420" spans="1:4" x14ac:dyDescent="0.25">
      <c r="A2420" t="s">
        <v>203</v>
      </c>
      <c r="B2420">
        <v>128</v>
      </c>
      <c r="C2420" t="s">
        <v>886</v>
      </c>
      <c r="D2420" t="s">
        <v>204</v>
      </c>
    </row>
    <row r="2421" spans="1:4" x14ac:dyDescent="0.25">
      <c r="A2421" t="s">
        <v>206</v>
      </c>
      <c r="B2421">
        <v>96</v>
      </c>
      <c r="C2421" t="s">
        <v>886</v>
      </c>
      <c r="D2421" t="s">
        <v>189</v>
      </c>
    </row>
    <row r="2422" spans="1:4" x14ac:dyDescent="0.25">
      <c r="A2422" t="s">
        <v>314</v>
      </c>
      <c r="B2422">
        <v>85</v>
      </c>
      <c r="C2422" t="s">
        <v>125</v>
      </c>
      <c r="D2422" t="s">
        <v>315</v>
      </c>
    </row>
    <row r="2423" spans="1:4" x14ac:dyDescent="0.25">
      <c r="A2423" t="s">
        <v>330</v>
      </c>
      <c r="B2423">
        <v>80</v>
      </c>
      <c r="C2423" t="s">
        <v>125</v>
      </c>
      <c r="D2423" t="s">
        <v>331</v>
      </c>
    </row>
    <row r="2424" spans="1:4" x14ac:dyDescent="0.25">
      <c r="A2424" t="s">
        <v>479</v>
      </c>
      <c r="B2424">
        <v>76</v>
      </c>
      <c r="C2424" t="s">
        <v>125</v>
      </c>
      <c r="D2424" t="s">
        <v>478</v>
      </c>
    </row>
    <row r="2425" spans="1:4" x14ac:dyDescent="0.25">
      <c r="A2425" t="s">
        <v>446</v>
      </c>
      <c r="B2425">
        <v>71</v>
      </c>
      <c r="C2425" t="s">
        <v>125</v>
      </c>
      <c r="D2425" t="s">
        <v>442</v>
      </c>
    </row>
    <row r="2426" spans="1:4" x14ac:dyDescent="0.25">
      <c r="A2426" t="s">
        <v>419</v>
      </c>
      <c r="B2426">
        <v>53</v>
      </c>
      <c r="C2426" t="s">
        <v>125</v>
      </c>
      <c r="D2426" t="s">
        <v>401</v>
      </c>
    </row>
    <row r="2427" spans="1:4" x14ac:dyDescent="0.25">
      <c r="A2427" t="s">
        <v>289</v>
      </c>
      <c r="B2427">
        <v>41</v>
      </c>
      <c r="C2427" t="s">
        <v>125</v>
      </c>
      <c r="D2427" t="s">
        <v>290</v>
      </c>
    </row>
    <row r="2428" spans="1:4" x14ac:dyDescent="0.25">
      <c r="A2428" t="s">
        <v>266</v>
      </c>
      <c r="B2428">
        <v>40</v>
      </c>
      <c r="C2428" t="s">
        <v>125</v>
      </c>
      <c r="D2428" t="s">
        <v>249</v>
      </c>
    </row>
    <row r="2429" spans="1:4" x14ac:dyDescent="0.25">
      <c r="A2429" t="s">
        <v>304</v>
      </c>
      <c r="B2429">
        <v>32</v>
      </c>
      <c r="C2429" t="s">
        <v>125</v>
      </c>
      <c r="D2429" t="s">
        <v>305</v>
      </c>
    </row>
    <row r="2430" spans="1:4" x14ac:dyDescent="0.25">
      <c r="A2430" t="s">
        <v>328</v>
      </c>
      <c r="B2430">
        <v>31</v>
      </c>
      <c r="C2430" t="s">
        <v>125</v>
      </c>
      <c r="D2430" t="s">
        <v>325</v>
      </c>
    </row>
    <row r="2431" spans="1:4" x14ac:dyDescent="0.25">
      <c r="A2431" t="s">
        <v>471</v>
      </c>
      <c r="B2431">
        <v>31</v>
      </c>
      <c r="C2431" t="s">
        <v>125</v>
      </c>
      <c r="D2431" t="s">
        <v>472</v>
      </c>
    </row>
    <row r="2432" spans="1:4" x14ac:dyDescent="0.25">
      <c r="A2432" t="s">
        <v>473</v>
      </c>
      <c r="B2432">
        <v>30</v>
      </c>
      <c r="C2432" t="s">
        <v>125</v>
      </c>
      <c r="D2432" t="s">
        <v>474</v>
      </c>
    </row>
    <row r="2433" spans="1:4" x14ac:dyDescent="0.25">
      <c r="A2433" t="s">
        <v>220</v>
      </c>
      <c r="B2433">
        <v>29</v>
      </c>
      <c r="C2433" t="s">
        <v>886</v>
      </c>
      <c r="D2433" t="s">
        <v>221</v>
      </c>
    </row>
    <row r="2434" spans="1:4" x14ac:dyDescent="0.25">
      <c r="A2434" t="s">
        <v>255</v>
      </c>
      <c r="B2434">
        <v>28</v>
      </c>
      <c r="C2434" t="s">
        <v>125</v>
      </c>
      <c r="D2434" t="s">
        <v>249</v>
      </c>
    </row>
    <row r="2435" spans="1:4" x14ac:dyDescent="0.25">
      <c r="A2435" t="s">
        <v>217</v>
      </c>
      <c r="B2435">
        <v>23</v>
      </c>
      <c r="C2435" t="s">
        <v>886</v>
      </c>
      <c r="D2435" t="s">
        <v>218</v>
      </c>
    </row>
    <row r="2436" spans="1:4" x14ac:dyDescent="0.25">
      <c r="A2436" t="s">
        <v>355</v>
      </c>
      <c r="B2436">
        <v>20</v>
      </c>
      <c r="C2436" t="s">
        <v>125</v>
      </c>
      <c r="D2436" t="s">
        <v>356</v>
      </c>
    </row>
    <row r="2437" spans="1:4" x14ac:dyDescent="0.25">
      <c r="A2437" t="s">
        <v>270</v>
      </c>
      <c r="B2437">
        <v>19</v>
      </c>
      <c r="C2437" t="s">
        <v>125</v>
      </c>
      <c r="D2437" t="s">
        <v>249</v>
      </c>
    </row>
    <row r="2438" spans="1:4" x14ac:dyDescent="0.25">
      <c r="A2438" t="s">
        <v>226</v>
      </c>
      <c r="B2438">
        <v>18</v>
      </c>
      <c r="C2438" t="s">
        <v>886</v>
      </c>
      <c r="D2438" t="s">
        <v>227</v>
      </c>
    </row>
    <row r="2439" spans="1:4" x14ac:dyDescent="0.25">
      <c r="A2439" t="s">
        <v>358</v>
      </c>
      <c r="B2439">
        <v>14</v>
      </c>
      <c r="C2439" t="s">
        <v>125</v>
      </c>
      <c r="D2439" t="s">
        <v>356</v>
      </c>
    </row>
    <row r="2440" spans="1:4" x14ac:dyDescent="0.25">
      <c r="A2440" t="s">
        <v>194</v>
      </c>
      <c r="B2440">
        <v>13</v>
      </c>
      <c r="C2440" t="s">
        <v>886</v>
      </c>
      <c r="D2440" t="s">
        <v>195</v>
      </c>
    </row>
    <row r="2441" spans="1:4" x14ac:dyDescent="0.25">
      <c r="A2441" t="s">
        <v>251</v>
      </c>
      <c r="B2441">
        <v>11</v>
      </c>
      <c r="C2441" t="s">
        <v>125</v>
      </c>
      <c r="D2441" t="s">
        <v>249</v>
      </c>
    </row>
    <row r="2442" spans="1:4" x14ac:dyDescent="0.25">
      <c r="A2442" t="s">
        <v>454</v>
      </c>
      <c r="B2442">
        <v>11</v>
      </c>
      <c r="C2442" t="s">
        <v>125</v>
      </c>
      <c r="D2442" t="s">
        <v>442</v>
      </c>
    </row>
    <row r="2443" spans="1:4" x14ac:dyDescent="0.25">
      <c r="A2443" t="s">
        <v>250</v>
      </c>
      <c r="B2443">
        <v>10</v>
      </c>
      <c r="C2443" t="s">
        <v>125</v>
      </c>
      <c r="D2443" t="s">
        <v>249</v>
      </c>
    </row>
    <row r="2444" spans="1:4" x14ac:dyDescent="0.25">
      <c r="A2444" t="s">
        <v>468</v>
      </c>
      <c r="B2444">
        <v>9</v>
      </c>
      <c r="C2444" t="s">
        <v>125</v>
      </c>
      <c r="D2444" t="s">
        <v>469</v>
      </c>
    </row>
    <row r="2445" spans="1:4" x14ac:dyDescent="0.25">
      <c r="A2445" t="s">
        <v>258</v>
      </c>
      <c r="B2445">
        <v>9</v>
      </c>
      <c r="C2445" t="s">
        <v>125</v>
      </c>
      <c r="D2445" t="s">
        <v>249</v>
      </c>
    </row>
    <row r="2446" spans="1:4" x14ac:dyDescent="0.25">
      <c r="A2446" t="s">
        <v>484</v>
      </c>
      <c r="B2446">
        <v>7</v>
      </c>
      <c r="C2446" t="s">
        <v>125</v>
      </c>
      <c r="D2446" t="s">
        <v>478</v>
      </c>
    </row>
    <row r="2447" spans="1:4" x14ac:dyDescent="0.25">
      <c r="A2447" t="s">
        <v>261</v>
      </c>
      <c r="B2447">
        <v>7</v>
      </c>
      <c r="C2447" t="s">
        <v>125</v>
      </c>
      <c r="D2447" t="s">
        <v>249</v>
      </c>
    </row>
    <row r="2448" spans="1:4" x14ac:dyDescent="0.25">
      <c r="A2448" t="s">
        <v>337</v>
      </c>
      <c r="B2448">
        <v>6</v>
      </c>
      <c r="C2448" t="s">
        <v>125</v>
      </c>
      <c r="D2448" t="s">
        <v>338</v>
      </c>
    </row>
    <row r="2449" spans="1:4" x14ac:dyDescent="0.25">
      <c r="A2449" t="s">
        <v>455</v>
      </c>
      <c r="B2449">
        <v>6</v>
      </c>
      <c r="C2449" t="s">
        <v>125</v>
      </c>
      <c r="D2449" t="s">
        <v>442</v>
      </c>
    </row>
    <row r="2450" spans="1:4" x14ac:dyDescent="0.25">
      <c r="A2450" t="s">
        <v>421</v>
      </c>
      <c r="B2450">
        <v>3</v>
      </c>
      <c r="C2450" t="s">
        <v>125</v>
      </c>
      <c r="D2450" t="s">
        <v>401</v>
      </c>
    </row>
    <row r="2451" spans="1:4" x14ac:dyDescent="0.25">
      <c r="A2451" t="s">
        <v>86</v>
      </c>
      <c r="B2451">
        <v>25</v>
      </c>
    </row>
    <row r="2452" spans="1:4" x14ac:dyDescent="0.25">
      <c r="A2452" t="s">
        <v>250</v>
      </c>
      <c r="B2452">
        <v>373</v>
      </c>
      <c r="C2452" t="s">
        <v>125</v>
      </c>
      <c r="D2452" t="s">
        <v>249</v>
      </c>
    </row>
    <row r="2453" spans="1:4" x14ac:dyDescent="0.25">
      <c r="A2453" t="s">
        <v>248</v>
      </c>
      <c r="B2453">
        <v>326</v>
      </c>
      <c r="C2453" t="s">
        <v>125</v>
      </c>
      <c r="D2453" t="s">
        <v>249</v>
      </c>
    </row>
    <row r="2454" spans="1:4" x14ac:dyDescent="0.25">
      <c r="A2454" t="s">
        <v>188</v>
      </c>
      <c r="B2454">
        <v>216</v>
      </c>
      <c r="C2454" t="s">
        <v>886</v>
      </c>
      <c r="D2454" t="s">
        <v>189</v>
      </c>
    </row>
    <row r="2455" spans="1:4" x14ac:dyDescent="0.25">
      <c r="A2455" t="s">
        <v>194</v>
      </c>
      <c r="B2455">
        <v>196</v>
      </c>
      <c r="C2455" t="s">
        <v>886</v>
      </c>
      <c r="D2455" t="s">
        <v>195</v>
      </c>
    </row>
    <row r="2456" spans="1:4" x14ac:dyDescent="0.25">
      <c r="A2456" t="s">
        <v>295</v>
      </c>
      <c r="B2456">
        <v>96</v>
      </c>
      <c r="C2456" t="s">
        <v>125</v>
      </c>
      <c r="D2456" t="s">
        <v>296</v>
      </c>
    </row>
    <row r="2457" spans="1:4" x14ac:dyDescent="0.25">
      <c r="A2457" t="s">
        <v>307</v>
      </c>
      <c r="B2457">
        <v>83</v>
      </c>
      <c r="C2457" t="s">
        <v>125</v>
      </c>
      <c r="D2457" t="s">
        <v>308</v>
      </c>
    </row>
    <row r="2458" spans="1:4" x14ac:dyDescent="0.25">
      <c r="A2458" t="s">
        <v>326</v>
      </c>
      <c r="B2458">
        <v>81</v>
      </c>
      <c r="C2458" t="s">
        <v>125</v>
      </c>
      <c r="D2458" t="s">
        <v>325</v>
      </c>
    </row>
    <row r="2459" spans="1:4" x14ac:dyDescent="0.25">
      <c r="A2459" t="s">
        <v>379</v>
      </c>
      <c r="B2459">
        <v>70</v>
      </c>
      <c r="C2459" t="s">
        <v>125</v>
      </c>
      <c r="D2459" t="s">
        <v>373</v>
      </c>
    </row>
    <row r="2460" spans="1:4" x14ac:dyDescent="0.25">
      <c r="A2460" t="s">
        <v>191</v>
      </c>
      <c r="B2460">
        <v>61</v>
      </c>
      <c r="C2460" t="s">
        <v>886</v>
      </c>
      <c r="D2460" t="s">
        <v>192</v>
      </c>
    </row>
    <row r="2461" spans="1:4" x14ac:dyDescent="0.25">
      <c r="A2461" t="s">
        <v>286</v>
      </c>
      <c r="B2461">
        <v>59</v>
      </c>
      <c r="C2461" t="s">
        <v>125</v>
      </c>
      <c r="D2461" t="s">
        <v>249</v>
      </c>
    </row>
    <row r="2462" spans="1:4" x14ac:dyDescent="0.25">
      <c r="A2462" t="s">
        <v>265</v>
      </c>
      <c r="B2462">
        <v>54</v>
      </c>
      <c r="C2462" t="s">
        <v>125</v>
      </c>
      <c r="D2462" t="s">
        <v>249</v>
      </c>
    </row>
    <row r="2463" spans="1:4" x14ac:dyDescent="0.25">
      <c r="A2463" t="s">
        <v>400</v>
      </c>
      <c r="B2463">
        <v>54</v>
      </c>
      <c r="C2463" t="s">
        <v>125</v>
      </c>
      <c r="D2463" t="s">
        <v>401</v>
      </c>
    </row>
    <row r="2464" spans="1:4" x14ac:dyDescent="0.25">
      <c r="A2464" t="s">
        <v>197</v>
      </c>
      <c r="B2464">
        <v>49</v>
      </c>
      <c r="C2464" t="s">
        <v>886</v>
      </c>
      <c r="D2464" t="s">
        <v>198</v>
      </c>
    </row>
    <row r="2465" spans="1:4" x14ac:dyDescent="0.25">
      <c r="A2465" t="s">
        <v>314</v>
      </c>
      <c r="B2465">
        <v>45</v>
      </c>
      <c r="C2465" t="s">
        <v>125</v>
      </c>
      <c r="D2465" t="s">
        <v>315</v>
      </c>
    </row>
    <row r="2466" spans="1:4" x14ac:dyDescent="0.25">
      <c r="A2466" t="s">
        <v>415</v>
      </c>
      <c r="B2466">
        <v>36</v>
      </c>
      <c r="C2466" t="s">
        <v>125</v>
      </c>
      <c r="D2466" t="s">
        <v>401</v>
      </c>
    </row>
    <row r="2467" spans="1:4" x14ac:dyDescent="0.25">
      <c r="A2467" t="s">
        <v>374</v>
      </c>
      <c r="B2467">
        <v>35</v>
      </c>
      <c r="C2467" t="s">
        <v>125</v>
      </c>
      <c r="D2467" t="s">
        <v>373</v>
      </c>
    </row>
    <row r="2468" spans="1:4" x14ac:dyDescent="0.25">
      <c r="A2468" t="s">
        <v>405</v>
      </c>
      <c r="B2468">
        <v>30</v>
      </c>
      <c r="C2468" t="s">
        <v>125</v>
      </c>
      <c r="D2468" t="s">
        <v>401</v>
      </c>
    </row>
    <row r="2469" spans="1:4" x14ac:dyDescent="0.25">
      <c r="A2469" t="s">
        <v>468</v>
      </c>
      <c r="B2469">
        <v>27</v>
      </c>
      <c r="C2469" t="s">
        <v>125</v>
      </c>
      <c r="D2469" t="s">
        <v>469</v>
      </c>
    </row>
    <row r="2470" spans="1:4" x14ac:dyDescent="0.25">
      <c r="A2470" t="s">
        <v>327</v>
      </c>
      <c r="B2470">
        <v>19</v>
      </c>
      <c r="C2470" t="s">
        <v>125</v>
      </c>
      <c r="D2470" t="s">
        <v>325</v>
      </c>
    </row>
    <row r="2471" spans="1:4" x14ac:dyDescent="0.25">
      <c r="A2471" t="s">
        <v>414</v>
      </c>
      <c r="B2471">
        <v>17</v>
      </c>
      <c r="C2471" t="s">
        <v>125</v>
      </c>
      <c r="D2471" t="s">
        <v>401</v>
      </c>
    </row>
    <row r="2472" spans="1:4" x14ac:dyDescent="0.25">
      <c r="A2472" t="s">
        <v>413</v>
      </c>
      <c r="B2472">
        <v>17</v>
      </c>
      <c r="C2472" t="s">
        <v>125</v>
      </c>
      <c r="D2472" t="s">
        <v>401</v>
      </c>
    </row>
    <row r="2473" spans="1:4" x14ac:dyDescent="0.25">
      <c r="A2473" t="s">
        <v>487</v>
      </c>
      <c r="B2473">
        <v>15</v>
      </c>
      <c r="C2473" t="s">
        <v>125</v>
      </c>
      <c r="D2473" t="s">
        <v>488</v>
      </c>
    </row>
    <row r="2474" spans="1:4" x14ac:dyDescent="0.25">
      <c r="A2474" t="s">
        <v>403</v>
      </c>
      <c r="B2474">
        <v>11</v>
      </c>
      <c r="C2474" t="s">
        <v>125</v>
      </c>
      <c r="D2474" t="s">
        <v>401</v>
      </c>
    </row>
    <row r="2475" spans="1:4" x14ac:dyDescent="0.25">
      <c r="A2475" t="s">
        <v>211</v>
      </c>
      <c r="B2475">
        <v>10</v>
      </c>
      <c r="C2475" t="s">
        <v>886</v>
      </c>
      <c r="D2475" t="s">
        <v>212</v>
      </c>
    </row>
    <row r="2476" spans="1:4" x14ac:dyDescent="0.25">
      <c r="A2476" t="s">
        <v>391</v>
      </c>
      <c r="B2476">
        <v>9</v>
      </c>
      <c r="C2476" t="s">
        <v>125</v>
      </c>
      <c r="D2476" t="s">
        <v>392</v>
      </c>
    </row>
    <row r="2477" spans="1:4" x14ac:dyDescent="0.25">
      <c r="A2477" t="s">
        <v>87</v>
      </c>
      <c r="B2477">
        <v>28</v>
      </c>
    </row>
    <row r="2478" spans="1:4" x14ac:dyDescent="0.25">
      <c r="A2478" t="s">
        <v>191</v>
      </c>
      <c r="B2478">
        <v>7311</v>
      </c>
      <c r="C2478" t="s">
        <v>886</v>
      </c>
      <c r="D2478" t="s">
        <v>192</v>
      </c>
    </row>
    <row r="2479" spans="1:4" x14ac:dyDescent="0.25">
      <c r="A2479" t="s">
        <v>188</v>
      </c>
      <c r="B2479">
        <v>2785</v>
      </c>
      <c r="C2479" t="s">
        <v>886</v>
      </c>
      <c r="D2479" t="s">
        <v>189</v>
      </c>
    </row>
    <row r="2480" spans="1:4" x14ac:dyDescent="0.25">
      <c r="A2480" t="s">
        <v>185</v>
      </c>
      <c r="B2480">
        <v>2014</v>
      </c>
      <c r="C2480" t="s">
        <v>886</v>
      </c>
      <c r="D2480" t="s">
        <v>186</v>
      </c>
    </row>
    <row r="2481" spans="1:4" x14ac:dyDescent="0.25">
      <c r="A2481" t="s">
        <v>355</v>
      </c>
      <c r="B2481">
        <v>1837</v>
      </c>
      <c r="C2481" t="s">
        <v>125</v>
      </c>
      <c r="D2481" t="s">
        <v>356</v>
      </c>
    </row>
    <row r="2482" spans="1:4" x14ac:dyDescent="0.25">
      <c r="A2482" t="s">
        <v>319</v>
      </c>
      <c r="B2482">
        <v>1157</v>
      </c>
      <c r="C2482" t="s">
        <v>125</v>
      </c>
      <c r="D2482" t="s">
        <v>318</v>
      </c>
    </row>
    <row r="2483" spans="1:4" x14ac:dyDescent="0.25">
      <c r="A2483" t="s">
        <v>206</v>
      </c>
      <c r="B2483">
        <v>518</v>
      </c>
      <c r="C2483" t="s">
        <v>886</v>
      </c>
      <c r="D2483" t="s">
        <v>189</v>
      </c>
    </row>
    <row r="2484" spans="1:4" x14ac:dyDescent="0.25">
      <c r="A2484" t="s">
        <v>314</v>
      </c>
      <c r="B2484">
        <v>338</v>
      </c>
      <c r="C2484" t="s">
        <v>125</v>
      </c>
      <c r="D2484" t="s">
        <v>315</v>
      </c>
    </row>
    <row r="2485" spans="1:4" x14ac:dyDescent="0.25">
      <c r="A2485" t="s">
        <v>385</v>
      </c>
      <c r="B2485">
        <v>225</v>
      </c>
      <c r="C2485" t="s">
        <v>125</v>
      </c>
      <c r="D2485" t="s">
        <v>386</v>
      </c>
    </row>
    <row r="2486" spans="1:4" x14ac:dyDescent="0.25">
      <c r="A2486" t="s">
        <v>353</v>
      </c>
      <c r="B2486">
        <v>144</v>
      </c>
      <c r="C2486" t="s">
        <v>125</v>
      </c>
      <c r="D2486" t="s">
        <v>354</v>
      </c>
    </row>
    <row r="2487" spans="1:4" x14ac:dyDescent="0.25">
      <c r="A2487" t="s">
        <v>250</v>
      </c>
      <c r="B2487">
        <v>134</v>
      </c>
      <c r="C2487" t="s">
        <v>125</v>
      </c>
      <c r="D2487" t="s">
        <v>249</v>
      </c>
    </row>
    <row r="2488" spans="1:4" x14ac:dyDescent="0.25">
      <c r="A2488" t="s">
        <v>248</v>
      </c>
      <c r="B2488">
        <v>105</v>
      </c>
      <c r="C2488" t="s">
        <v>125</v>
      </c>
      <c r="D2488" t="s">
        <v>249</v>
      </c>
    </row>
    <row r="2489" spans="1:4" x14ac:dyDescent="0.25">
      <c r="A2489" t="s">
        <v>203</v>
      </c>
      <c r="B2489">
        <v>100</v>
      </c>
      <c r="C2489" t="s">
        <v>886</v>
      </c>
      <c r="D2489" t="s">
        <v>204</v>
      </c>
    </row>
    <row r="2490" spans="1:4" x14ac:dyDescent="0.25">
      <c r="A2490" t="s">
        <v>208</v>
      </c>
      <c r="B2490">
        <v>55</v>
      </c>
      <c r="C2490" t="s">
        <v>886</v>
      </c>
      <c r="D2490" t="s">
        <v>209</v>
      </c>
    </row>
    <row r="2491" spans="1:4" x14ac:dyDescent="0.25">
      <c r="A2491" t="s">
        <v>194</v>
      </c>
      <c r="B2491">
        <v>49</v>
      </c>
      <c r="C2491" t="s">
        <v>886</v>
      </c>
      <c r="D2491" t="s">
        <v>195</v>
      </c>
    </row>
    <row r="2492" spans="1:4" x14ac:dyDescent="0.25">
      <c r="A2492" t="s">
        <v>295</v>
      </c>
      <c r="B2492">
        <v>45</v>
      </c>
      <c r="C2492" t="s">
        <v>125</v>
      </c>
      <c r="D2492" t="s">
        <v>296</v>
      </c>
    </row>
    <row r="2493" spans="1:4" x14ac:dyDescent="0.25">
      <c r="A2493" t="s">
        <v>328</v>
      </c>
      <c r="B2493">
        <v>25</v>
      </c>
      <c r="C2493" t="s">
        <v>125</v>
      </c>
      <c r="D2493" t="s">
        <v>325</v>
      </c>
    </row>
    <row r="2494" spans="1:4" x14ac:dyDescent="0.25">
      <c r="A2494" t="s">
        <v>307</v>
      </c>
      <c r="B2494">
        <v>23</v>
      </c>
      <c r="C2494" t="s">
        <v>125</v>
      </c>
      <c r="D2494" t="s">
        <v>308</v>
      </c>
    </row>
    <row r="2495" spans="1:4" x14ac:dyDescent="0.25">
      <c r="A2495" t="s">
        <v>490</v>
      </c>
      <c r="B2495">
        <v>20</v>
      </c>
      <c r="C2495" t="s">
        <v>125</v>
      </c>
      <c r="D2495" t="s">
        <v>488</v>
      </c>
    </row>
    <row r="2496" spans="1:4" x14ac:dyDescent="0.25">
      <c r="A2496" t="s">
        <v>400</v>
      </c>
      <c r="B2496">
        <v>19</v>
      </c>
      <c r="C2496" t="s">
        <v>125</v>
      </c>
      <c r="D2496" t="s">
        <v>401</v>
      </c>
    </row>
    <row r="2497" spans="1:4" x14ac:dyDescent="0.25">
      <c r="A2497" t="s">
        <v>317</v>
      </c>
      <c r="B2497">
        <v>19</v>
      </c>
      <c r="C2497" t="s">
        <v>125</v>
      </c>
      <c r="D2497" t="s">
        <v>318</v>
      </c>
    </row>
    <row r="2498" spans="1:4" x14ac:dyDescent="0.25">
      <c r="A2498" t="s">
        <v>431</v>
      </c>
      <c r="B2498">
        <v>16</v>
      </c>
      <c r="C2498" t="s">
        <v>125</v>
      </c>
      <c r="D2498" t="s">
        <v>401</v>
      </c>
    </row>
    <row r="2499" spans="1:4" x14ac:dyDescent="0.25">
      <c r="A2499" t="s">
        <v>277</v>
      </c>
      <c r="B2499">
        <v>14</v>
      </c>
      <c r="C2499" t="s">
        <v>125</v>
      </c>
      <c r="D2499" t="s">
        <v>249</v>
      </c>
    </row>
    <row r="2500" spans="1:4" x14ac:dyDescent="0.25">
      <c r="A2500" t="s">
        <v>450</v>
      </c>
      <c r="B2500">
        <v>13</v>
      </c>
      <c r="C2500" t="s">
        <v>125</v>
      </c>
      <c r="D2500" t="s">
        <v>442</v>
      </c>
    </row>
    <row r="2501" spans="1:4" x14ac:dyDescent="0.25">
      <c r="A2501" t="s">
        <v>403</v>
      </c>
      <c r="B2501">
        <v>10</v>
      </c>
      <c r="C2501" t="s">
        <v>125</v>
      </c>
      <c r="D2501" t="s">
        <v>401</v>
      </c>
    </row>
    <row r="2502" spans="1:4" x14ac:dyDescent="0.25">
      <c r="A2502" t="s">
        <v>263</v>
      </c>
      <c r="B2502">
        <v>10</v>
      </c>
      <c r="C2502" t="s">
        <v>125</v>
      </c>
      <c r="D2502" t="s">
        <v>249</v>
      </c>
    </row>
    <row r="2503" spans="1:4" x14ac:dyDescent="0.25">
      <c r="A2503" t="s">
        <v>252</v>
      </c>
      <c r="B2503">
        <v>9</v>
      </c>
      <c r="C2503" t="s">
        <v>125</v>
      </c>
      <c r="D2503" t="s">
        <v>249</v>
      </c>
    </row>
    <row r="2504" spans="1:4" x14ac:dyDescent="0.25">
      <c r="A2504" t="s">
        <v>428</v>
      </c>
      <c r="B2504">
        <v>9</v>
      </c>
      <c r="C2504" t="s">
        <v>125</v>
      </c>
      <c r="D2504" t="s">
        <v>401</v>
      </c>
    </row>
    <row r="2505" spans="1:4" x14ac:dyDescent="0.25">
      <c r="A2505" t="s">
        <v>421</v>
      </c>
      <c r="B2505">
        <v>4</v>
      </c>
      <c r="C2505" t="s">
        <v>125</v>
      </c>
      <c r="D2505" t="s">
        <v>401</v>
      </c>
    </row>
    <row r="2506" spans="1:4" x14ac:dyDescent="0.25">
      <c r="A2506" t="s">
        <v>88</v>
      </c>
      <c r="B2506">
        <v>28</v>
      </c>
    </row>
    <row r="2507" spans="1:4" x14ac:dyDescent="0.25">
      <c r="A2507" t="s">
        <v>191</v>
      </c>
      <c r="B2507">
        <v>2951</v>
      </c>
      <c r="C2507" t="s">
        <v>886</v>
      </c>
      <c r="D2507" t="s">
        <v>192</v>
      </c>
    </row>
    <row r="2508" spans="1:4" x14ac:dyDescent="0.25">
      <c r="A2508" t="s">
        <v>185</v>
      </c>
      <c r="B2508">
        <v>2261</v>
      </c>
      <c r="C2508" t="s">
        <v>886</v>
      </c>
      <c r="D2508" t="s">
        <v>186</v>
      </c>
    </row>
    <row r="2509" spans="1:4" x14ac:dyDescent="0.25">
      <c r="A2509" t="s">
        <v>188</v>
      </c>
      <c r="B2509">
        <v>661</v>
      </c>
      <c r="C2509" t="s">
        <v>886</v>
      </c>
      <c r="D2509" t="s">
        <v>189</v>
      </c>
    </row>
    <row r="2510" spans="1:4" x14ac:dyDescent="0.25">
      <c r="A2510" t="s">
        <v>248</v>
      </c>
      <c r="B2510">
        <v>305</v>
      </c>
      <c r="C2510" t="s">
        <v>125</v>
      </c>
      <c r="D2510" t="s">
        <v>249</v>
      </c>
    </row>
    <row r="2511" spans="1:4" x14ac:dyDescent="0.25">
      <c r="A2511" t="s">
        <v>459</v>
      </c>
      <c r="B2511">
        <v>248</v>
      </c>
      <c r="C2511" t="s">
        <v>125</v>
      </c>
      <c r="D2511" t="s">
        <v>460</v>
      </c>
    </row>
    <row r="2512" spans="1:4" x14ac:dyDescent="0.25">
      <c r="A2512" t="s">
        <v>250</v>
      </c>
      <c r="B2512">
        <v>238</v>
      </c>
      <c r="C2512" t="s">
        <v>125</v>
      </c>
      <c r="D2512" t="s">
        <v>249</v>
      </c>
    </row>
    <row r="2513" spans="1:4" x14ac:dyDescent="0.25">
      <c r="A2513" t="s">
        <v>197</v>
      </c>
      <c r="B2513">
        <v>205</v>
      </c>
      <c r="C2513" t="s">
        <v>886</v>
      </c>
      <c r="D2513" t="s">
        <v>198</v>
      </c>
    </row>
    <row r="2514" spans="1:4" x14ac:dyDescent="0.25">
      <c r="A2514" t="s">
        <v>307</v>
      </c>
      <c r="B2514">
        <v>194</v>
      </c>
      <c r="C2514" t="s">
        <v>125</v>
      </c>
      <c r="D2514" t="s">
        <v>308</v>
      </c>
    </row>
    <row r="2515" spans="1:4" x14ac:dyDescent="0.25">
      <c r="A2515" t="s">
        <v>206</v>
      </c>
      <c r="B2515">
        <v>169</v>
      </c>
      <c r="C2515" t="s">
        <v>886</v>
      </c>
      <c r="D2515" t="s">
        <v>189</v>
      </c>
    </row>
    <row r="2516" spans="1:4" x14ac:dyDescent="0.25">
      <c r="A2516" t="s">
        <v>295</v>
      </c>
      <c r="B2516">
        <v>157</v>
      </c>
      <c r="C2516" t="s">
        <v>125</v>
      </c>
      <c r="D2516" t="s">
        <v>296</v>
      </c>
    </row>
    <row r="2517" spans="1:4" x14ac:dyDescent="0.25">
      <c r="A2517" t="s">
        <v>468</v>
      </c>
      <c r="B2517">
        <v>120</v>
      </c>
      <c r="C2517" t="s">
        <v>125</v>
      </c>
      <c r="D2517" t="s">
        <v>469</v>
      </c>
    </row>
    <row r="2518" spans="1:4" x14ac:dyDescent="0.25">
      <c r="A2518" t="s">
        <v>200</v>
      </c>
      <c r="B2518">
        <v>118</v>
      </c>
      <c r="C2518" t="s">
        <v>886</v>
      </c>
      <c r="D2518" t="s">
        <v>201</v>
      </c>
    </row>
    <row r="2519" spans="1:4" x14ac:dyDescent="0.25">
      <c r="A2519" t="s">
        <v>262</v>
      </c>
      <c r="B2519">
        <v>114</v>
      </c>
      <c r="C2519" t="s">
        <v>125</v>
      </c>
      <c r="D2519" t="s">
        <v>249</v>
      </c>
    </row>
    <row r="2520" spans="1:4" x14ac:dyDescent="0.25">
      <c r="A2520" t="s">
        <v>487</v>
      </c>
      <c r="B2520">
        <v>114</v>
      </c>
      <c r="C2520" t="s">
        <v>125</v>
      </c>
      <c r="D2520" t="s">
        <v>488</v>
      </c>
    </row>
    <row r="2521" spans="1:4" x14ac:dyDescent="0.25">
      <c r="A2521" t="s">
        <v>314</v>
      </c>
      <c r="B2521">
        <v>91</v>
      </c>
      <c r="C2521" t="s">
        <v>125</v>
      </c>
      <c r="D2521" t="s">
        <v>315</v>
      </c>
    </row>
    <row r="2522" spans="1:4" x14ac:dyDescent="0.25">
      <c r="A2522" t="s">
        <v>257</v>
      </c>
      <c r="B2522">
        <v>87</v>
      </c>
      <c r="C2522" t="s">
        <v>125</v>
      </c>
      <c r="D2522" t="s">
        <v>249</v>
      </c>
    </row>
    <row r="2523" spans="1:4" x14ac:dyDescent="0.25">
      <c r="A2523" t="s">
        <v>403</v>
      </c>
      <c r="B2523">
        <v>76</v>
      </c>
      <c r="C2523" t="s">
        <v>125</v>
      </c>
      <c r="D2523" t="s">
        <v>401</v>
      </c>
    </row>
    <row r="2524" spans="1:4" x14ac:dyDescent="0.25">
      <c r="A2524" t="s">
        <v>328</v>
      </c>
      <c r="B2524">
        <v>70</v>
      </c>
      <c r="C2524" t="s">
        <v>125</v>
      </c>
      <c r="D2524" t="s">
        <v>325</v>
      </c>
    </row>
    <row r="2525" spans="1:4" x14ac:dyDescent="0.25">
      <c r="A2525" t="s">
        <v>375</v>
      </c>
      <c r="B2525">
        <v>67</v>
      </c>
      <c r="C2525" t="s">
        <v>125</v>
      </c>
      <c r="D2525" t="s">
        <v>373</v>
      </c>
    </row>
    <row r="2526" spans="1:4" x14ac:dyDescent="0.25">
      <c r="A2526" t="s">
        <v>253</v>
      </c>
      <c r="B2526">
        <v>66</v>
      </c>
      <c r="C2526" t="s">
        <v>125</v>
      </c>
      <c r="D2526" t="s">
        <v>249</v>
      </c>
    </row>
    <row r="2527" spans="1:4" x14ac:dyDescent="0.25">
      <c r="A2527" t="s">
        <v>366</v>
      </c>
      <c r="B2527">
        <v>63</v>
      </c>
      <c r="C2527" t="s">
        <v>125</v>
      </c>
      <c r="D2527" t="s">
        <v>365</v>
      </c>
    </row>
    <row r="2528" spans="1:4" x14ac:dyDescent="0.25">
      <c r="A2528" t="s">
        <v>263</v>
      </c>
      <c r="B2528">
        <v>61</v>
      </c>
      <c r="C2528" t="s">
        <v>125</v>
      </c>
      <c r="D2528" t="s">
        <v>249</v>
      </c>
    </row>
    <row r="2529" spans="1:4" x14ac:dyDescent="0.25">
      <c r="A2529" t="s">
        <v>439</v>
      </c>
      <c r="B2529">
        <v>44</v>
      </c>
      <c r="C2529" t="s">
        <v>125</v>
      </c>
      <c r="D2529" t="s">
        <v>401</v>
      </c>
    </row>
    <row r="2530" spans="1:4" x14ac:dyDescent="0.25">
      <c r="A2530" t="s">
        <v>379</v>
      </c>
      <c r="B2530">
        <v>39</v>
      </c>
      <c r="C2530" t="s">
        <v>125</v>
      </c>
      <c r="D2530" t="s">
        <v>373</v>
      </c>
    </row>
    <row r="2531" spans="1:4" x14ac:dyDescent="0.25">
      <c r="A2531" t="s">
        <v>416</v>
      </c>
      <c r="B2531">
        <v>22</v>
      </c>
      <c r="C2531" t="s">
        <v>125</v>
      </c>
      <c r="D2531" t="s">
        <v>401</v>
      </c>
    </row>
    <row r="2532" spans="1:4" x14ac:dyDescent="0.25">
      <c r="A2532" t="s">
        <v>449</v>
      </c>
      <c r="B2532">
        <v>20</v>
      </c>
      <c r="C2532" t="s">
        <v>125</v>
      </c>
      <c r="D2532" t="s">
        <v>442</v>
      </c>
    </row>
    <row r="2533" spans="1:4" x14ac:dyDescent="0.25">
      <c r="A2533" t="s">
        <v>203</v>
      </c>
      <c r="B2533">
        <v>8</v>
      </c>
      <c r="C2533" t="s">
        <v>886</v>
      </c>
      <c r="D2533" t="s">
        <v>204</v>
      </c>
    </row>
    <row r="2534" spans="1:4" x14ac:dyDescent="0.25">
      <c r="A2534" t="s">
        <v>387</v>
      </c>
      <c r="B2534">
        <v>8</v>
      </c>
      <c r="C2534" t="s">
        <v>125</v>
      </c>
      <c r="D2534" t="s">
        <v>388</v>
      </c>
    </row>
    <row r="2535" spans="1:4" x14ac:dyDescent="0.25">
      <c r="A2535" t="s">
        <v>89</v>
      </c>
      <c r="B2535">
        <v>37</v>
      </c>
    </row>
    <row r="2536" spans="1:4" x14ac:dyDescent="0.25">
      <c r="A2536" t="s">
        <v>191</v>
      </c>
      <c r="B2536">
        <v>6880</v>
      </c>
      <c r="C2536" t="s">
        <v>886</v>
      </c>
      <c r="D2536" t="s">
        <v>192</v>
      </c>
    </row>
    <row r="2537" spans="1:4" x14ac:dyDescent="0.25">
      <c r="A2537" t="s">
        <v>185</v>
      </c>
      <c r="B2537">
        <v>5834</v>
      </c>
      <c r="C2537" t="s">
        <v>886</v>
      </c>
      <c r="D2537" t="s">
        <v>186</v>
      </c>
    </row>
    <row r="2538" spans="1:4" x14ac:dyDescent="0.25">
      <c r="A2538" t="s">
        <v>358</v>
      </c>
      <c r="B2538">
        <v>1462</v>
      </c>
      <c r="C2538" t="s">
        <v>125</v>
      </c>
      <c r="D2538" t="s">
        <v>356</v>
      </c>
    </row>
    <row r="2539" spans="1:4" x14ac:dyDescent="0.25">
      <c r="A2539" t="s">
        <v>214</v>
      </c>
      <c r="B2539">
        <v>663</v>
      </c>
      <c r="C2539" t="s">
        <v>886</v>
      </c>
      <c r="D2539" t="s">
        <v>215</v>
      </c>
    </row>
    <row r="2540" spans="1:4" x14ac:dyDescent="0.25">
      <c r="A2540" t="s">
        <v>194</v>
      </c>
      <c r="B2540">
        <v>441</v>
      </c>
      <c r="C2540" t="s">
        <v>886</v>
      </c>
      <c r="D2540" t="s">
        <v>195</v>
      </c>
    </row>
    <row r="2541" spans="1:4" x14ac:dyDescent="0.25">
      <c r="A2541" t="s">
        <v>208</v>
      </c>
      <c r="B2541">
        <v>416</v>
      </c>
      <c r="C2541" t="s">
        <v>886</v>
      </c>
      <c r="D2541" t="s">
        <v>209</v>
      </c>
    </row>
    <row r="2542" spans="1:4" x14ac:dyDescent="0.25">
      <c r="A2542" t="s">
        <v>206</v>
      </c>
      <c r="B2542">
        <v>328</v>
      </c>
      <c r="C2542" t="s">
        <v>886</v>
      </c>
      <c r="D2542" t="s">
        <v>189</v>
      </c>
    </row>
    <row r="2543" spans="1:4" x14ac:dyDescent="0.25">
      <c r="A2543" t="s">
        <v>314</v>
      </c>
      <c r="B2543">
        <v>225</v>
      </c>
      <c r="C2543" t="s">
        <v>125</v>
      </c>
      <c r="D2543" t="s">
        <v>315</v>
      </c>
    </row>
    <row r="2544" spans="1:4" x14ac:dyDescent="0.25">
      <c r="A2544" t="s">
        <v>188</v>
      </c>
      <c r="B2544">
        <v>219</v>
      </c>
      <c r="C2544" t="s">
        <v>886</v>
      </c>
      <c r="D2544" t="s">
        <v>189</v>
      </c>
    </row>
    <row r="2545" spans="1:4" x14ac:dyDescent="0.25">
      <c r="A2545" t="s">
        <v>251</v>
      </c>
      <c r="B2545">
        <v>191</v>
      </c>
      <c r="C2545" t="s">
        <v>125</v>
      </c>
      <c r="D2545" t="s">
        <v>249</v>
      </c>
    </row>
    <row r="2546" spans="1:4" x14ac:dyDescent="0.25">
      <c r="A2546" t="s">
        <v>385</v>
      </c>
      <c r="B2546">
        <v>150</v>
      </c>
      <c r="C2546" t="s">
        <v>125</v>
      </c>
      <c r="D2546" t="s">
        <v>386</v>
      </c>
    </row>
    <row r="2547" spans="1:4" x14ac:dyDescent="0.25">
      <c r="A2547" t="s">
        <v>326</v>
      </c>
      <c r="B2547">
        <v>133</v>
      </c>
      <c r="C2547" t="s">
        <v>125</v>
      </c>
      <c r="D2547" t="s">
        <v>325</v>
      </c>
    </row>
    <row r="2548" spans="1:4" x14ac:dyDescent="0.25">
      <c r="A2548" t="s">
        <v>361</v>
      </c>
      <c r="B2548">
        <v>132</v>
      </c>
      <c r="C2548" t="s">
        <v>125</v>
      </c>
      <c r="D2548" t="s">
        <v>360</v>
      </c>
    </row>
    <row r="2549" spans="1:4" x14ac:dyDescent="0.25">
      <c r="A2549" t="s">
        <v>300</v>
      </c>
      <c r="B2549">
        <v>116</v>
      </c>
      <c r="C2549" t="s">
        <v>125</v>
      </c>
      <c r="D2549" t="s">
        <v>301</v>
      </c>
    </row>
    <row r="2550" spans="1:4" x14ac:dyDescent="0.25">
      <c r="A2550" t="s">
        <v>200</v>
      </c>
      <c r="B2550">
        <v>63</v>
      </c>
      <c r="C2550" t="s">
        <v>886</v>
      </c>
      <c r="D2550" t="s">
        <v>201</v>
      </c>
    </row>
    <row r="2551" spans="1:4" x14ac:dyDescent="0.25">
      <c r="A2551" t="s">
        <v>330</v>
      </c>
      <c r="B2551">
        <v>58</v>
      </c>
      <c r="C2551" t="s">
        <v>125</v>
      </c>
      <c r="D2551" t="s">
        <v>331</v>
      </c>
    </row>
    <row r="2552" spans="1:4" x14ac:dyDescent="0.25">
      <c r="A2552" t="s">
        <v>419</v>
      </c>
      <c r="B2552">
        <v>56</v>
      </c>
      <c r="C2552" t="s">
        <v>125</v>
      </c>
      <c r="D2552" t="s">
        <v>401</v>
      </c>
    </row>
    <row r="2553" spans="1:4" x14ac:dyDescent="0.25">
      <c r="A2553" t="s">
        <v>203</v>
      </c>
      <c r="B2553">
        <v>56</v>
      </c>
      <c r="C2553" t="s">
        <v>886</v>
      </c>
      <c r="D2553" t="s">
        <v>204</v>
      </c>
    </row>
    <row r="2554" spans="1:4" x14ac:dyDescent="0.25">
      <c r="A2554" t="s">
        <v>328</v>
      </c>
      <c r="B2554">
        <v>55</v>
      </c>
      <c r="C2554" t="s">
        <v>125</v>
      </c>
      <c r="D2554" t="s">
        <v>325</v>
      </c>
    </row>
    <row r="2555" spans="1:4" x14ac:dyDescent="0.25">
      <c r="A2555" t="s">
        <v>420</v>
      </c>
      <c r="B2555">
        <v>51</v>
      </c>
      <c r="C2555" t="s">
        <v>125</v>
      </c>
      <c r="D2555" t="s">
        <v>401</v>
      </c>
    </row>
    <row r="2556" spans="1:4" x14ac:dyDescent="0.25">
      <c r="A2556" t="s">
        <v>217</v>
      </c>
      <c r="B2556">
        <v>45</v>
      </c>
      <c r="C2556" t="s">
        <v>886</v>
      </c>
      <c r="D2556" t="s">
        <v>218</v>
      </c>
    </row>
    <row r="2557" spans="1:4" x14ac:dyDescent="0.25">
      <c r="A2557" t="s">
        <v>446</v>
      </c>
      <c r="B2557">
        <v>42</v>
      </c>
      <c r="C2557" t="s">
        <v>125</v>
      </c>
      <c r="D2557" t="s">
        <v>442</v>
      </c>
    </row>
    <row r="2558" spans="1:4" x14ac:dyDescent="0.25">
      <c r="A2558" t="s">
        <v>340</v>
      </c>
      <c r="B2558">
        <v>42</v>
      </c>
      <c r="C2558" t="s">
        <v>125</v>
      </c>
      <c r="D2558" t="s">
        <v>341</v>
      </c>
    </row>
    <row r="2559" spans="1:4" x14ac:dyDescent="0.25">
      <c r="A2559" t="s">
        <v>479</v>
      </c>
      <c r="B2559">
        <v>27</v>
      </c>
      <c r="C2559" t="s">
        <v>125</v>
      </c>
      <c r="D2559" t="s">
        <v>478</v>
      </c>
    </row>
    <row r="2560" spans="1:4" x14ac:dyDescent="0.25">
      <c r="A2560" t="s">
        <v>324</v>
      </c>
      <c r="B2560">
        <v>24</v>
      </c>
      <c r="C2560" t="s">
        <v>125</v>
      </c>
      <c r="D2560" t="s">
        <v>325</v>
      </c>
    </row>
    <row r="2561" spans="1:4" x14ac:dyDescent="0.25">
      <c r="A2561" t="s">
        <v>220</v>
      </c>
      <c r="B2561">
        <v>18</v>
      </c>
      <c r="C2561" t="s">
        <v>886</v>
      </c>
      <c r="D2561" t="s">
        <v>221</v>
      </c>
    </row>
    <row r="2562" spans="1:4" x14ac:dyDescent="0.25">
      <c r="A2562" t="s">
        <v>471</v>
      </c>
      <c r="B2562">
        <v>17</v>
      </c>
      <c r="C2562" t="s">
        <v>125</v>
      </c>
      <c r="D2562" t="s">
        <v>472</v>
      </c>
    </row>
    <row r="2563" spans="1:4" x14ac:dyDescent="0.25">
      <c r="A2563" t="s">
        <v>473</v>
      </c>
      <c r="B2563">
        <v>14</v>
      </c>
      <c r="C2563" t="s">
        <v>125</v>
      </c>
      <c r="D2563" t="s">
        <v>474</v>
      </c>
    </row>
    <row r="2564" spans="1:4" x14ac:dyDescent="0.25">
      <c r="A2564" t="s">
        <v>289</v>
      </c>
      <c r="B2564">
        <v>12</v>
      </c>
      <c r="C2564" t="s">
        <v>125</v>
      </c>
      <c r="D2564" t="s">
        <v>290</v>
      </c>
    </row>
    <row r="2565" spans="1:4" x14ac:dyDescent="0.25">
      <c r="A2565" t="s">
        <v>226</v>
      </c>
      <c r="B2565">
        <v>8</v>
      </c>
      <c r="C2565" t="s">
        <v>886</v>
      </c>
      <c r="D2565" t="s">
        <v>227</v>
      </c>
    </row>
    <row r="2566" spans="1:4" x14ac:dyDescent="0.25">
      <c r="A2566" t="s">
        <v>468</v>
      </c>
      <c r="B2566">
        <v>7</v>
      </c>
      <c r="C2566" t="s">
        <v>125</v>
      </c>
      <c r="D2566" t="s">
        <v>469</v>
      </c>
    </row>
    <row r="2567" spans="1:4" x14ac:dyDescent="0.25">
      <c r="A2567" t="s">
        <v>421</v>
      </c>
      <c r="B2567">
        <v>7</v>
      </c>
      <c r="C2567" t="s">
        <v>125</v>
      </c>
      <c r="D2567" t="s">
        <v>401</v>
      </c>
    </row>
    <row r="2568" spans="1:4" x14ac:dyDescent="0.25">
      <c r="A2568" t="s">
        <v>448</v>
      </c>
      <c r="B2568">
        <v>6</v>
      </c>
      <c r="C2568" t="s">
        <v>125</v>
      </c>
      <c r="D2568" t="s">
        <v>442</v>
      </c>
    </row>
    <row r="2569" spans="1:4" x14ac:dyDescent="0.25">
      <c r="A2569" t="s">
        <v>304</v>
      </c>
      <c r="B2569">
        <v>5</v>
      </c>
      <c r="C2569" t="s">
        <v>125</v>
      </c>
      <c r="D2569" t="s">
        <v>305</v>
      </c>
    </row>
    <row r="2570" spans="1:4" x14ac:dyDescent="0.25">
      <c r="A2570" t="s">
        <v>260</v>
      </c>
      <c r="B2570">
        <v>5</v>
      </c>
      <c r="C2570" t="s">
        <v>125</v>
      </c>
      <c r="D2570" t="s">
        <v>249</v>
      </c>
    </row>
    <row r="2571" spans="1:4" x14ac:dyDescent="0.25">
      <c r="A2571" t="s">
        <v>293</v>
      </c>
      <c r="B2571">
        <v>3</v>
      </c>
      <c r="C2571" t="s">
        <v>125</v>
      </c>
      <c r="D2571" t="s">
        <v>294</v>
      </c>
    </row>
    <row r="2572" spans="1:4" x14ac:dyDescent="0.25">
      <c r="A2572" t="s">
        <v>261</v>
      </c>
      <c r="B2572">
        <v>3</v>
      </c>
      <c r="C2572" t="s">
        <v>125</v>
      </c>
      <c r="D2572" t="s">
        <v>249</v>
      </c>
    </row>
    <row r="2573" spans="1:4" x14ac:dyDescent="0.25">
      <c r="A2573" t="s">
        <v>90</v>
      </c>
      <c r="B2573">
        <v>63</v>
      </c>
    </row>
    <row r="2574" spans="1:4" x14ac:dyDescent="0.25">
      <c r="A2574" t="s">
        <v>191</v>
      </c>
      <c r="B2574">
        <v>3282</v>
      </c>
      <c r="C2574" t="s">
        <v>886</v>
      </c>
      <c r="D2574" t="s">
        <v>192</v>
      </c>
    </row>
    <row r="2575" spans="1:4" x14ac:dyDescent="0.25">
      <c r="A2575" t="s">
        <v>185</v>
      </c>
      <c r="B2575">
        <v>2299</v>
      </c>
      <c r="C2575" t="s">
        <v>886</v>
      </c>
      <c r="D2575" t="s">
        <v>186</v>
      </c>
    </row>
    <row r="2576" spans="1:4" x14ac:dyDescent="0.25">
      <c r="A2576" t="s">
        <v>188</v>
      </c>
      <c r="B2576">
        <v>1740</v>
      </c>
      <c r="C2576" t="s">
        <v>886</v>
      </c>
      <c r="D2576" t="s">
        <v>189</v>
      </c>
    </row>
    <row r="2577" spans="1:4" x14ac:dyDescent="0.25">
      <c r="A2577" t="s">
        <v>206</v>
      </c>
      <c r="B2577">
        <v>1493</v>
      </c>
      <c r="C2577" t="s">
        <v>886</v>
      </c>
      <c r="D2577" t="s">
        <v>189</v>
      </c>
    </row>
    <row r="2578" spans="1:4" x14ac:dyDescent="0.25">
      <c r="A2578" t="s">
        <v>200</v>
      </c>
      <c r="B2578">
        <v>949</v>
      </c>
      <c r="C2578" t="s">
        <v>886</v>
      </c>
      <c r="D2578" t="s">
        <v>201</v>
      </c>
    </row>
    <row r="2579" spans="1:4" x14ac:dyDescent="0.25">
      <c r="A2579" t="s">
        <v>446</v>
      </c>
      <c r="B2579">
        <v>389</v>
      </c>
      <c r="C2579" t="s">
        <v>125</v>
      </c>
      <c r="D2579" t="s">
        <v>442</v>
      </c>
    </row>
    <row r="2580" spans="1:4" x14ac:dyDescent="0.25">
      <c r="A2580" t="s">
        <v>194</v>
      </c>
      <c r="B2580">
        <v>359</v>
      </c>
      <c r="C2580" t="s">
        <v>886</v>
      </c>
      <c r="D2580" t="s">
        <v>195</v>
      </c>
    </row>
    <row r="2581" spans="1:4" x14ac:dyDescent="0.25">
      <c r="A2581" t="s">
        <v>282</v>
      </c>
      <c r="B2581">
        <v>328</v>
      </c>
      <c r="C2581" t="s">
        <v>125</v>
      </c>
      <c r="D2581" t="s">
        <v>249</v>
      </c>
    </row>
    <row r="2582" spans="1:4" x14ac:dyDescent="0.25">
      <c r="A2582" t="s">
        <v>314</v>
      </c>
      <c r="B2582">
        <v>286</v>
      </c>
      <c r="C2582" t="s">
        <v>125</v>
      </c>
      <c r="D2582" t="s">
        <v>315</v>
      </c>
    </row>
    <row r="2583" spans="1:4" x14ac:dyDescent="0.25">
      <c r="A2583" t="s">
        <v>479</v>
      </c>
      <c r="B2583">
        <v>232</v>
      </c>
      <c r="C2583" t="s">
        <v>125</v>
      </c>
      <c r="D2583" t="s">
        <v>478</v>
      </c>
    </row>
    <row r="2584" spans="1:4" x14ac:dyDescent="0.25">
      <c r="A2584" t="s">
        <v>357</v>
      </c>
      <c r="B2584">
        <v>128</v>
      </c>
      <c r="C2584" t="s">
        <v>125</v>
      </c>
      <c r="D2584" t="s">
        <v>356</v>
      </c>
    </row>
    <row r="2585" spans="1:4" x14ac:dyDescent="0.25">
      <c r="A2585" t="s">
        <v>471</v>
      </c>
      <c r="B2585">
        <v>116</v>
      </c>
      <c r="C2585" t="s">
        <v>125</v>
      </c>
      <c r="D2585" t="s">
        <v>472</v>
      </c>
    </row>
    <row r="2586" spans="1:4" x14ac:dyDescent="0.25">
      <c r="A2586" t="s">
        <v>289</v>
      </c>
      <c r="B2586">
        <v>115</v>
      </c>
      <c r="C2586" t="s">
        <v>125</v>
      </c>
      <c r="D2586" t="s">
        <v>290</v>
      </c>
    </row>
    <row r="2587" spans="1:4" x14ac:dyDescent="0.25">
      <c r="A2587" t="s">
        <v>355</v>
      </c>
      <c r="B2587">
        <v>113</v>
      </c>
      <c r="C2587" t="s">
        <v>125</v>
      </c>
      <c r="D2587" t="s">
        <v>356</v>
      </c>
    </row>
    <row r="2588" spans="1:4" x14ac:dyDescent="0.25">
      <c r="A2588" t="s">
        <v>255</v>
      </c>
      <c r="B2588">
        <v>109</v>
      </c>
      <c r="C2588" t="s">
        <v>125</v>
      </c>
      <c r="D2588" t="s">
        <v>249</v>
      </c>
    </row>
    <row r="2589" spans="1:4" x14ac:dyDescent="0.25">
      <c r="A2589" t="s">
        <v>251</v>
      </c>
      <c r="B2589">
        <v>99</v>
      </c>
      <c r="C2589" t="s">
        <v>125</v>
      </c>
      <c r="D2589" t="s">
        <v>249</v>
      </c>
    </row>
    <row r="2590" spans="1:4" x14ac:dyDescent="0.25">
      <c r="A2590" t="s">
        <v>383</v>
      </c>
      <c r="B2590">
        <v>97</v>
      </c>
      <c r="C2590" t="s">
        <v>125</v>
      </c>
      <c r="D2590" t="s">
        <v>382</v>
      </c>
    </row>
    <row r="2591" spans="1:4" x14ac:dyDescent="0.25">
      <c r="A2591" t="s">
        <v>266</v>
      </c>
      <c r="B2591">
        <v>90</v>
      </c>
      <c r="C2591" t="s">
        <v>125</v>
      </c>
      <c r="D2591" t="s">
        <v>249</v>
      </c>
    </row>
    <row r="2592" spans="1:4" x14ac:dyDescent="0.25">
      <c r="A2592" t="s">
        <v>208</v>
      </c>
      <c r="B2592">
        <v>88</v>
      </c>
      <c r="C2592" t="s">
        <v>886</v>
      </c>
      <c r="D2592" t="s">
        <v>209</v>
      </c>
    </row>
    <row r="2593" spans="1:4" x14ac:dyDescent="0.25">
      <c r="A2593" t="s">
        <v>328</v>
      </c>
      <c r="B2593">
        <v>76</v>
      </c>
      <c r="C2593" t="s">
        <v>125</v>
      </c>
      <c r="D2593" t="s">
        <v>325</v>
      </c>
    </row>
    <row r="2594" spans="1:4" x14ac:dyDescent="0.25">
      <c r="A2594" t="s">
        <v>260</v>
      </c>
      <c r="B2594">
        <v>72</v>
      </c>
      <c r="C2594" t="s">
        <v>125</v>
      </c>
      <c r="D2594" t="s">
        <v>249</v>
      </c>
    </row>
    <row r="2595" spans="1:4" x14ac:dyDescent="0.25">
      <c r="A2595" t="s">
        <v>317</v>
      </c>
      <c r="B2595">
        <v>69</v>
      </c>
      <c r="C2595" t="s">
        <v>125</v>
      </c>
      <c r="D2595" t="s">
        <v>318</v>
      </c>
    </row>
    <row r="2596" spans="1:4" x14ac:dyDescent="0.25">
      <c r="A2596" t="s">
        <v>270</v>
      </c>
      <c r="B2596">
        <v>64</v>
      </c>
      <c r="C2596" t="s">
        <v>125</v>
      </c>
      <c r="D2596" t="s">
        <v>249</v>
      </c>
    </row>
    <row r="2597" spans="1:4" x14ac:dyDescent="0.25">
      <c r="A2597" t="s">
        <v>419</v>
      </c>
      <c r="B2597">
        <v>58</v>
      </c>
      <c r="C2597" t="s">
        <v>125</v>
      </c>
      <c r="D2597" t="s">
        <v>401</v>
      </c>
    </row>
    <row r="2598" spans="1:4" x14ac:dyDescent="0.25">
      <c r="A2598" t="s">
        <v>220</v>
      </c>
      <c r="B2598">
        <v>57</v>
      </c>
      <c r="C2598" t="s">
        <v>886</v>
      </c>
      <c r="D2598" t="s">
        <v>221</v>
      </c>
    </row>
    <row r="2599" spans="1:4" x14ac:dyDescent="0.25">
      <c r="A2599" t="s">
        <v>468</v>
      </c>
      <c r="B2599">
        <v>50</v>
      </c>
      <c r="C2599" t="s">
        <v>125</v>
      </c>
      <c r="D2599" t="s">
        <v>469</v>
      </c>
    </row>
    <row r="2600" spans="1:4" x14ac:dyDescent="0.25">
      <c r="A2600" t="s">
        <v>473</v>
      </c>
      <c r="B2600">
        <v>50</v>
      </c>
      <c r="C2600" t="s">
        <v>125</v>
      </c>
      <c r="D2600" t="s">
        <v>474</v>
      </c>
    </row>
    <row r="2601" spans="1:4" x14ac:dyDescent="0.25">
      <c r="A2601" t="s">
        <v>326</v>
      </c>
      <c r="B2601">
        <v>48</v>
      </c>
      <c r="C2601" t="s">
        <v>125</v>
      </c>
      <c r="D2601" t="s">
        <v>325</v>
      </c>
    </row>
    <row r="2602" spans="1:4" x14ac:dyDescent="0.25">
      <c r="A2602" t="s">
        <v>203</v>
      </c>
      <c r="B2602">
        <v>42</v>
      </c>
      <c r="C2602" t="s">
        <v>886</v>
      </c>
      <c r="D2602" t="s">
        <v>204</v>
      </c>
    </row>
    <row r="2603" spans="1:4" x14ac:dyDescent="0.25">
      <c r="A2603" t="s">
        <v>340</v>
      </c>
      <c r="B2603">
        <v>41</v>
      </c>
      <c r="C2603" t="s">
        <v>125</v>
      </c>
      <c r="D2603" t="s">
        <v>341</v>
      </c>
    </row>
    <row r="2604" spans="1:4" x14ac:dyDescent="0.25">
      <c r="A2604" t="s">
        <v>217</v>
      </c>
      <c r="B2604">
        <v>40</v>
      </c>
      <c r="C2604" t="s">
        <v>886</v>
      </c>
      <c r="D2604" t="s">
        <v>218</v>
      </c>
    </row>
    <row r="2605" spans="1:4" x14ac:dyDescent="0.25">
      <c r="A2605" t="s">
        <v>324</v>
      </c>
      <c r="B2605">
        <v>36</v>
      </c>
      <c r="C2605" t="s">
        <v>125</v>
      </c>
      <c r="D2605" t="s">
        <v>325</v>
      </c>
    </row>
    <row r="2606" spans="1:4" x14ac:dyDescent="0.25">
      <c r="A2606" t="s">
        <v>445</v>
      </c>
      <c r="B2606">
        <v>35</v>
      </c>
      <c r="C2606" t="s">
        <v>125</v>
      </c>
      <c r="D2606" t="s">
        <v>442</v>
      </c>
    </row>
    <row r="2607" spans="1:4" x14ac:dyDescent="0.25">
      <c r="A2607" t="s">
        <v>368</v>
      </c>
      <c r="B2607">
        <v>33</v>
      </c>
      <c r="C2607" t="s">
        <v>125</v>
      </c>
      <c r="D2607" t="s">
        <v>369</v>
      </c>
    </row>
    <row r="2608" spans="1:4" x14ac:dyDescent="0.25">
      <c r="A2608" t="s">
        <v>280</v>
      </c>
      <c r="B2608">
        <v>33</v>
      </c>
      <c r="C2608" t="s">
        <v>125</v>
      </c>
      <c r="D2608" t="s">
        <v>249</v>
      </c>
    </row>
    <row r="2609" spans="1:4" x14ac:dyDescent="0.25">
      <c r="A2609" t="s">
        <v>322</v>
      </c>
      <c r="B2609">
        <v>26</v>
      </c>
      <c r="C2609" t="s">
        <v>125</v>
      </c>
      <c r="D2609" t="s">
        <v>323</v>
      </c>
    </row>
    <row r="2610" spans="1:4" x14ac:dyDescent="0.25">
      <c r="A2610" t="s">
        <v>454</v>
      </c>
      <c r="B2610">
        <v>25</v>
      </c>
      <c r="C2610" t="s">
        <v>125</v>
      </c>
      <c r="D2610" t="s">
        <v>442</v>
      </c>
    </row>
    <row r="2611" spans="1:4" x14ac:dyDescent="0.25">
      <c r="A2611" t="s">
        <v>337</v>
      </c>
      <c r="B2611">
        <v>25</v>
      </c>
      <c r="C2611" t="s">
        <v>125</v>
      </c>
      <c r="D2611" t="s">
        <v>338</v>
      </c>
    </row>
    <row r="2612" spans="1:4" x14ac:dyDescent="0.25">
      <c r="A2612" t="s">
        <v>226</v>
      </c>
      <c r="B2612">
        <v>24</v>
      </c>
      <c r="C2612" t="s">
        <v>886</v>
      </c>
      <c r="D2612" t="s">
        <v>227</v>
      </c>
    </row>
    <row r="2613" spans="1:4" x14ac:dyDescent="0.25">
      <c r="A2613" t="s">
        <v>453</v>
      </c>
      <c r="B2613">
        <v>21</v>
      </c>
      <c r="C2613" t="s">
        <v>125</v>
      </c>
      <c r="D2613" t="s">
        <v>442</v>
      </c>
    </row>
    <row r="2614" spans="1:4" x14ac:dyDescent="0.25">
      <c r="A2614" t="s">
        <v>456</v>
      </c>
      <c r="B2614">
        <v>20</v>
      </c>
      <c r="C2614" t="s">
        <v>125</v>
      </c>
      <c r="D2614" t="s">
        <v>442</v>
      </c>
    </row>
    <row r="2615" spans="1:4" x14ac:dyDescent="0.25">
      <c r="A2615" t="s">
        <v>395</v>
      </c>
      <c r="B2615">
        <v>19</v>
      </c>
      <c r="C2615" t="s">
        <v>125</v>
      </c>
      <c r="D2615" t="s">
        <v>396</v>
      </c>
    </row>
    <row r="2616" spans="1:4" x14ac:dyDescent="0.25">
      <c r="A2616" t="s">
        <v>348</v>
      </c>
      <c r="B2616">
        <v>16</v>
      </c>
      <c r="C2616" t="s">
        <v>125</v>
      </c>
      <c r="D2616" t="s">
        <v>346</v>
      </c>
    </row>
    <row r="2617" spans="1:4" x14ac:dyDescent="0.25">
      <c r="A2617" t="s">
        <v>330</v>
      </c>
      <c r="B2617">
        <v>16</v>
      </c>
      <c r="C2617" t="s">
        <v>125</v>
      </c>
      <c r="D2617" t="s">
        <v>331</v>
      </c>
    </row>
    <row r="2618" spans="1:4" x14ac:dyDescent="0.25">
      <c r="A2618" t="s">
        <v>423</v>
      </c>
      <c r="B2618">
        <v>15</v>
      </c>
      <c r="C2618" t="s">
        <v>125</v>
      </c>
      <c r="D2618" t="s">
        <v>401</v>
      </c>
    </row>
    <row r="2619" spans="1:4" x14ac:dyDescent="0.25">
      <c r="A2619" t="s">
        <v>299</v>
      </c>
      <c r="B2619">
        <v>14</v>
      </c>
      <c r="C2619" t="s">
        <v>125</v>
      </c>
      <c r="D2619" t="s">
        <v>298</v>
      </c>
    </row>
    <row r="2620" spans="1:4" x14ac:dyDescent="0.25">
      <c r="A2620" t="s">
        <v>421</v>
      </c>
      <c r="B2620">
        <v>13</v>
      </c>
      <c r="C2620" t="s">
        <v>125</v>
      </c>
      <c r="D2620" t="s">
        <v>401</v>
      </c>
    </row>
    <row r="2621" spans="1:4" x14ac:dyDescent="0.25">
      <c r="A2621" t="s">
        <v>274</v>
      </c>
      <c r="B2621">
        <v>13</v>
      </c>
      <c r="C2621" t="s">
        <v>125</v>
      </c>
      <c r="D2621" t="s">
        <v>249</v>
      </c>
    </row>
    <row r="2622" spans="1:4" x14ac:dyDescent="0.25">
      <c r="A2622" t="s">
        <v>223</v>
      </c>
      <c r="B2622">
        <v>13</v>
      </c>
      <c r="C2622" t="s">
        <v>886</v>
      </c>
      <c r="D2622" t="s">
        <v>224</v>
      </c>
    </row>
    <row r="2623" spans="1:4" x14ac:dyDescent="0.25">
      <c r="A2623" t="s">
        <v>272</v>
      </c>
      <c r="B2623">
        <v>10</v>
      </c>
      <c r="C2623" t="s">
        <v>125</v>
      </c>
      <c r="D2623" t="s">
        <v>249</v>
      </c>
    </row>
    <row r="2624" spans="1:4" x14ac:dyDescent="0.25">
      <c r="A2624" t="s">
        <v>447</v>
      </c>
      <c r="B2624">
        <v>10</v>
      </c>
      <c r="C2624" t="s">
        <v>125</v>
      </c>
      <c r="D2624" t="s">
        <v>442</v>
      </c>
    </row>
    <row r="2625" spans="1:4" x14ac:dyDescent="0.25">
      <c r="A2625" t="s">
        <v>482</v>
      </c>
      <c r="B2625">
        <v>9</v>
      </c>
      <c r="C2625" t="s">
        <v>125</v>
      </c>
      <c r="D2625" t="s">
        <v>478</v>
      </c>
    </row>
    <row r="2626" spans="1:4" x14ac:dyDescent="0.25">
      <c r="A2626" t="s">
        <v>261</v>
      </c>
      <c r="B2626">
        <v>9</v>
      </c>
      <c r="C2626" t="s">
        <v>125</v>
      </c>
      <c r="D2626" t="s">
        <v>249</v>
      </c>
    </row>
    <row r="2627" spans="1:4" x14ac:dyDescent="0.25">
      <c r="A2627" t="s">
        <v>262</v>
      </c>
      <c r="B2627">
        <v>8</v>
      </c>
      <c r="C2627" t="s">
        <v>125</v>
      </c>
      <c r="D2627" t="s">
        <v>249</v>
      </c>
    </row>
    <row r="2628" spans="1:4" x14ac:dyDescent="0.25">
      <c r="A2628" t="s">
        <v>385</v>
      </c>
      <c r="B2628">
        <v>8</v>
      </c>
      <c r="C2628" t="s">
        <v>125</v>
      </c>
      <c r="D2628" t="s">
        <v>386</v>
      </c>
    </row>
    <row r="2629" spans="1:4" x14ac:dyDescent="0.25">
      <c r="A2629" t="s">
        <v>329</v>
      </c>
      <c r="B2629">
        <v>7</v>
      </c>
      <c r="C2629" t="s">
        <v>125</v>
      </c>
      <c r="D2629" t="s">
        <v>325</v>
      </c>
    </row>
    <row r="2630" spans="1:4" x14ac:dyDescent="0.25">
      <c r="A2630" t="s">
        <v>404</v>
      </c>
      <c r="B2630">
        <v>6</v>
      </c>
      <c r="C2630" t="s">
        <v>125</v>
      </c>
      <c r="D2630" t="s">
        <v>401</v>
      </c>
    </row>
    <row r="2631" spans="1:4" x14ac:dyDescent="0.25">
      <c r="A2631" t="s">
        <v>449</v>
      </c>
      <c r="B2631">
        <v>6</v>
      </c>
      <c r="C2631" t="s">
        <v>125</v>
      </c>
      <c r="D2631" t="s">
        <v>442</v>
      </c>
    </row>
    <row r="2632" spans="1:4" x14ac:dyDescent="0.25">
      <c r="A2632" t="s">
        <v>295</v>
      </c>
      <c r="B2632">
        <v>4</v>
      </c>
      <c r="C2632" t="s">
        <v>125</v>
      </c>
      <c r="D2632" t="s">
        <v>296</v>
      </c>
    </row>
    <row r="2633" spans="1:4" x14ac:dyDescent="0.25">
      <c r="A2633" t="s">
        <v>271</v>
      </c>
      <c r="B2633">
        <v>4</v>
      </c>
      <c r="C2633" t="s">
        <v>125</v>
      </c>
      <c r="D2633" t="s">
        <v>249</v>
      </c>
    </row>
    <row r="2634" spans="1:4" x14ac:dyDescent="0.25">
      <c r="A2634" t="s">
        <v>427</v>
      </c>
      <c r="B2634">
        <v>4</v>
      </c>
      <c r="C2634" t="s">
        <v>125</v>
      </c>
      <c r="D2634" t="s">
        <v>401</v>
      </c>
    </row>
    <row r="2635" spans="1:4" x14ac:dyDescent="0.25">
      <c r="A2635" t="s">
        <v>350</v>
      </c>
      <c r="B2635">
        <v>4</v>
      </c>
      <c r="C2635" t="s">
        <v>125</v>
      </c>
      <c r="D2635" t="s">
        <v>346</v>
      </c>
    </row>
    <row r="2636" spans="1:4" x14ac:dyDescent="0.25">
      <c r="A2636" t="s">
        <v>443</v>
      </c>
      <c r="B2636">
        <v>2</v>
      </c>
      <c r="C2636" t="s">
        <v>125</v>
      </c>
      <c r="D2636" t="s">
        <v>442</v>
      </c>
    </row>
    <row r="2637" spans="1:4" x14ac:dyDescent="0.25">
      <c r="A2637" t="s">
        <v>91</v>
      </c>
      <c r="B2637">
        <v>28</v>
      </c>
    </row>
    <row r="2638" spans="1:4" x14ac:dyDescent="0.25">
      <c r="A2638" t="s">
        <v>191</v>
      </c>
      <c r="B2638">
        <v>10436</v>
      </c>
      <c r="C2638" t="s">
        <v>886</v>
      </c>
      <c r="D2638" t="s">
        <v>192</v>
      </c>
    </row>
    <row r="2639" spans="1:4" x14ac:dyDescent="0.25">
      <c r="A2639" t="s">
        <v>185</v>
      </c>
      <c r="B2639">
        <v>1698</v>
      </c>
      <c r="C2639" t="s">
        <v>886</v>
      </c>
      <c r="D2639" t="s">
        <v>186</v>
      </c>
    </row>
    <row r="2640" spans="1:4" x14ac:dyDescent="0.25">
      <c r="A2640" t="s">
        <v>188</v>
      </c>
      <c r="B2640">
        <v>419</v>
      </c>
      <c r="C2640" t="s">
        <v>886</v>
      </c>
      <c r="D2640" t="s">
        <v>189</v>
      </c>
    </row>
    <row r="2641" spans="1:4" x14ac:dyDescent="0.25">
      <c r="A2641" t="s">
        <v>208</v>
      </c>
      <c r="B2641">
        <v>379</v>
      </c>
      <c r="C2641" t="s">
        <v>886</v>
      </c>
      <c r="D2641" t="s">
        <v>209</v>
      </c>
    </row>
    <row r="2642" spans="1:4" x14ac:dyDescent="0.25">
      <c r="A2642" t="s">
        <v>206</v>
      </c>
      <c r="B2642">
        <v>347</v>
      </c>
      <c r="C2642" t="s">
        <v>886</v>
      </c>
      <c r="D2642" t="s">
        <v>189</v>
      </c>
    </row>
    <row r="2643" spans="1:4" x14ac:dyDescent="0.25">
      <c r="A2643" t="s">
        <v>355</v>
      </c>
      <c r="B2643">
        <v>258</v>
      </c>
      <c r="C2643" t="s">
        <v>125</v>
      </c>
      <c r="D2643" t="s">
        <v>356</v>
      </c>
    </row>
    <row r="2644" spans="1:4" x14ac:dyDescent="0.25">
      <c r="A2644" t="s">
        <v>194</v>
      </c>
      <c r="B2644">
        <v>96</v>
      </c>
      <c r="C2644" t="s">
        <v>886</v>
      </c>
      <c r="D2644" t="s">
        <v>195</v>
      </c>
    </row>
    <row r="2645" spans="1:4" x14ac:dyDescent="0.25">
      <c r="A2645" t="s">
        <v>419</v>
      </c>
      <c r="B2645">
        <v>74</v>
      </c>
      <c r="C2645" t="s">
        <v>125</v>
      </c>
      <c r="D2645" t="s">
        <v>401</v>
      </c>
    </row>
    <row r="2646" spans="1:4" x14ac:dyDescent="0.25">
      <c r="A2646" t="s">
        <v>314</v>
      </c>
      <c r="B2646">
        <v>59</v>
      </c>
      <c r="C2646" t="s">
        <v>125</v>
      </c>
      <c r="D2646" t="s">
        <v>315</v>
      </c>
    </row>
    <row r="2647" spans="1:4" x14ac:dyDescent="0.25">
      <c r="A2647" t="s">
        <v>200</v>
      </c>
      <c r="B2647">
        <v>57</v>
      </c>
      <c r="C2647" t="s">
        <v>886</v>
      </c>
      <c r="D2647" t="s">
        <v>201</v>
      </c>
    </row>
    <row r="2648" spans="1:4" x14ac:dyDescent="0.25">
      <c r="A2648" t="s">
        <v>479</v>
      </c>
      <c r="B2648">
        <v>55</v>
      </c>
      <c r="C2648" t="s">
        <v>125</v>
      </c>
      <c r="D2648" t="s">
        <v>478</v>
      </c>
    </row>
    <row r="2649" spans="1:4" x14ac:dyDescent="0.25">
      <c r="A2649" t="s">
        <v>383</v>
      </c>
      <c r="B2649">
        <v>32</v>
      </c>
      <c r="C2649" t="s">
        <v>125</v>
      </c>
      <c r="D2649" t="s">
        <v>382</v>
      </c>
    </row>
    <row r="2650" spans="1:4" x14ac:dyDescent="0.25">
      <c r="A2650" t="s">
        <v>463</v>
      </c>
      <c r="B2650">
        <v>27</v>
      </c>
      <c r="C2650" t="s">
        <v>125</v>
      </c>
      <c r="D2650" t="s">
        <v>464</v>
      </c>
    </row>
    <row r="2651" spans="1:4" x14ac:dyDescent="0.25">
      <c r="A2651" t="s">
        <v>326</v>
      </c>
      <c r="B2651">
        <v>26</v>
      </c>
      <c r="C2651" t="s">
        <v>125</v>
      </c>
      <c r="D2651" t="s">
        <v>325</v>
      </c>
    </row>
    <row r="2652" spans="1:4" x14ac:dyDescent="0.25">
      <c r="A2652" t="s">
        <v>446</v>
      </c>
      <c r="B2652">
        <v>25</v>
      </c>
      <c r="C2652" t="s">
        <v>125</v>
      </c>
      <c r="D2652" t="s">
        <v>442</v>
      </c>
    </row>
    <row r="2653" spans="1:4" x14ac:dyDescent="0.25">
      <c r="A2653" t="s">
        <v>259</v>
      </c>
      <c r="B2653">
        <v>23</v>
      </c>
      <c r="C2653" t="s">
        <v>125</v>
      </c>
      <c r="D2653" t="s">
        <v>249</v>
      </c>
    </row>
    <row r="2654" spans="1:4" x14ac:dyDescent="0.25">
      <c r="A2654" t="s">
        <v>217</v>
      </c>
      <c r="B2654">
        <v>18</v>
      </c>
      <c r="C2654" t="s">
        <v>886</v>
      </c>
      <c r="D2654" t="s">
        <v>218</v>
      </c>
    </row>
    <row r="2655" spans="1:4" x14ac:dyDescent="0.25">
      <c r="A2655" t="s">
        <v>289</v>
      </c>
      <c r="B2655">
        <v>18</v>
      </c>
      <c r="C2655" t="s">
        <v>125</v>
      </c>
      <c r="D2655" t="s">
        <v>290</v>
      </c>
    </row>
    <row r="2656" spans="1:4" x14ac:dyDescent="0.25">
      <c r="A2656" t="s">
        <v>288</v>
      </c>
      <c r="B2656">
        <v>13</v>
      </c>
      <c r="C2656" t="s">
        <v>125</v>
      </c>
      <c r="D2656" t="s">
        <v>249</v>
      </c>
    </row>
    <row r="2657" spans="1:4" x14ac:dyDescent="0.25">
      <c r="A2657" t="s">
        <v>340</v>
      </c>
      <c r="B2657">
        <v>12</v>
      </c>
      <c r="C2657" t="s">
        <v>125</v>
      </c>
      <c r="D2657" t="s">
        <v>341</v>
      </c>
    </row>
    <row r="2658" spans="1:4" x14ac:dyDescent="0.25">
      <c r="A2658" t="s">
        <v>473</v>
      </c>
      <c r="B2658">
        <v>12</v>
      </c>
      <c r="C2658" t="s">
        <v>125</v>
      </c>
      <c r="D2658" t="s">
        <v>474</v>
      </c>
    </row>
    <row r="2659" spans="1:4" x14ac:dyDescent="0.25">
      <c r="A2659" t="s">
        <v>471</v>
      </c>
      <c r="B2659">
        <v>11</v>
      </c>
      <c r="C2659" t="s">
        <v>125</v>
      </c>
      <c r="D2659" t="s">
        <v>472</v>
      </c>
    </row>
    <row r="2660" spans="1:4" x14ac:dyDescent="0.25">
      <c r="A2660" t="s">
        <v>328</v>
      </c>
      <c r="B2660">
        <v>10</v>
      </c>
      <c r="C2660" t="s">
        <v>125</v>
      </c>
      <c r="D2660" t="s">
        <v>325</v>
      </c>
    </row>
    <row r="2661" spans="1:4" x14ac:dyDescent="0.25">
      <c r="A2661" t="s">
        <v>220</v>
      </c>
      <c r="B2661">
        <v>10</v>
      </c>
      <c r="C2661" t="s">
        <v>886</v>
      </c>
      <c r="D2661" t="s">
        <v>221</v>
      </c>
    </row>
    <row r="2662" spans="1:4" x14ac:dyDescent="0.25">
      <c r="A2662" t="s">
        <v>357</v>
      </c>
      <c r="B2662">
        <v>9</v>
      </c>
      <c r="C2662" t="s">
        <v>125</v>
      </c>
      <c r="D2662" t="s">
        <v>356</v>
      </c>
    </row>
    <row r="2663" spans="1:4" x14ac:dyDescent="0.25">
      <c r="A2663" t="s">
        <v>251</v>
      </c>
      <c r="B2663">
        <v>9</v>
      </c>
      <c r="C2663" t="s">
        <v>125</v>
      </c>
      <c r="D2663" t="s">
        <v>249</v>
      </c>
    </row>
    <row r="2664" spans="1:4" x14ac:dyDescent="0.25">
      <c r="A2664" t="s">
        <v>485</v>
      </c>
      <c r="B2664">
        <v>5</v>
      </c>
      <c r="C2664" t="s">
        <v>125</v>
      </c>
      <c r="D2664" t="s">
        <v>478</v>
      </c>
    </row>
    <row r="2665" spans="1:4" x14ac:dyDescent="0.25">
      <c r="A2665" t="s">
        <v>435</v>
      </c>
      <c r="B2665">
        <v>4</v>
      </c>
      <c r="C2665" t="s">
        <v>125</v>
      </c>
      <c r="D2665" t="s">
        <v>401</v>
      </c>
    </row>
    <row r="2666" spans="1:4" x14ac:dyDescent="0.25">
      <c r="A2666" t="s">
        <v>92</v>
      </c>
      <c r="B2666">
        <v>36</v>
      </c>
    </row>
    <row r="2667" spans="1:4" x14ac:dyDescent="0.25">
      <c r="A2667" t="s">
        <v>282</v>
      </c>
      <c r="B2667">
        <v>4551</v>
      </c>
      <c r="C2667" t="s">
        <v>125</v>
      </c>
      <c r="D2667" t="s">
        <v>249</v>
      </c>
    </row>
    <row r="2668" spans="1:4" x14ac:dyDescent="0.25">
      <c r="A2668" t="s">
        <v>280</v>
      </c>
      <c r="B2668">
        <v>2664</v>
      </c>
      <c r="C2668" t="s">
        <v>125</v>
      </c>
      <c r="D2668" t="s">
        <v>249</v>
      </c>
    </row>
    <row r="2669" spans="1:4" x14ac:dyDescent="0.25">
      <c r="A2669" t="s">
        <v>248</v>
      </c>
      <c r="B2669">
        <v>710</v>
      </c>
      <c r="C2669" t="s">
        <v>125</v>
      </c>
      <c r="D2669" t="s">
        <v>249</v>
      </c>
    </row>
    <row r="2670" spans="1:4" x14ac:dyDescent="0.25">
      <c r="A2670" t="s">
        <v>188</v>
      </c>
      <c r="B2670">
        <v>384</v>
      </c>
      <c r="C2670" t="s">
        <v>886</v>
      </c>
      <c r="D2670" t="s">
        <v>189</v>
      </c>
    </row>
    <row r="2671" spans="1:4" x14ac:dyDescent="0.25">
      <c r="A2671" t="s">
        <v>250</v>
      </c>
      <c r="B2671">
        <v>250</v>
      </c>
      <c r="C2671" t="s">
        <v>125</v>
      </c>
      <c r="D2671" t="s">
        <v>249</v>
      </c>
    </row>
    <row r="2672" spans="1:4" x14ac:dyDescent="0.25">
      <c r="A2672" t="s">
        <v>197</v>
      </c>
      <c r="B2672">
        <v>226</v>
      </c>
      <c r="C2672" t="s">
        <v>886</v>
      </c>
      <c r="D2672" t="s">
        <v>198</v>
      </c>
    </row>
    <row r="2673" spans="1:4" x14ac:dyDescent="0.25">
      <c r="A2673" t="s">
        <v>276</v>
      </c>
      <c r="B2673">
        <v>213</v>
      </c>
      <c r="C2673" t="s">
        <v>125</v>
      </c>
      <c r="D2673" t="s">
        <v>249</v>
      </c>
    </row>
    <row r="2674" spans="1:4" x14ac:dyDescent="0.25">
      <c r="A2674" t="s">
        <v>200</v>
      </c>
      <c r="B2674">
        <v>180</v>
      </c>
      <c r="C2674" t="s">
        <v>886</v>
      </c>
      <c r="D2674" t="s">
        <v>201</v>
      </c>
    </row>
    <row r="2675" spans="1:4" x14ac:dyDescent="0.25">
      <c r="A2675" t="s">
        <v>194</v>
      </c>
      <c r="B2675">
        <v>158</v>
      </c>
      <c r="C2675" t="s">
        <v>886</v>
      </c>
      <c r="D2675" t="s">
        <v>195</v>
      </c>
    </row>
    <row r="2676" spans="1:4" x14ac:dyDescent="0.25">
      <c r="A2676" t="s">
        <v>405</v>
      </c>
      <c r="B2676">
        <v>137</v>
      </c>
      <c r="C2676" t="s">
        <v>125</v>
      </c>
      <c r="D2676" t="s">
        <v>401</v>
      </c>
    </row>
    <row r="2677" spans="1:4" x14ac:dyDescent="0.25">
      <c r="A2677" t="s">
        <v>465</v>
      </c>
      <c r="B2677">
        <v>137</v>
      </c>
      <c r="C2677" t="s">
        <v>125</v>
      </c>
      <c r="D2677" t="s">
        <v>464</v>
      </c>
    </row>
    <row r="2678" spans="1:4" x14ac:dyDescent="0.25">
      <c r="A2678" t="s">
        <v>459</v>
      </c>
      <c r="B2678">
        <v>128</v>
      </c>
      <c r="C2678" t="s">
        <v>125</v>
      </c>
      <c r="D2678" t="s">
        <v>460</v>
      </c>
    </row>
    <row r="2679" spans="1:4" x14ac:dyDescent="0.25">
      <c r="A2679" t="s">
        <v>468</v>
      </c>
      <c r="B2679">
        <v>115</v>
      </c>
      <c r="C2679" t="s">
        <v>125</v>
      </c>
      <c r="D2679" t="s">
        <v>469</v>
      </c>
    </row>
    <row r="2680" spans="1:4" x14ac:dyDescent="0.25">
      <c r="A2680" t="s">
        <v>340</v>
      </c>
      <c r="B2680">
        <v>110</v>
      </c>
      <c r="C2680" t="s">
        <v>125</v>
      </c>
      <c r="D2680" t="s">
        <v>341</v>
      </c>
    </row>
    <row r="2681" spans="1:4" x14ac:dyDescent="0.25">
      <c r="A2681" t="s">
        <v>326</v>
      </c>
      <c r="B2681">
        <v>110</v>
      </c>
      <c r="C2681" t="s">
        <v>125</v>
      </c>
      <c r="D2681" t="s">
        <v>325</v>
      </c>
    </row>
    <row r="2682" spans="1:4" x14ac:dyDescent="0.25">
      <c r="A2682" t="s">
        <v>214</v>
      </c>
      <c r="B2682">
        <v>97</v>
      </c>
      <c r="C2682" t="s">
        <v>886</v>
      </c>
      <c r="D2682" t="s">
        <v>215</v>
      </c>
    </row>
    <row r="2683" spans="1:4" x14ac:dyDescent="0.25">
      <c r="A2683" t="s">
        <v>307</v>
      </c>
      <c r="B2683">
        <v>93</v>
      </c>
      <c r="C2683" t="s">
        <v>125</v>
      </c>
      <c r="D2683" t="s">
        <v>308</v>
      </c>
    </row>
    <row r="2684" spans="1:4" x14ac:dyDescent="0.25">
      <c r="A2684" t="s">
        <v>206</v>
      </c>
      <c r="B2684">
        <v>88</v>
      </c>
      <c r="C2684" t="s">
        <v>886</v>
      </c>
      <c r="D2684" t="s">
        <v>189</v>
      </c>
    </row>
    <row r="2685" spans="1:4" x14ac:dyDescent="0.25">
      <c r="A2685" t="s">
        <v>223</v>
      </c>
      <c r="B2685">
        <v>86</v>
      </c>
      <c r="C2685" t="s">
        <v>886</v>
      </c>
      <c r="D2685" t="s">
        <v>224</v>
      </c>
    </row>
    <row r="2686" spans="1:4" x14ac:dyDescent="0.25">
      <c r="A2686" t="s">
        <v>185</v>
      </c>
      <c r="B2686">
        <v>86</v>
      </c>
      <c r="C2686" t="s">
        <v>886</v>
      </c>
      <c r="D2686" t="s">
        <v>186</v>
      </c>
    </row>
    <row r="2687" spans="1:4" x14ac:dyDescent="0.25">
      <c r="A2687" t="s">
        <v>257</v>
      </c>
      <c r="B2687">
        <v>71</v>
      </c>
      <c r="C2687" t="s">
        <v>125</v>
      </c>
      <c r="D2687" t="s">
        <v>249</v>
      </c>
    </row>
    <row r="2688" spans="1:4" x14ac:dyDescent="0.25">
      <c r="A2688" t="s">
        <v>454</v>
      </c>
      <c r="B2688">
        <v>70</v>
      </c>
      <c r="C2688" t="s">
        <v>125</v>
      </c>
      <c r="D2688" t="s">
        <v>442</v>
      </c>
    </row>
    <row r="2689" spans="1:4" x14ac:dyDescent="0.25">
      <c r="A2689" t="s">
        <v>208</v>
      </c>
      <c r="B2689">
        <v>69</v>
      </c>
      <c r="C2689" t="s">
        <v>886</v>
      </c>
      <c r="D2689" t="s">
        <v>209</v>
      </c>
    </row>
    <row r="2690" spans="1:4" x14ac:dyDescent="0.25">
      <c r="A2690" t="s">
        <v>245</v>
      </c>
      <c r="B2690">
        <v>69</v>
      </c>
      <c r="C2690" t="s">
        <v>886</v>
      </c>
      <c r="D2690" t="s">
        <v>246</v>
      </c>
    </row>
    <row r="2691" spans="1:4" x14ac:dyDescent="0.25">
      <c r="A2691" t="s">
        <v>314</v>
      </c>
      <c r="B2691">
        <v>67</v>
      </c>
      <c r="C2691" t="s">
        <v>125</v>
      </c>
      <c r="D2691" t="s">
        <v>315</v>
      </c>
    </row>
    <row r="2692" spans="1:4" x14ac:dyDescent="0.25">
      <c r="A2692" t="s">
        <v>378</v>
      </c>
      <c r="B2692">
        <v>66</v>
      </c>
      <c r="C2692" t="s">
        <v>125</v>
      </c>
      <c r="D2692" t="s">
        <v>373</v>
      </c>
    </row>
    <row r="2693" spans="1:4" x14ac:dyDescent="0.25">
      <c r="A2693" t="s">
        <v>466</v>
      </c>
      <c r="B2693">
        <v>60</v>
      </c>
      <c r="C2693" t="s">
        <v>125</v>
      </c>
      <c r="D2693" t="s">
        <v>467</v>
      </c>
    </row>
    <row r="2694" spans="1:4" x14ac:dyDescent="0.25">
      <c r="A2694" t="s">
        <v>441</v>
      </c>
      <c r="B2694">
        <v>59</v>
      </c>
      <c r="C2694" t="s">
        <v>125</v>
      </c>
      <c r="D2694" t="s">
        <v>442</v>
      </c>
    </row>
    <row r="2695" spans="1:4" x14ac:dyDescent="0.25">
      <c r="A2695" t="s">
        <v>403</v>
      </c>
      <c r="B2695">
        <v>51</v>
      </c>
      <c r="C2695" t="s">
        <v>125</v>
      </c>
      <c r="D2695" t="s">
        <v>401</v>
      </c>
    </row>
    <row r="2696" spans="1:4" x14ac:dyDescent="0.25">
      <c r="A2696" t="s">
        <v>372</v>
      </c>
      <c r="B2696">
        <v>41</v>
      </c>
      <c r="C2696" t="s">
        <v>125</v>
      </c>
      <c r="D2696" t="s">
        <v>373</v>
      </c>
    </row>
    <row r="2697" spans="1:4" x14ac:dyDescent="0.25">
      <c r="A2697" t="s">
        <v>328</v>
      </c>
      <c r="B2697">
        <v>39</v>
      </c>
      <c r="C2697" t="s">
        <v>125</v>
      </c>
      <c r="D2697" t="s">
        <v>325</v>
      </c>
    </row>
    <row r="2698" spans="1:4" x14ac:dyDescent="0.25">
      <c r="A2698" t="s">
        <v>486</v>
      </c>
      <c r="B2698">
        <v>33</v>
      </c>
      <c r="C2698" t="s">
        <v>125</v>
      </c>
      <c r="D2698" t="s">
        <v>478</v>
      </c>
    </row>
    <row r="2699" spans="1:4" x14ac:dyDescent="0.25">
      <c r="A2699" t="s">
        <v>191</v>
      </c>
      <c r="B2699">
        <v>32</v>
      </c>
      <c r="C2699" t="s">
        <v>886</v>
      </c>
      <c r="D2699" t="s">
        <v>192</v>
      </c>
    </row>
    <row r="2700" spans="1:4" x14ac:dyDescent="0.25">
      <c r="A2700" t="s">
        <v>400</v>
      </c>
      <c r="B2700">
        <v>31</v>
      </c>
      <c r="C2700" t="s">
        <v>125</v>
      </c>
      <c r="D2700" t="s">
        <v>401</v>
      </c>
    </row>
    <row r="2701" spans="1:4" x14ac:dyDescent="0.25">
      <c r="A2701" t="s">
        <v>421</v>
      </c>
      <c r="B2701">
        <v>26</v>
      </c>
      <c r="C2701" t="s">
        <v>125</v>
      </c>
      <c r="D2701" t="s">
        <v>401</v>
      </c>
    </row>
    <row r="2702" spans="1:4" x14ac:dyDescent="0.25">
      <c r="A2702" t="s">
        <v>226</v>
      </c>
      <c r="B2702">
        <v>14</v>
      </c>
      <c r="C2702" t="s">
        <v>886</v>
      </c>
      <c r="D2702" t="s">
        <v>227</v>
      </c>
    </row>
    <row r="2703" spans="1:4" x14ac:dyDescent="0.25">
      <c r="A2703" t="s">
        <v>93</v>
      </c>
      <c r="B2703">
        <v>20</v>
      </c>
    </row>
    <row r="2704" spans="1:4" x14ac:dyDescent="0.25">
      <c r="A2704" t="s">
        <v>185</v>
      </c>
      <c r="B2704">
        <v>10189</v>
      </c>
      <c r="C2704" t="s">
        <v>886</v>
      </c>
      <c r="D2704" t="s">
        <v>186</v>
      </c>
    </row>
    <row r="2705" spans="1:4" x14ac:dyDescent="0.25">
      <c r="A2705" t="s">
        <v>191</v>
      </c>
      <c r="B2705">
        <v>4219</v>
      </c>
      <c r="C2705" t="s">
        <v>886</v>
      </c>
      <c r="D2705" t="s">
        <v>192</v>
      </c>
    </row>
    <row r="2706" spans="1:4" x14ac:dyDescent="0.25">
      <c r="A2706" t="s">
        <v>314</v>
      </c>
      <c r="B2706">
        <v>200</v>
      </c>
      <c r="C2706" t="s">
        <v>125</v>
      </c>
      <c r="D2706" t="s">
        <v>315</v>
      </c>
    </row>
    <row r="2707" spans="1:4" x14ac:dyDescent="0.25">
      <c r="A2707" t="s">
        <v>353</v>
      </c>
      <c r="B2707">
        <v>127</v>
      </c>
      <c r="C2707" t="s">
        <v>125</v>
      </c>
      <c r="D2707" t="s">
        <v>354</v>
      </c>
    </row>
    <row r="2708" spans="1:4" x14ac:dyDescent="0.25">
      <c r="A2708" t="s">
        <v>188</v>
      </c>
      <c r="B2708">
        <v>126</v>
      </c>
      <c r="C2708" t="s">
        <v>886</v>
      </c>
      <c r="D2708" t="s">
        <v>189</v>
      </c>
    </row>
    <row r="2709" spans="1:4" x14ac:dyDescent="0.25">
      <c r="A2709" t="s">
        <v>248</v>
      </c>
      <c r="B2709">
        <v>55</v>
      </c>
      <c r="C2709" t="s">
        <v>125</v>
      </c>
      <c r="D2709" t="s">
        <v>249</v>
      </c>
    </row>
    <row r="2710" spans="1:4" x14ac:dyDescent="0.25">
      <c r="A2710" t="s">
        <v>200</v>
      </c>
      <c r="B2710">
        <v>33</v>
      </c>
      <c r="C2710" t="s">
        <v>886</v>
      </c>
      <c r="D2710" t="s">
        <v>201</v>
      </c>
    </row>
    <row r="2711" spans="1:4" x14ac:dyDescent="0.25">
      <c r="A2711" t="s">
        <v>208</v>
      </c>
      <c r="B2711">
        <v>31</v>
      </c>
      <c r="C2711" t="s">
        <v>886</v>
      </c>
      <c r="D2711" t="s">
        <v>209</v>
      </c>
    </row>
    <row r="2712" spans="1:4" x14ac:dyDescent="0.25">
      <c r="A2712" t="s">
        <v>194</v>
      </c>
      <c r="B2712">
        <v>30</v>
      </c>
      <c r="C2712" t="s">
        <v>886</v>
      </c>
      <c r="D2712" t="s">
        <v>195</v>
      </c>
    </row>
    <row r="2713" spans="1:4" x14ac:dyDescent="0.25">
      <c r="A2713" t="s">
        <v>461</v>
      </c>
      <c r="B2713">
        <v>23</v>
      </c>
      <c r="C2713" t="s">
        <v>125</v>
      </c>
      <c r="D2713" t="s">
        <v>462</v>
      </c>
    </row>
    <row r="2714" spans="1:4" x14ac:dyDescent="0.25">
      <c r="A2714" t="s">
        <v>276</v>
      </c>
      <c r="B2714">
        <v>17</v>
      </c>
      <c r="C2714" t="s">
        <v>125</v>
      </c>
      <c r="D2714" t="s">
        <v>249</v>
      </c>
    </row>
    <row r="2715" spans="1:4" x14ac:dyDescent="0.25">
      <c r="A2715" t="s">
        <v>347</v>
      </c>
      <c r="B2715">
        <v>15</v>
      </c>
      <c r="C2715" t="s">
        <v>125</v>
      </c>
      <c r="D2715" t="s">
        <v>346</v>
      </c>
    </row>
    <row r="2716" spans="1:4" x14ac:dyDescent="0.25">
      <c r="A2716" t="s">
        <v>197</v>
      </c>
      <c r="B2716">
        <v>12</v>
      </c>
      <c r="C2716" t="s">
        <v>886</v>
      </c>
      <c r="D2716" t="s">
        <v>198</v>
      </c>
    </row>
    <row r="2717" spans="1:4" x14ac:dyDescent="0.25">
      <c r="A2717" t="s">
        <v>403</v>
      </c>
      <c r="B2717">
        <v>11</v>
      </c>
      <c r="C2717" t="s">
        <v>125</v>
      </c>
      <c r="D2717" t="s">
        <v>401</v>
      </c>
    </row>
    <row r="2718" spans="1:4" x14ac:dyDescent="0.25">
      <c r="A2718" t="s">
        <v>468</v>
      </c>
      <c r="B2718">
        <v>10</v>
      </c>
      <c r="C2718" t="s">
        <v>125</v>
      </c>
      <c r="D2718" t="s">
        <v>469</v>
      </c>
    </row>
    <row r="2719" spans="1:4" x14ac:dyDescent="0.25">
      <c r="A2719" t="s">
        <v>453</v>
      </c>
      <c r="B2719">
        <v>10</v>
      </c>
      <c r="C2719" t="s">
        <v>125</v>
      </c>
      <c r="D2719" t="s">
        <v>442</v>
      </c>
    </row>
    <row r="2720" spans="1:4" x14ac:dyDescent="0.25">
      <c r="A2720" t="s">
        <v>405</v>
      </c>
      <c r="B2720">
        <v>9</v>
      </c>
      <c r="C2720" t="s">
        <v>125</v>
      </c>
      <c r="D2720" t="s">
        <v>401</v>
      </c>
    </row>
    <row r="2721" spans="1:4" x14ac:dyDescent="0.25">
      <c r="A2721" t="s">
        <v>466</v>
      </c>
      <c r="B2721">
        <v>8</v>
      </c>
      <c r="C2721" t="s">
        <v>125</v>
      </c>
      <c r="D2721" t="s">
        <v>467</v>
      </c>
    </row>
    <row r="2722" spans="1:4" x14ac:dyDescent="0.25">
      <c r="A2722" t="s">
        <v>252</v>
      </c>
      <c r="B2722">
        <v>6</v>
      </c>
      <c r="C2722" t="s">
        <v>125</v>
      </c>
      <c r="D2722" t="s">
        <v>249</v>
      </c>
    </row>
    <row r="2723" spans="1:4" x14ac:dyDescent="0.25">
      <c r="A2723" t="s">
        <v>254</v>
      </c>
      <c r="B2723">
        <v>6</v>
      </c>
      <c r="C2723" t="s">
        <v>125</v>
      </c>
      <c r="D2723" t="s">
        <v>249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95"/>
  <sheetViews>
    <sheetView topLeftCell="B1" zoomScaleNormal="100" workbookViewId="0">
      <pane ySplit="1" topLeftCell="A47" activePane="bottomLeft" state="frozen"/>
      <selection pane="bottomLeft" activeCell="B50" sqref="A50:XFD50"/>
    </sheetView>
  </sheetViews>
  <sheetFormatPr baseColWidth="10" defaultColWidth="11.453125" defaultRowHeight="12.5" x14ac:dyDescent="0.25"/>
  <cols>
    <col min="1" max="1" width="131.453125" customWidth="1"/>
    <col min="2" max="2" width="14.81640625" customWidth="1"/>
    <col min="3" max="3" width="32.6328125" customWidth="1"/>
    <col min="8" max="8" width="32.6328125" customWidth="1"/>
  </cols>
  <sheetData>
    <row r="1" spans="1:8" s="3" customFormat="1" ht="13" x14ac:dyDescent="0.3">
      <c r="A1" s="3" t="s">
        <v>181</v>
      </c>
      <c r="B1" s="3" t="s">
        <v>0</v>
      </c>
      <c r="C1" s="3" t="s">
        <v>887</v>
      </c>
      <c r="H1" s="3" t="s">
        <v>1412</v>
      </c>
    </row>
    <row r="2" spans="1:8" x14ac:dyDescent="0.25">
      <c r="A2" t="s">
        <v>888</v>
      </c>
      <c r="B2" t="s">
        <v>492</v>
      </c>
      <c r="C2" t="s">
        <v>208</v>
      </c>
      <c r="H2" t="s">
        <v>208</v>
      </c>
    </row>
    <row r="3" spans="1:8" x14ac:dyDescent="0.25">
      <c r="A3" t="s">
        <v>889</v>
      </c>
      <c r="B3" t="s">
        <v>494</v>
      </c>
      <c r="C3" t="s">
        <v>191</v>
      </c>
      <c r="H3" t="s">
        <v>191</v>
      </c>
    </row>
    <row r="4" spans="1:8" x14ac:dyDescent="0.25">
      <c r="A4" t="s">
        <v>889</v>
      </c>
      <c r="B4" t="s">
        <v>496</v>
      </c>
      <c r="C4" t="s">
        <v>191</v>
      </c>
      <c r="H4" t="s">
        <v>185</v>
      </c>
    </row>
    <row r="5" spans="1:8" x14ac:dyDescent="0.25">
      <c r="A5" t="s">
        <v>890</v>
      </c>
      <c r="B5" t="s">
        <v>498</v>
      </c>
      <c r="C5" t="s">
        <v>185</v>
      </c>
      <c r="H5" t="s">
        <v>203</v>
      </c>
    </row>
    <row r="6" spans="1:8" x14ac:dyDescent="0.25">
      <c r="A6" t="s">
        <v>891</v>
      </c>
      <c r="B6" t="s">
        <v>500</v>
      </c>
      <c r="C6" t="s">
        <v>203</v>
      </c>
      <c r="H6" t="s">
        <v>229</v>
      </c>
    </row>
    <row r="7" spans="1:8" x14ac:dyDescent="0.25">
      <c r="A7" t="s">
        <v>892</v>
      </c>
      <c r="B7" t="s">
        <v>502</v>
      </c>
      <c r="C7" t="s">
        <v>229</v>
      </c>
      <c r="H7" t="s">
        <v>768</v>
      </c>
    </row>
    <row r="8" spans="1:8" x14ac:dyDescent="0.25">
      <c r="A8" t="s">
        <v>893</v>
      </c>
      <c r="B8" t="s">
        <v>767</v>
      </c>
      <c r="C8" t="s">
        <v>768</v>
      </c>
      <c r="H8" t="s">
        <v>197</v>
      </c>
    </row>
    <row r="9" spans="1:8" x14ac:dyDescent="0.25">
      <c r="A9" t="s">
        <v>891</v>
      </c>
      <c r="B9" t="s">
        <v>504</v>
      </c>
      <c r="C9" t="s">
        <v>203</v>
      </c>
      <c r="H9" t="s">
        <v>211</v>
      </c>
    </row>
    <row r="10" spans="1:8" x14ac:dyDescent="0.25">
      <c r="A10" t="s">
        <v>892</v>
      </c>
      <c r="B10" t="s">
        <v>506</v>
      </c>
      <c r="C10" t="s">
        <v>229</v>
      </c>
      <c r="H10" t="s">
        <v>877</v>
      </c>
    </row>
    <row r="11" spans="1:8" x14ac:dyDescent="0.25">
      <c r="A11" t="s">
        <v>894</v>
      </c>
      <c r="B11" t="s">
        <v>199</v>
      </c>
      <c r="C11" t="s">
        <v>197</v>
      </c>
      <c r="H11" t="s">
        <v>884</v>
      </c>
    </row>
    <row r="12" spans="1:8" x14ac:dyDescent="0.25">
      <c r="A12" t="s">
        <v>890</v>
      </c>
      <c r="B12" t="s">
        <v>509</v>
      </c>
      <c r="C12" t="s">
        <v>185</v>
      </c>
      <c r="H12" t="s">
        <v>805</v>
      </c>
    </row>
    <row r="13" spans="1:8" x14ac:dyDescent="0.25">
      <c r="A13" t="s">
        <v>891</v>
      </c>
      <c r="B13" t="s">
        <v>511</v>
      </c>
      <c r="C13" t="s">
        <v>203</v>
      </c>
      <c r="H13" t="s">
        <v>835</v>
      </c>
    </row>
    <row r="14" spans="1:8" x14ac:dyDescent="0.25">
      <c r="A14" t="s">
        <v>889</v>
      </c>
      <c r="B14" t="s">
        <v>513</v>
      </c>
      <c r="C14" t="s">
        <v>191</v>
      </c>
      <c r="H14" t="s">
        <v>771</v>
      </c>
    </row>
    <row r="15" spans="1:8" x14ac:dyDescent="0.25">
      <c r="A15" t="s">
        <v>895</v>
      </c>
      <c r="B15" t="s">
        <v>515</v>
      </c>
      <c r="C15" t="s">
        <v>211</v>
      </c>
      <c r="H15" t="s">
        <v>800</v>
      </c>
    </row>
    <row r="16" spans="1:8" x14ac:dyDescent="0.25">
      <c r="A16" t="s">
        <v>895</v>
      </c>
      <c r="B16" t="s">
        <v>517</v>
      </c>
      <c r="C16" t="s">
        <v>211</v>
      </c>
      <c r="H16" t="s">
        <v>226</v>
      </c>
    </row>
    <row r="17" spans="1:8" x14ac:dyDescent="0.25">
      <c r="A17" t="s">
        <v>896</v>
      </c>
      <c r="B17" t="s">
        <v>876</v>
      </c>
      <c r="C17" t="s">
        <v>877</v>
      </c>
      <c r="H17" t="s">
        <v>864</v>
      </c>
    </row>
    <row r="18" spans="1:8" x14ac:dyDescent="0.25">
      <c r="A18" t="s">
        <v>897</v>
      </c>
      <c r="B18" t="s">
        <v>883</v>
      </c>
      <c r="C18" t="s">
        <v>884</v>
      </c>
      <c r="H18" t="s">
        <v>859</v>
      </c>
    </row>
    <row r="19" spans="1:8" x14ac:dyDescent="0.25">
      <c r="A19" t="s">
        <v>898</v>
      </c>
      <c r="B19" t="s">
        <v>804</v>
      </c>
      <c r="C19" t="s">
        <v>805</v>
      </c>
      <c r="H19" t="s">
        <v>240</v>
      </c>
    </row>
    <row r="20" spans="1:8" x14ac:dyDescent="0.25">
      <c r="A20" t="s">
        <v>892</v>
      </c>
      <c r="B20" t="s">
        <v>519</v>
      </c>
      <c r="C20" t="s">
        <v>229</v>
      </c>
      <c r="H20" t="s">
        <v>188</v>
      </c>
    </row>
    <row r="21" spans="1:8" x14ac:dyDescent="0.25">
      <c r="A21" t="s">
        <v>899</v>
      </c>
      <c r="B21" t="s">
        <v>834</v>
      </c>
      <c r="C21" t="s">
        <v>835</v>
      </c>
      <c r="H21" t="s">
        <v>774</v>
      </c>
    </row>
    <row r="22" spans="1:8" x14ac:dyDescent="0.25">
      <c r="A22" t="s">
        <v>900</v>
      </c>
      <c r="B22" t="s">
        <v>770</v>
      </c>
      <c r="C22" t="s">
        <v>771</v>
      </c>
      <c r="H22" t="s">
        <v>822</v>
      </c>
    </row>
    <row r="23" spans="1:8" x14ac:dyDescent="0.25">
      <c r="A23" t="s">
        <v>888</v>
      </c>
      <c r="B23" t="s">
        <v>520</v>
      </c>
      <c r="C23" t="s">
        <v>208</v>
      </c>
      <c r="H23" t="s">
        <v>245</v>
      </c>
    </row>
    <row r="24" spans="1:8" x14ac:dyDescent="0.25">
      <c r="A24" t="s">
        <v>889</v>
      </c>
      <c r="B24" t="s">
        <v>522</v>
      </c>
      <c r="C24" t="s">
        <v>191</v>
      </c>
      <c r="H24" t="s">
        <v>832</v>
      </c>
    </row>
    <row r="25" spans="1:8" x14ac:dyDescent="0.25">
      <c r="A25" t="s">
        <v>888</v>
      </c>
      <c r="B25" t="s">
        <v>524</v>
      </c>
      <c r="C25" t="s">
        <v>208</v>
      </c>
      <c r="H25" t="s">
        <v>237</v>
      </c>
    </row>
    <row r="26" spans="1:8" x14ac:dyDescent="0.25">
      <c r="A26" t="s">
        <v>890</v>
      </c>
      <c r="B26" t="s">
        <v>526</v>
      </c>
      <c r="C26" t="s">
        <v>185</v>
      </c>
      <c r="H26" t="s">
        <v>813</v>
      </c>
    </row>
    <row r="27" spans="1:8" x14ac:dyDescent="0.25">
      <c r="A27" t="s">
        <v>888</v>
      </c>
      <c r="B27" t="s">
        <v>528</v>
      </c>
      <c r="C27" t="s">
        <v>208</v>
      </c>
      <c r="H27" t="s">
        <v>861</v>
      </c>
    </row>
    <row r="28" spans="1:8" x14ac:dyDescent="0.25">
      <c r="A28" t="s">
        <v>901</v>
      </c>
      <c r="B28" t="s">
        <v>799</v>
      </c>
      <c r="C28" t="s">
        <v>800</v>
      </c>
      <c r="H28" t="s">
        <v>880</v>
      </c>
    </row>
    <row r="29" spans="1:8" x14ac:dyDescent="0.25">
      <c r="A29" t="s">
        <v>902</v>
      </c>
      <c r="B29" t="s">
        <v>530</v>
      </c>
      <c r="C29" t="s">
        <v>226</v>
      </c>
      <c r="H29" t="s">
        <v>797</v>
      </c>
    </row>
    <row r="30" spans="1:8" x14ac:dyDescent="0.25">
      <c r="A30" t="s">
        <v>889</v>
      </c>
      <c r="B30" t="s">
        <v>532</v>
      </c>
      <c r="C30" t="s">
        <v>191</v>
      </c>
      <c r="H30" t="s">
        <v>234</v>
      </c>
    </row>
    <row r="31" spans="1:8" x14ac:dyDescent="0.25">
      <c r="A31" t="s">
        <v>891</v>
      </c>
      <c r="B31" t="s">
        <v>534</v>
      </c>
      <c r="C31" t="s">
        <v>203</v>
      </c>
      <c r="H31" t="s">
        <v>206</v>
      </c>
    </row>
    <row r="32" spans="1:8" x14ac:dyDescent="0.25">
      <c r="A32" t="s">
        <v>903</v>
      </c>
      <c r="B32" t="s">
        <v>863</v>
      </c>
      <c r="C32" t="s">
        <v>864</v>
      </c>
      <c r="H32" t="s">
        <v>776</v>
      </c>
    </row>
    <row r="33" spans="1:8" x14ac:dyDescent="0.25">
      <c r="A33" t="s">
        <v>904</v>
      </c>
      <c r="B33" t="s">
        <v>858</v>
      </c>
      <c r="C33" t="s">
        <v>859</v>
      </c>
      <c r="H33" t="s">
        <v>750</v>
      </c>
    </row>
    <row r="34" spans="1:8" x14ac:dyDescent="0.25">
      <c r="A34" t="s">
        <v>905</v>
      </c>
      <c r="B34" t="s">
        <v>536</v>
      </c>
      <c r="C34" t="s">
        <v>240</v>
      </c>
      <c r="H34" t="s">
        <v>867</v>
      </c>
    </row>
    <row r="35" spans="1:8" x14ac:dyDescent="0.25">
      <c r="A35" t="s">
        <v>889</v>
      </c>
      <c r="B35" t="s">
        <v>538</v>
      </c>
      <c r="C35" t="s">
        <v>191</v>
      </c>
      <c r="H35" t="s">
        <v>765</v>
      </c>
    </row>
    <row r="36" spans="1:8" x14ac:dyDescent="0.25">
      <c r="A36" t="s">
        <v>906</v>
      </c>
      <c r="B36" t="s">
        <v>540</v>
      </c>
      <c r="C36" t="s">
        <v>188</v>
      </c>
      <c r="H36" t="s">
        <v>223</v>
      </c>
    </row>
    <row r="37" spans="1:8" x14ac:dyDescent="0.25">
      <c r="A37" t="s">
        <v>889</v>
      </c>
      <c r="B37" t="s">
        <v>542</v>
      </c>
      <c r="C37" t="s">
        <v>191</v>
      </c>
      <c r="H37" t="s">
        <v>847</v>
      </c>
    </row>
    <row r="38" spans="1:8" x14ac:dyDescent="0.25">
      <c r="A38" t="s">
        <v>889</v>
      </c>
      <c r="B38" t="s">
        <v>544</v>
      </c>
      <c r="C38" t="s">
        <v>191</v>
      </c>
      <c r="H38" t="s">
        <v>778</v>
      </c>
    </row>
    <row r="39" spans="1:8" x14ac:dyDescent="0.25">
      <c r="A39" t="s">
        <v>907</v>
      </c>
      <c r="B39" t="s">
        <v>773</v>
      </c>
      <c r="C39" t="s">
        <v>774</v>
      </c>
      <c r="H39" t="s">
        <v>869</v>
      </c>
    </row>
    <row r="40" spans="1:8" x14ac:dyDescent="0.25">
      <c r="A40" t="s">
        <v>888</v>
      </c>
      <c r="B40" t="s">
        <v>546</v>
      </c>
      <c r="C40" t="s">
        <v>208</v>
      </c>
      <c r="H40" t="s">
        <v>825</v>
      </c>
    </row>
    <row r="41" spans="1:8" x14ac:dyDescent="0.25">
      <c r="A41" t="s">
        <v>908</v>
      </c>
      <c r="B41" t="s">
        <v>821</v>
      </c>
      <c r="C41" t="s">
        <v>822</v>
      </c>
      <c r="H41" t="s">
        <v>780</v>
      </c>
    </row>
    <row r="42" spans="1:8" x14ac:dyDescent="0.25">
      <c r="A42" t="s">
        <v>909</v>
      </c>
      <c r="B42" t="s">
        <v>247</v>
      </c>
      <c r="C42" t="s">
        <v>245</v>
      </c>
      <c r="H42" t="s">
        <v>758</v>
      </c>
    </row>
    <row r="43" spans="1:8" x14ac:dyDescent="0.25">
      <c r="A43" t="s">
        <v>888</v>
      </c>
      <c r="B43" t="s">
        <v>549</v>
      </c>
      <c r="C43" t="s">
        <v>208</v>
      </c>
      <c r="H43" t="s">
        <v>782</v>
      </c>
    </row>
    <row r="44" spans="1:8" x14ac:dyDescent="0.25">
      <c r="A44" t="s">
        <v>889</v>
      </c>
      <c r="B44" t="s">
        <v>551</v>
      </c>
      <c r="C44" t="s">
        <v>191</v>
      </c>
      <c r="H44" t="s">
        <v>741</v>
      </c>
    </row>
    <row r="45" spans="1:8" x14ac:dyDescent="0.25">
      <c r="A45" t="s">
        <v>910</v>
      </c>
      <c r="B45" t="s">
        <v>831</v>
      </c>
      <c r="C45" t="s">
        <v>832</v>
      </c>
      <c r="H45" t="s">
        <v>871</v>
      </c>
    </row>
    <row r="46" spans="1:8" x14ac:dyDescent="0.25">
      <c r="A46" t="s">
        <v>911</v>
      </c>
      <c r="B46" t="s">
        <v>239</v>
      </c>
      <c r="C46" t="s">
        <v>237</v>
      </c>
      <c r="H46" t="s">
        <v>828</v>
      </c>
    </row>
    <row r="47" spans="1:8" x14ac:dyDescent="0.25">
      <c r="A47" t="s">
        <v>888</v>
      </c>
      <c r="B47" t="s">
        <v>554</v>
      </c>
      <c r="C47" t="s">
        <v>208</v>
      </c>
      <c r="H47" t="s">
        <v>784</v>
      </c>
    </row>
    <row r="48" spans="1:8" x14ac:dyDescent="0.25">
      <c r="A48" t="s">
        <v>889</v>
      </c>
      <c r="B48" t="s">
        <v>556</v>
      </c>
      <c r="C48" t="s">
        <v>191</v>
      </c>
      <c r="H48" t="s">
        <v>786</v>
      </c>
    </row>
    <row r="49" spans="1:8" x14ac:dyDescent="0.25">
      <c r="A49" t="s">
        <v>889</v>
      </c>
      <c r="B49" t="s">
        <v>558</v>
      </c>
      <c r="C49" t="s">
        <v>191</v>
      </c>
      <c r="H49" t="s">
        <v>850</v>
      </c>
    </row>
    <row r="50" spans="1:8" x14ac:dyDescent="0.25">
      <c r="A50" t="s">
        <v>912</v>
      </c>
      <c r="B50" t="s">
        <v>812</v>
      </c>
      <c r="C50" t="s">
        <v>813</v>
      </c>
      <c r="H50" t="s">
        <v>220</v>
      </c>
    </row>
    <row r="51" spans="1:8" x14ac:dyDescent="0.25">
      <c r="A51" t="s">
        <v>889</v>
      </c>
      <c r="B51" t="s">
        <v>560</v>
      </c>
      <c r="C51" t="s">
        <v>191</v>
      </c>
      <c r="H51" t="s">
        <v>752</v>
      </c>
    </row>
    <row r="52" spans="1:8" x14ac:dyDescent="0.25">
      <c r="A52" t="s">
        <v>906</v>
      </c>
      <c r="B52" t="s">
        <v>562</v>
      </c>
      <c r="C52" t="s">
        <v>188</v>
      </c>
      <c r="H52" t="s">
        <v>744</v>
      </c>
    </row>
    <row r="53" spans="1:8" x14ac:dyDescent="0.25">
      <c r="A53" t="s">
        <v>913</v>
      </c>
      <c r="B53" t="s">
        <v>860</v>
      </c>
      <c r="C53" t="s">
        <v>861</v>
      </c>
      <c r="H53" t="s">
        <v>807</v>
      </c>
    </row>
    <row r="54" spans="1:8" x14ac:dyDescent="0.25">
      <c r="A54" t="s">
        <v>914</v>
      </c>
      <c r="B54" t="s">
        <v>879</v>
      </c>
      <c r="C54" t="s">
        <v>880</v>
      </c>
      <c r="H54" t="s">
        <v>873</v>
      </c>
    </row>
    <row r="55" spans="1:8" x14ac:dyDescent="0.25">
      <c r="A55" t="s">
        <v>889</v>
      </c>
      <c r="B55" t="s">
        <v>564</v>
      </c>
      <c r="C55" t="s">
        <v>191</v>
      </c>
      <c r="H55" t="s">
        <v>875</v>
      </c>
    </row>
    <row r="56" spans="1:8" x14ac:dyDescent="0.25">
      <c r="A56" t="s">
        <v>902</v>
      </c>
      <c r="B56" t="s">
        <v>566</v>
      </c>
      <c r="C56" t="s">
        <v>226</v>
      </c>
      <c r="H56" t="s">
        <v>816</v>
      </c>
    </row>
    <row r="57" spans="1:8" x14ac:dyDescent="0.25">
      <c r="A57" t="s">
        <v>915</v>
      </c>
      <c r="B57" t="s">
        <v>796</v>
      </c>
      <c r="C57" t="s">
        <v>797</v>
      </c>
      <c r="H57" t="s">
        <v>243</v>
      </c>
    </row>
    <row r="58" spans="1:8" x14ac:dyDescent="0.25">
      <c r="A58" t="s">
        <v>916</v>
      </c>
      <c r="B58" t="s">
        <v>236</v>
      </c>
      <c r="C58" t="s">
        <v>234</v>
      </c>
      <c r="H58" t="s">
        <v>882</v>
      </c>
    </row>
    <row r="59" spans="1:8" x14ac:dyDescent="0.25">
      <c r="A59" t="s">
        <v>917</v>
      </c>
      <c r="B59" t="s">
        <v>569</v>
      </c>
      <c r="C59" t="s">
        <v>206</v>
      </c>
      <c r="H59" t="s">
        <v>789</v>
      </c>
    </row>
    <row r="60" spans="1:8" x14ac:dyDescent="0.25">
      <c r="A60" t="s">
        <v>889</v>
      </c>
      <c r="B60" t="s">
        <v>571</v>
      </c>
      <c r="C60" t="s">
        <v>191</v>
      </c>
      <c r="H60" t="s">
        <v>791</v>
      </c>
    </row>
    <row r="61" spans="1:8" x14ac:dyDescent="0.25">
      <c r="A61" t="s">
        <v>888</v>
      </c>
      <c r="B61" t="s">
        <v>573</v>
      </c>
      <c r="C61" t="s">
        <v>208</v>
      </c>
      <c r="H61" t="s">
        <v>853</v>
      </c>
    </row>
    <row r="62" spans="1:8" x14ac:dyDescent="0.25">
      <c r="A62" t="s">
        <v>889</v>
      </c>
      <c r="B62" t="s">
        <v>575</v>
      </c>
      <c r="C62" t="s">
        <v>191</v>
      </c>
      <c r="H62" t="s">
        <v>837</v>
      </c>
    </row>
    <row r="63" spans="1:8" x14ac:dyDescent="0.25">
      <c r="A63" t="s">
        <v>918</v>
      </c>
      <c r="B63" t="s">
        <v>775</v>
      </c>
      <c r="C63" t="s">
        <v>776</v>
      </c>
      <c r="H63" t="s">
        <v>232</v>
      </c>
    </row>
    <row r="64" spans="1:8" x14ac:dyDescent="0.25">
      <c r="A64" t="s">
        <v>888</v>
      </c>
      <c r="B64" t="s">
        <v>577</v>
      </c>
      <c r="C64" t="s">
        <v>208</v>
      </c>
      <c r="H64" t="s">
        <v>194</v>
      </c>
    </row>
    <row r="65" spans="1:8" x14ac:dyDescent="0.25">
      <c r="A65" t="s">
        <v>905</v>
      </c>
      <c r="B65" t="s">
        <v>579</v>
      </c>
      <c r="C65" t="s">
        <v>240</v>
      </c>
      <c r="H65" t="s">
        <v>819</v>
      </c>
    </row>
    <row r="66" spans="1:8" x14ac:dyDescent="0.25">
      <c r="A66" t="s">
        <v>888</v>
      </c>
      <c r="B66" t="s">
        <v>581</v>
      </c>
      <c r="C66" t="s">
        <v>208</v>
      </c>
      <c r="H66" t="s">
        <v>855</v>
      </c>
    </row>
    <row r="67" spans="1:8" x14ac:dyDescent="0.25">
      <c r="A67" t="s">
        <v>905</v>
      </c>
      <c r="B67" t="s">
        <v>583</v>
      </c>
      <c r="C67" t="s">
        <v>240</v>
      </c>
      <c r="H67" t="s">
        <v>857</v>
      </c>
    </row>
    <row r="68" spans="1:8" x14ac:dyDescent="0.25">
      <c r="A68" t="s">
        <v>892</v>
      </c>
      <c r="B68" t="s">
        <v>584</v>
      </c>
      <c r="C68" t="s">
        <v>229</v>
      </c>
      <c r="H68" t="s">
        <v>200</v>
      </c>
    </row>
    <row r="69" spans="1:8" x14ac:dyDescent="0.25">
      <c r="A69" t="s">
        <v>919</v>
      </c>
      <c r="B69" t="s">
        <v>749</v>
      </c>
      <c r="C69" t="s">
        <v>750</v>
      </c>
      <c r="H69" t="s">
        <v>214</v>
      </c>
    </row>
    <row r="70" spans="1:8" x14ac:dyDescent="0.25">
      <c r="A70" t="s">
        <v>917</v>
      </c>
      <c r="B70" t="s">
        <v>586</v>
      </c>
      <c r="C70" t="s">
        <v>206</v>
      </c>
      <c r="H70" t="s">
        <v>810</v>
      </c>
    </row>
    <row r="71" spans="1:8" x14ac:dyDescent="0.25">
      <c r="A71" t="s">
        <v>906</v>
      </c>
      <c r="B71" t="s">
        <v>588</v>
      </c>
      <c r="C71" t="s">
        <v>188</v>
      </c>
      <c r="H71" t="s">
        <v>746</v>
      </c>
    </row>
    <row r="72" spans="1:8" x14ac:dyDescent="0.25">
      <c r="A72" t="s">
        <v>920</v>
      </c>
      <c r="B72" t="s">
        <v>866</v>
      </c>
      <c r="C72" t="s">
        <v>867</v>
      </c>
      <c r="H72" t="s">
        <v>217</v>
      </c>
    </row>
    <row r="73" spans="1:8" x14ac:dyDescent="0.25">
      <c r="A73" t="s">
        <v>888</v>
      </c>
      <c r="B73" t="s">
        <v>590</v>
      </c>
      <c r="C73" t="s">
        <v>208</v>
      </c>
      <c r="H73" t="s">
        <v>793</v>
      </c>
    </row>
    <row r="74" spans="1:8" x14ac:dyDescent="0.25">
      <c r="A74" t="s">
        <v>888</v>
      </c>
      <c r="B74" t="s">
        <v>592</v>
      </c>
      <c r="C74" t="s">
        <v>208</v>
      </c>
      <c r="H74" t="s">
        <v>839</v>
      </c>
    </row>
    <row r="75" spans="1:8" x14ac:dyDescent="0.25">
      <c r="A75" t="s">
        <v>921</v>
      </c>
      <c r="B75" t="s">
        <v>764</v>
      </c>
      <c r="C75" t="s">
        <v>765</v>
      </c>
      <c r="H75" t="s">
        <v>841</v>
      </c>
    </row>
    <row r="76" spans="1:8" x14ac:dyDescent="0.25">
      <c r="A76" t="s">
        <v>888</v>
      </c>
      <c r="B76" t="s">
        <v>594</v>
      </c>
      <c r="C76" t="s">
        <v>208</v>
      </c>
      <c r="H76" t="s">
        <v>756</v>
      </c>
    </row>
    <row r="77" spans="1:8" x14ac:dyDescent="0.25">
      <c r="A77" t="s">
        <v>888</v>
      </c>
      <c r="B77" t="s">
        <v>596</v>
      </c>
      <c r="C77" t="s">
        <v>208</v>
      </c>
      <c r="H77" t="s">
        <v>748</v>
      </c>
    </row>
    <row r="78" spans="1:8" x14ac:dyDescent="0.25">
      <c r="A78" t="s">
        <v>888</v>
      </c>
      <c r="B78" t="s">
        <v>598</v>
      </c>
      <c r="C78" t="s">
        <v>208</v>
      </c>
      <c r="H78" t="s">
        <v>763</v>
      </c>
    </row>
    <row r="79" spans="1:8" x14ac:dyDescent="0.25">
      <c r="A79" t="s">
        <v>889</v>
      </c>
      <c r="B79" t="s">
        <v>600</v>
      </c>
      <c r="C79" t="s">
        <v>191</v>
      </c>
      <c r="H79" t="s">
        <v>845</v>
      </c>
    </row>
    <row r="80" spans="1:8" x14ac:dyDescent="0.25">
      <c r="A80" t="s">
        <v>888</v>
      </c>
      <c r="B80" t="s">
        <v>602</v>
      </c>
      <c r="C80" t="s">
        <v>208</v>
      </c>
      <c r="H80" t="s">
        <v>830</v>
      </c>
    </row>
    <row r="81" spans="1:8" x14ac:dyDescent="0.25">
      <c r="A81" t="s">
        <v>888</v>
      </c>
      <c r="B81" t="s">
        <v>604</v>
      </c>
      <c r="C81" t="s">
        <v>208</v>
      </c>
      <c r="H81" t="s">
        <v>802</v>
      </c>
    </row>
    <row r="82" spans="1:8" x14ac:dyDescent="0.25">
      <c r="A82" t="s">
        <v>889</v>
      </c>
      <c r="B82" t="s">
        <v>606</v>
      </c>
      <c r="C82" t="s">
        <v>191</v>
      </c>
      <c r="H82" t="s">
        <v>843</v>
      </c>
    </row>
    <row r="83" spans="1:8" x14ac:dyDescent="0.25">
      <c r="A83" t="s">
        <v>889</v>
      </c>
      <c r="B83" t="s">
        <v>608</v>
      </c>
      <c r="C83" t="s">
        <v>191</v>
      </c>
      <c r="H83" t="s">
        <v>795</v>
      </c>
    </row>
    <row r="84" spans="1:8" x14ac:dyDescent="0.25">
      <c r="A84" t="s">
        <v>888</v>
      </c>
      <c r="B84" t="s">
        <v>610</v>
      </c>
      <c r="C84" t="s">
        <v>208</v>
      </c>
      <c r="H84" t="s">
        <v>761</v>
      </c>
    </row>
    <row r="85" spans="1:8" x14ac:dyDescent="0.25">
      <c r="A85" t="s">
        <v>922</v>
      </c>
      <c r="B85" t="s">
        <v>612</v>
      </c>
      <c r="C85" t="s">
        <v>223</v>
      </c>
    </row>
    <row r="86" spans="1:8" x14ac:dyDescent="0.25">
      <c r="A86" t="s">
        <v>888</v>
      </c>
      <c r="B86" t="s">
        <v>614</v>
      </c>
      <c r="C86" t="s">
        <v>208</v>
      </c>
    </row>
    <row r="87" spans="1:8" x14ac:dyDescent="0.25">
      <c r="A87" t="s">
        <v>923</v>
      </c>
      <c r="B87" t="s">
        <v>846</v>
      </c>
      <c r="C87" t="s">
        <v>847</v>
      </c>
    </row>
    <row r="88" spans="1:8" x14ac:dyDescent="0.25">
      <c r="A88" t="s">
        <v>922</v>
      </c>
      <c r="B88" t="s">
        <v>616</v>
      </c>
      <c r="C88" t="s">
        <v>223</v>
      </c>
    </row>
    <row r="89" spans="1:8" x14ac:dyDescent="0.25">
      <c r="A89" t="s">
        <v>924</v>
      </c>
      <c r="B89" t="s">
        <v>777</v>
      </c>
      <c r="C89" t="s">
        <v>778</v>
      </c>
    </row>
    <row r="90" spans="1:8" x14ac:dyDescent="0.25">
      <c r="A90" t="s">
        <v>925</v>
      </c>
      <c r="B90" t="s">
        <v>868</v>
      </c>
      <c r="C90" t="s">
        <v>869</v>
      </c>
    </row>
    <row r="91" spans="1:8" x14ac:dyDescent="0.25">
      <c r="A91" t="s">
        <v>926</v>
      </c>
      <c r="B91" t="s">
        <v>824</v>
      </c>
      <c r="C91" t="s">
        <v>825</v>
      </c>
    </row>
    <row r="92" spans="1:8" x14ac:dyDescent="0.25">
      <c r="A92" t="s">
        <v>889</v>
      </c>
      <c r="B92" t="s">
        <v>618</v>
      </c>
      <c r="C92" t="s">
        <v>191</v>
      </c>
    </row>
    <row r="93" spans="1:8" x14ac:dyDescent="0.25">
      <c r="A93" t="s">
        <v>927</v>
      </c>
      <c r="B93" t="s">
        <v>779</v>
      </c>
      <c r="C93" t="s">
        <v>780</v>
      </c>
    </row>
    <row r="94" spans="1:8" x14ac:dyDescent="0.25">
      <c r="A94" t="s">
        <v>888</v>
      </c>
      <c r="B94" t="s">
        <v>620</v>
      </c>
      <c r="C94" t="s">
        <v>208</v>
      </c>
    </row>
    <row r="95" spans="1:8" x14ac:dyDescent="0.25">
      <c r="A95" t="s">
        <v>888</v>
      </c>
      <c r="B95" t="s">
        <v>622</v>
      </c>
      <c r="C95" t="s">
        <v>208</v>
      </c>
    </row>
    <row r="96" spans="1:8" x14ac:dyDescent="0.25">
      <c r="A96" t="s">
        <v>889</v>
      </c>
      <c r="B96" t="s">
        <v>624</v>
      </c>
      <c r="C96" t="s">
        <v>191</v>
      </c>
    </row>
    <row r="97" spans="1:3" x14ac:dyDescent="0.25">
      <c r="A97" t="s">
        <v>928</v>
      </c>
      <c r="B97" t="s">
        <v>757</v>
      </c>
      <c r="C97" t="s">
        <v>758</v>
      </c>
    </row>
    <row r="98" spans="1:3" x14ac:dyDescent="0.25">
      <c r="A98" t="s">
        <v>929</v>
      </c>
      <c r="B98" t="s">
        <v>781</v>
      </c>
      <c r="C98" t="s">
        <v>782</v>
      </c>
    </row>
    <row r="99" spans="1:3" x14ac:dyDescent="0.25">
      <c r="A99" t="s">
        <v>888</v>
      </c>
      <c r="B99" t="s">
        <v>626</v>
      </c>
      <c r="C99" t="s">
        <v>208</v>
      </c>
    </row>
    <row r="100" spans="1:3" x14ac:dyDescent="0.25">
      <c r="A100" t="s">
        <v>889</v>
      </c>
      <c r="B100" t="s">
        <v>628</v>
      </c>
      <c r="C100" t="s">
        <v>191</v>
      </c>
    </row>
    <row r="101" spans="1:3" x14ac:dyDescent="0.25">
      <c r="A101" t="s">
        <v>888</v>
      </c>
      <c r="B101" t="s">
        <v>630</v>
      </c>
      <c r="C101" t="s">
        <v>208</v>
      </c>
    </row>
    <row r="102" spans="1:3" x14ac:dyDescent="0.25">
      <c r="A102" t="s">
        <v>930</v>
      </c>
      <c r="B102" t="s">
        <v>740</v>
      </c>
      <c r="C102" t="s">
        <v>741</v>
      </c>
    </row>
    <row r="103" spans="1:3" x14ac:dyDescent="0.25">
      <c r="A103" t="s">
        <v>931</v>
      </c>
      <c r="B103" t="s">
        <v>870</v>
      </c>
      <c r="C103" t="s">
        <v>871</v>
      </c>
    </row>
    <row r="104" spans="1:3" x14ac:dyDescent="0.25">
      <c r="A104" t="s">
        <v>932</v>
      </c>
      <c r="B104" t="s">
        <v>827</v>
      </c>
      <c r="C104" t="s">
        <v>828</v>
      </c>
    </row>
    <row r="105" spans="1:3" x14ac:dyDescent="0.25">
      <c r="A105" t="s">
        <v>888</v>
      </c>
      <c r="B105" t="s">
        <v>632</v>
      </c>
      <c r="C105" t="s">
        <v>208</v>
      </c>
    </row>
    <row r="106" spans="1:3" x14ac:dyDescent="0.25">
      <c r="A106" t="s">
        <v>933</v>
      </c>
      <c r="B106" t="s">
        <v>783</v>
      </c>
      <c r="C106" t="s">
        <v>784</v>
      </c>
    </row>
    <row r="107" spans="1:3" x14ac:dyDescent="0.25">
      <c r="A107" t="s">
        <v>889</v>
      </c>
      <c r="B107" t="s">
        <v>634</v>
      </c>
      <c r="C107" t="s">
        <v>191</v>
      </c>
    </row>
    <row r="108" spans="1:3" x14ac:dyDescent="0.25">
      <c r="A108" t="s">
        <v>934</v>
      </c>
      <c r="B108" t="s">
        <v>785</v>
      </c>
      <c r="C108" t="s">
        <v>786</v>
      </c>
    </row>
    <row r="109" spans="1:3" x14ac:dyDescent="0.25">
      <c r="A109" t="s">
        <v>889</v>
      </c>
      <c r="B109" t="s">
        <v>636</v>
      </c>
      <c r="C109" t="s">
        <v>191</v>
      </c>
    </row>
    <row r="110" spans="1:3" x14ac:dyDescent="0.25">
      <c r="A110" t="s">
        <v>935</v>
      </c>
      <c r="B110" t="s">
        <v>849</v>
      </c>
      <c r="C110" t="s">
        <v>850</v>
      </c>
    </row>
    <row r="111" spans="1:3" x14ac:dyDescent="0.25">
      <c r="A111" t="s">
        <v>936</v>
      </c>
      <c r="B111" t="s">
        <v>222</v>
      </c>
      <c r="C111" t="s">
        <v>220</v>
      </c>
    </row>
    <row r="112" spans="1:3" x14ac:dyDescent="0.25">
      <c r="A112" t="s">
        <v>937</v>
      </c>
      <c r="B112" t="s">
        <v>751</v>
      </c>
      <c r="C112" t="s">
        <v>752</v>
      </c>
    </row>
    <row r="113" spans="1:3" x14ac:dyDescent="0.25">
      <c r="A113" t="s">
        <v>938</v>
      </c>
      <c r="B113" t="s">
        <v>743</v>
      </c>
      <c r="C113" t="s">
        <v>744</v>
      </c>
    </row>
    <row r="114" spans="1:3" x14ac:dyDescent="0.25">
      <c r="A114" t="s">
        <v>888</v>
      </c>
      <c r="B114" t="s">
        <v>639</v>
      </c>
      <c r="C114" t="s">
        <v>208</v>
      </c>
    </row>
    <row r="115" spans="1:3" x14ac:dyDescent="0.25">
      <c r="A115" t="s">
        <v>889</v>
      </c>
      <c r="B115" t="s">
        <v>641</v>
      </c>
      <c r="C115" t="s">
        <v>191</v>
      </c>
    </row>
    <row r="116" spans="1:3" x14ac:dyDescent="0.25">
      <c r="A116" t="s">
        <v>889</v>
      </c>
      <c r="B116" t="s">
        <v>643</v>
      </c>
      <c r="C116" t="s">
        <v>191</v>
      </c>
    </row>
    <row r="117" spans="1:3" x14ac:dyDescent="0.25">
      <c r="A117" t="s">
        <v>939</v>
      </c>
      <c r="B117" t="s">
        <v>806</v>
      </c>
      <c r="C117" t="s">
        <v>807</v>
      </c>
    </row>
    <row r="118" spans="1:3" x14ac:dyDescent="0.25">
      <c r="A118" t="s">
        <v>888</v>
      </c>
      <c r="B118" t="s">
        <v>645</v>
      </c>
      <c r="C118" t="s">
        <v>208</v>
      </c>
    </row>
    <row r="119" spans="1:3" x14ac:dyDescent="0.25">
      <c r="A119" t="s">
        <v>940</v>
      </c>
      <c r="B119" t="s">
        <v>872</v>
      </c>
      <c r="C119" t="s">
        <v>873</v>
      </c>
    </row>
    <row r="120" spans="1:3" x14ac:dyDescent="0.25">
      <c r="A120" t="s">
        <v>941</v>
      </c>
      <c r="B120" t="s">
        <v>874</v>
      </c>
      <c r="C120" t="s">
        <v>875</v>
      </c>
    </row>
    <row r="121" spans="1:3" x14ac:dyDescent="0.25">
      <c r="A121" t="s">
        <v>889</v>
      </c>
      <c r="B121" t="s">
        <v>647</v>
      </c>
      <c r="C121" t="s">
        <v>191</v>
      </c>
    </row>
    <row r="122" spans="1:3" x14ac:dyDescent="0.25">
      <c r="A122" t="s">
        <v>942</v>
      </c>
      <c r="B122" t="s">
        <v>815</v>
      </c>
      <c r="C122" t="s">
        <v>816</v>
      </c>
    </row>
    <row r="123" spans="1:3" x14ac:dyDescent="0.25">
      <c r="A123" t="s">
        <v>889</v>
      </c>
      <c r="B123" t="s">
        <v>649</v>
      </c>
      <c r="C123" t="s">
        <v>191</v>
      </c>
    </row>
    <row r="124" spans="1:3" x14ac:dyDescent="0.25">
      <c r="A124" t="s">
        <v>888</v>
      </c>
      <c r="B124" t="s">
        <v>651</v>
      </c>
      <c r="C124" t="s">
        <v>208</v>
      </c>
    </row>
    <row r="125" spans="1:3" x14ac:dyDescent="0.25">
      <c r="A125" t="s">
        <v>888</v>
      </c>
      <c r="B125" t="s">
        <v>653</v>
      </c>
      <c r="C125" t="s">
        <v>208</v>
      </c>
    </row>
    <row r="126" spans="1:3" x14ac:dyDescent="0.25">
      <c r="A126" t="s">
        <v>888</v>
      </c>
      <c r="B126" t="s">
        <v>655</v>
      </c>
      <c r="C126" t="s">
        <v>208</v>
      </c>
    </row>
    <row r="127" spans="1:3" x14ac:dyDescent="0.25">
      <c r="A127" t="s">
        <v>888</v>
      </c>
      <c r="B127" t="s">
        <v>657</v>
      </c>
      <c r="C127" t="s">
        <v>208</v>
      </c>
    </row>
    <row r="128" spans="1:3" x14ac:dyDescent="0.25">
      <c r="A128" t="s">
        <v>943</v>
      </c>
      <c r="B128" t="s">
        <v>659</v>
      </c>
      <c r="C128" t="s">
        <v>243</v>
      </c>
    </row>
    <row r="129" spans="1:3" x14ac:dyDescent="0.25">
      <c r="A129" t="s">
        <v>888</v>
      </c>
      <c r="B129" t="s">
        <v>661</v>
      </c>
      <c r="C129" t="s">
        <v>208</v>
      </c>
    </row>
    <row r="130" spans="1:3" x14ac:dyDescent="0.25">
      <c r="A130" t="s">
        <v>889</v>
      </c>
      <c r="B130" t="s">
        <v>663</v>
      </c>
      <c r="C130" t="s">
        <v>191</v>
      </c>
    </row>
    <row r="131" spans="1:3" x14ac:dyDescent="0.25">
      <c r="A131" t="s">
        <v>888</v>
      </c>
      <c r="B131" t="s">
        <v>665</v>
      </c>
      <c r="C131" t="s">
        <v>208</v>
      </c>
    </row>
    <row r="132" spans="1:3" x14ac:dyDescent="0.25">
      <c r="A132" t="s">
        <v>888</v>
      </c>
      <c r="B132" t="s">
        <v>667</v>
      </c>
      <c r="C132" t="s">
        <v>208</v>
      </c>
    </row>
    <row r="133" spans="1:3" x14ac:dyDescent="0.25">
      <c r="A133" t="s">
        <v>929</v>
      </c>
      <c r="B133" t="s">
        <v>787</v>
      </c>
      <c r="C133" t="s">
        <v>782</v>
      </c>
    </row>
    <row r="134" spans="1:3" x14ac:dyDescent="0.25">
      <c r="A134" t="s">
        <v>944</v>
      </c>
      <c r="B134" t="s">
        <v>881</v>
      </c>
      <c r="C134" t="s">
        <v>882</v>
      </c>
    </row>
    <row r="135" spans="1:3" x14ac:dyDescent="0.25">
      <c r="A135" t="s">
        <v>890</v>
      </c>
      <c r="B135" t="s">
        <v>669</v>
      </c>
      <c r="C135" t="s">
        <v>185</v>
      </c>
    </row>
    <row r="136" spans="1:3" x14ac:dyDescent="0.25">
      <c r="A136" t="s">
        <v>945</v>
      </c>
      <c r="B136" t="s">
        <v>788</v>
      </c>
      <c r="C136" t="s">
        <v>789</v>
      </c>
    </row>
    <row r="137" spans="1:3" x14ac:dyDescent="0.25">
      <c r="A137" t="s">
        <v>946</v>
      </c>
      <c r="B137" t="s">
        <v>790</v>
      </c>
      <c r="C137" t="s">
        <v>791</v>
      </c>
    </row>
    <row r="138" spans="1:3" x14ac:dyDescent="0.25">
      <c r="A138" t="s">
        <v>947</v>
      </c>
      <c r="B138" t="s">
        <v>852</v>
      </c>
      <c r="C138" t="s">
        <v>853</v>
      </c>
    </row>
    <row r="139" spans="1:3" x14ac:dyDescent="0.25">
      <c r="A139" t="s">
        <v>888</v>
      </c>
      <c r="B139" t="s">
        <v>671</v>
      </c>
      <c r="C139" t="s">
        <v>208</v>
      </c>
    </row>
    <row r="140" spans="1:3" x14ac:dyDescent="0.25">
      <c r="A140" t="s">
        <v>948</v>
      </c>
      <c r="B140" t="s">
        <v>836</v>
      </c>
      <c r="C140" t="s">
        <v>837</v>
      </c>
    </row>
    <row r="141" spans="1:3" x14ac:dyDescent="0.25">
      <c r="A141" t="s">
        <v>889</v>
      </c>
      <c r="B141" t="s">
        <v>673</v>
      </c>
      <c r="C141" t="s">
        <v>191</v>
      </c>
    </row>
    <row r="142" spans="1:3" x14ac:dyDescent="0.25">
      <c r="A142" t="s">
        <v>949</v>
      </c>
      <c r="B142" t="s">
        <v>233</v>
      </c>
      <c r="C142" t="s">
        <v>232</v>
      </c>
    </row>
    <row r="143" spans="1:3" x14ac:dyDescent="0.25">
      <c r="A143" t="s">
        <v>888</v>
      </c>
      <c r="B143" t="s">
        <v>676</v>
      </c>
      <c r="C143" t="s">
        <v>208</v>
      </c>
    </row>
    <row r="144" spans="1:3" x14ac:dyDescent="0.25">
      <c r="A144" t="s">
        <v>950</v>
      </c>
      <c r="B144" t="s">
        <v>678</v>
      </c>
      <c r="C144" t="s">
        <v>194</v>
      </c>
    </row>
    <row r="145" spans="1:3" x14ac:dyDescent="0.25">
      <c r="A145" t="s">
        <v>888</v>
      </c>
      <c r="B145" t="s">
        <v>680</v>
      </c>
      <c r="C145" t="s">
        <v>208</v>
      </c>
    </row>
    <row r="146" spans="1:3" x14ac:dyDescent="0.25">
      <c r="A146" t="s">
        <v>943</v>
      </c>
      <c r="B146" t="s">
        <v>682</v>
      </c>
      <c r="C146" t="s">
        <v>243</v>
      </c>
    </row>
    <row r="147" spans="1:3" x14ac:dyDescent="0.25">
      <c r="A147" t="s">
        <v>888</v>
      </c>
      <c r="B147" t="s">
        <v>684</v>
      </c>
      <c r="C147" t="s">
        <v>208</v>
      </c>
    </row>
    <row r="148" spans="1:3" x14ac:dyDescent="0.25">
      <c r="A148" t="s">
        <v>888</v>
      </c>
      <c r="B148" t="s">
        <v>686</v>
      </c>
      <c r="C148" t="s">
        <v>208</v>
      </c>
    </row>
    <row r="149" spans="1:3" x14ac:dyDescent="0.25">
      <c r="A149" t="s">
        <v>889</v>
      </c>
      <c r="B149" t="s">
        <v>688</v>
      </c>
      <c r="C149" t="s">
        <v>191</v>
      </c>
    </row>
    <row r="150" spans="1:3" x14ac:dyDescent="0.25">
      <c r="A150" t="s">
        <v>889</v>
      </c>
      <c r="B150" t="s">
        <v>690</v>
      </c>
      <c r="C150" t="s">
        <v>191</v>
      </c>
    </row>
    <row r="151" spans="1:3" x14ac:dyDescent="0.25">
      <c r="A151" t="s">
        <v>951</v>
      </c>
      <c r="B151" t="s">
        <v>818</v>
      </c>
      <c r="C151" t="s">
        <v>819</v>
      </c>
    </row>
    <row r="152" spans="1:3" x14ac:dyDescent="0.25">
      <c r="A152" t="s">
        <v>952</v>
      </c>
      <c r="B152" t="s">
        <v>854</v>
      </c>
      <c r="C152" t="s">
        <v>855</v>
      </c>
    </row>
    <row r="153" spans="1:3" x14ac:dyDescent="0.25">
      <c r="A153" t="s">
        <v>919</v>
      </c>
      <c r="B153" t="s">
        <v>753</v>
      </c>
      <c r="C153" t="s">
        <v>750</v>
      </c>
    </row>
    <row r="154" spans="1:3" x14ac:dyDescent="0.25">
      <c r="A154" t="s">
        <v>953</v>
      </c>
      <c r="B154" t="s">
        <v>856</v>
      </c>
      <c r="C154" t="s">
        <v>857</v>
      </c>
    </row>
    <row r="155" spans="1:3" x14ac:dyDescent="0.25">
      <c r="A155" t="s">
        <v>889</v>
      </c>
      <c r="B155" t="s">
        <v>692</v>
      </c>
      <c r="C155" t="s">
        <v>191</v>
      </c>
    </row>
    <row r="156" spans="1:3" x14ac:dyDescent="0.25">
      <c r="A156" t="s">
        <v>954</v>
      </c>
      <c r="B156" t="s">
        <v>202</v>
      </c>
      <c r="C156" t="s">
        <v>200</v>
      </c>
    </row>
    <row r="157" spans="1:3" x14ac:dyDescent="0.25">
      <c r="A157" t="s">
        <v>888</v>
      </c>
      <c r="B157" t="s">
        <v>695</v>
      </c>
      <c r="C157" t="s">
        <v>208</v>
      </c>
    </row>
    <row r="158" spans="1:3" x14ac:dyDescent="0.25">
      <c r="A158" t="s">
        <v>888</v>
      </c>
      <c r="B158" t="s">
        <v>697</v>
      </c>
      <c r="C158" t="s">
        <v>208</v>
      </c>
    </row>
    <row r="159" spans="1:3" x14ac:dyDescent="0.25">
      <c r="A159" t="s">
        <v>955</v>
      </c>
      <c r="B159" t="s">
        <v>699</v>
      </c>
      <c r="C159" t="s">
        <v>214</v>
      </c>
    </row>
    <row r="160" spans="1:3" x14ac:dyDescent="0.25">
      <c r="A160" t="s">
        <v>956</v>
      </c>
      <c r="B160" t="s">
        <v>809</v>
      </c>
      <c r="C160" t="s">
        <v>810</v>
      </c>
    </row>
    <row r="161" spans="1:3" x14ac:dyDescent="0.25">
      <c r="A161" t="s">
        <v>891</v>
      </c>
      <c r="B161" t="s">
        <v>701</v>
      </c>
      <c r="C161" t="s">
        <v>203</v>
      </c>
    </row>
    <row r="162" spans="1:3" x14ac:dyDescent="0.25">
      <c r="A162" t="s">
        <v>955</v>
      </c>
      <c r="B162" t="s">
        <v>703</v>
      </c>
      <c r="C162" t="s">
        <v>214</v>
      </c>
    </row>
    <row r="163" spans="1:3" x14ac:dyDescent="0.25">
      <c r="A163" t="s">
        <v>957</v>
      </c>
      <c r="B163" t="s">
        <v>745</v>
      </c>
      <c r="C163" t="s">
        <v>746</v>
      </c>
    </row>
    <row r="164" spans="1:3" x14ac:dyDescent="0.25">
      <c r="A164" t="s">
        <v>956</v>
      </c>
      <c r="B164" t="s">
        <v>811</v>
      </c>
      <c r="C164" t="s">
        <v>810</v>
      </c>
    </row>
    <row r="165" spans="1:3" x14ac:dyDescent="0.25">
      <c r="A165" t="s">
        <v>888</v>
      </c>
      <c r="B165" t="s">
        <v>705</v>
      </c>
      <c r="C165" t="s">
        <v>208</v>
      </c>
    </row>
    <row r="166" spans="1:3" x14ac:dyDescent="0.25">
      <c r="A166" t="s">
        <v>919</v>
      </c>
      <c r="B166" t="s">
        <v>754</v>
      </c>
      <c r="C166" t="s">
        <v>750</v>
      </c>
    </row>
    <row r="167" spans="1:3" x14ac:dyDescent="0.25">
      <c r="A167" t="s">
        <v>958</v>
      </c>
      <c r="B167" t="s">
        <v>219</v>
      </c>
      <c r="C167" t="s">
        <v>217</v>
      </c>
    </row>
    <row r="168" spans="1:3" x14ac:dyDescent="0.25">
      <c r="A168" t="s">
        <v>959</v>
      </c>
      <c r="B168" t="s">
        <v>792</v>
      </c>
      <c r="C168" t="s">
        <v>793</v>
      </c>
    </row>
    <row r="169" spans="1:3" x14ac:dyDescent="0.25">
      <c r="A169" t="s">
        <v>888</v>
      </c>
      <c r="B169" t="s">
        <v>708</v>
      </c>
      <c r="C169" t="s">
        <v>208</v>
      </c>
    </row>
    <row r="170" spans="1:3" x14ac:dyDescent="0.25">
      <c r="A170" t="s">
        <v>888</v>
      </c>
      <c r="B170" t="s">
        <v>710</v>
      </c>
      <c r="C170" t="s">
        <v>208</v>
      </c>
    </row>
    <row r="171" spans="1:3" x14ac:dyDescent="0.25">
      <c r="A171" t="s">
        <v>889</v>
      </c>
      <c r="B171" t="s">
        <v>712</v>
      </c>
      <c r="C171" t="s">
        <v>191</v>
      </c>
    </row>
    <row r="172" spans="1:3" x14ac:dyDescent="0.25">
      <c r="A172" t="s">
        <v>891</v>
      </c>
      <c r="B172" t="s">
        <v>714</v>
      </c>
      <c r="C172" t="s">
        <v>203</v>
      </c>
    </row>
    <row r="173" spans="1:3" x14ac:dyDescent="0.25">
      <c r="A173" t="s">
        <v>888</v>
      </c>
      <c r="B173" t="s">
        <v>716</v>
      </c>
      <c r="C173" t="s">
        <v>208</v>
      </c>
    </row>
    <row r="174" spans="1:3" x14ac:dyDescent="0.25">
      <c r="A174" t="s">
        <v>960</v>
      </c>
      <c r="B174" t="s">
        <v>838</v>
      </c>
      <c r="C174" t="s">
        <v>839</v>
      </c>
    </row>
    <row r="175" spans="1:3" x14ac:dyDescent="0.25">
      <c r="A175" t="s">
        <v>950</v>
      </c>
      <c r="B175" t="s">
        <v>718</v>
      </c>
      <c r="C175" t="s">
        <v>194</v>
      </c>
    </row>
    <row r="176" spans="1:3" x14ac:dyDescent="0.25">
      <c r="A176" t="s">
        <v>961</v>
      </c>
      <c r="B176" t="s">
        <v>840</v>
      </c>
      <c r="C176" t="s">
        <v>841</v>
      </c>
    </row>
    <row r="177" spans="1:3" x14ac:dyDescent="0.25">
      <c r="A177" t="s">
        <v>888</v>
      </c>
      <c r="B177" t="s">
        <v>720</v>
      </c>
      <c r="C177" t="s">
        <v>208</v>
      </c>
    </row>
    <row r="178" spans="1:3" x14ac:dyDescent="0.25">
      <c r="A178" t="s">
        <v>889</v>
      </c>
      <c r="B178" t="s">
        <v>722</v>
      </c>
      <c r="C178" t="s">
        <v>191</v>
      </c>
    </row>
    <row r="179" spans="1:3" x14ac:dyDescent="0.25">
      <c r="A179" t="s">
        <v>962</v>
      </c>
      <c r="B179" t="s">
        <v>755</v>
      </c>
      <c r="C179" t="s">
        <v>756</v>
      </c>
    </row>
    <row r="180" spans="1:3" x14ac:dyDescent="0.25">
      <c r="A180" t="s">
        <v>963</v>
      </c>
      <c r="B180" t="s">
        <v>747</v>
      </c>
      <c r="C180" t="s">
        <v>748</v>
      </c>
    </row>
    <row r="181" spans="1:3" x14ac:dyDescent="0.25">
      <c r="A181" t="s">
        <v>890</v>
      </c>
      <c r="B181" t="s">
        <v>724</v>
      </c>
      <c r="C181" t="s">
        <v>185</v>
      </c>
    </row>
    <row r="182" spans="1:3" x14ac:dyDescent="0.25">
      <c r="A182" t="s">
        <v>964</v>
      </c>
      <c r="B182" t="s">
        <v>762</v>
      </c>
      <c r="C182" t="s">
        <v>763</v>
      </c>
    </row>
    <row r="183" spans="1:3" x14ac:dyDescent="0.25">
      <c r="A183" t="s">
        <v>888</v>
      </c>
      <c r="B183" t="s">
        <v>726</v>
      </c>
      <c r="C183" t="s">
        <v>208</v>
      </c>
    </row>
    <row r="184" spans="1:3" x14ac:dyDescent="0.25">
      <c r="A184" t="s">
        <v>965</v>
      </c>
      <c r="B184" t="s">
        <v>844</v>
      </c>
      <c r="C184" t="s">
        <v>845</v>
      </c>
    </row>
    <row r="185" spans="1:3" x14ac:dyDescent="0.25">
      <c r="A185" t="s">
        <v>890</v>
      </c>
      <c r="B185" t="s">
        <v>728</v>
      </c>
      <c r="C185" t="s">
        <v>185</v>
      </c>
    </row>
    <row r="186" spans="1:3" x14ac:dyDescent="0.25">
      <c r="A186" t="s">
        <v>966</v>
      </c>
      <c r="B186" t="s">
        <v>829</v>
      </c>
      <c r="C186" t="s">
        <v>830</v>
      </c>
    </row>
    <row r="187" spans="1:3" x14ac:dyDescent="0.25">
      <c r="A187" t="s">
        <v>967</v>
      </c>
      <c r="B187" t="s">
        <v>801</v>
      </c>
      <c r="C187" t="s">
        <v>802</v>
      </c>
    </row>
    <row r="188" spans="1:3" x14ac:dyDescent="0.25">
      <c r="A188" t="s">
        <v>968</v>
      </c>
      <c r="B188" t="s">
        <v>842</v>
      </c>
      <c r="C188" t="s">
        <v>843</v>
      </c>
    </row>
    <row r="189" spans="1:3" x14ac:dyDescent="0.25">
      <c r="A189" t="s">
        <v>889</v>
      </c>
      <c r="B189" t="s">
        <v>730</v>
      </c>
      <c r="C189" t="s">
        <v>191</v>
      </c>
    </row>
    <row r="190" spans="1:3" x14ac:dyDescent="0.25">
      <c r="A190" t="s">
        <v>969</v>
      </c>
      <c r="B190" t="s">
        <v>794</v>
      </c>
      <c r="C190" t="s">
        <v>795</v>
      </c>
    </row>
    <row r="191" spans="1:3" x14ac:dyDescent="0.25">
      <c r="A191" t="s">
        <v>888</v>
      </c>
      <c r="B191" t="s">
        <v>732</v>
      </c>
      <c r="C191" t="s">
        <v>208</v>
      </c>
    </row>
    <row r="192" spans="1:3" x14ac:dyDescent="0.25">
      <c r="A192" t="s">
        <v>889</v>
      </c>
      <c r="B192" t="s">
        <v>734</v>
      </c>
      <c r="C192" t="s">
        <v>191</v>
      </c>
    </row>
    <row r="193" spans="1:3" x14ac:dyDescent="0.25">
      <c r="A193" t="s">
        <v>889</v>
      </c>
      <c r="B193" t="s">
        <v>736</v>
      </c>
      <c r="C193" t="s">
        <v>191</v>
      </c>
    </row>
    <row r="194" spans="1:3" x14ac:dyDescent="0.25">
      <c r="A194" t="s">
        <v>889</v>
      </c>
      <c r="B194" t="s">
        <v>738</v>
      </c>
      <c r="C194" t="s">
        <v>191</v>
      </c>
    </row>
    <row r="195" spans="1:3" x14ac:dyDescent="0.25">
      <c r="A195" t="s">
        <v>970</v>
      </c>
      <c r="B195" t="s">
        <v>760</v>
      </c>
      <c r="C195" t="s">
        <v>761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C237"/>
  <sheetViews>
    <sheetView zoomScaleNormal="100" workbookViewId="0">
      <pane ySplit="1" topLeftCell="A162" activePane="bottomLeft" state="frozen"/>
      <selection pane="bottomLeft" activeCell="A171" sqref="A171:C212"/>
    </sheetView>
  </sheetViews>
  <sheetFormatPr baseColWidth="10" defaultColWidth="11.453125" defaultRowHeight="12.5" x14ac:dyDescent="0.25"/>
  <cols>
    <col min="1" max="1" width="31.81640625" customWidth="1"/>
    <col min="2" max="2" width="31.453125" customWidth="1"/>
    <col min="3" max="3" width="198.6328125" customWidth="1"/>
  </cols>
  <sheetData>
    <row r="1" spans="1:3" s="5" customFormat="1" ht="13" x14ac:dyDescent="0.3">
      <c r="A1" s="5" t="s">
        <v>971</v>
      </c>
      <c r="B1" s="5" t="s">
        <v>972</v>
      </c>
      <c r="C1" s="5" t="s">
        <v>973</v>
      </c>
    </row>
    <row r="2" spans="1:3" hidden="1" x14ac:dyDescent="0.25">
      <c r="A2" t="s">
        <v>974</v>
      </c>
      <c r="B2" t="s">
        <v>431</v>
      </c>
      <c r="C2" t="s">
        <v>975</v>
      </c>
    </row>
    <row r="3" spans="1:3" hidden="1" x14ac:dyDescent="0.25">
      <c r="A3" t="s">
        <v>976</v>
      </c>
      <c r="B3" t="s">
        <v>358</v>
      </c>
      <c r="C3" t="s">
        <v>977</v>
      </c>
    </row>
    <row r="4" spans="1:3" hidden="1" x14ac:dyDescent="0.25">
      <c r="A4" t="s">
        <v>978</v>
      </c>
      <c r="B4" t="s">
        <v>426</v>
      </c>
      <c r="C4" t="s">
        <v>979</v>
      </c>
    </row>
    <row r="5" spans="1:3" hidden="1" x14ac:dyDescent="0.25">
      <c r="A5" t="s">
        <v>980</v>
      </c>
      <c r="B5" t="s">
        <v>367</v>
      </c>
      <c r="C5" t="s">
        <v>981</v>
      </c>
    </row>
    <row r="6" spans="1:3" hidden="1" x14ac:dyDescent="0.25">
      <c r="A6" t="s">
        <v>982</v>
      </c>
      <c r="B6" t="s">
        <v>385</v>
      </c>
      <c r="C6" t="s">
        <v>983</v>
      </c>
    </row>
    <row r="7" spans="1:3" hidden="1" x14ac:dyDescent="0.25">
      <c r="A7" t="s">
        <v>984</v>
      </c>
      <c r="B7" t="s">
        <v>257</v>
      </c>
      <c r="C7" t="s">
        <v>985</v>
      </c>
    </row>
    <row r="8" spans="1:3" hidden="1" x14ac:dyDescent="0.25">
      <c r="A8" t="s">
        <v>986</v>
      </c>
      <c r="B8" t="s">
        <v>375</v>
      </c>
      <c r="C8" t="s">
        <v>987</v>
      </c>
    </row>
    <row r="9" spans="1:3" hidden="1" x14ac:dyDescent="0.25">
      <c r="A9" t="s">
        <v>988</v>
      </c>
      <c r="B9" t="s">
        <v>326</v>
      </c>
      <c r="C9" t="s">
        <v>989</v>
      </c>
    </row>
    <row r="10" spans="1:3" hidden="1" x14ac:dyDescent="0.25">
      <c r="A10" t="s">
        <v>990</v>
      </c>
      <c r="B10" t="s">
        <v>438</v>
      </c>
      <c r="C10" t="s">
        <v>991</v>
      </c>
    </row>
    <row r="11" spans="1:3" hidden="1" x14ac:dyDescent="0.25">
      <c r="A11" t="s">
        <v>992</v>
      </c>
      <c r="B11" t="s">
        <v>256</v>
      </c>
      <c r="C11" t="s">
        <v>993</v>
      </c>
    </row>
    <row r="12" spans="1:3" hidden="1" x14ac:dyDescent="0.25">
      <c r="A12" t="s">
        <v>994</v>
      </c>
      <c r="B12" t="s">
        <v>387</v>
      </c>
      <c r="C12" t="s">
        <v>995</v>
      </c>
    </row>
    <row r="13" spans="1:3" hidden="1" x14ac:dyDescent="0.25">
      <c r="A13" t="s">
        <v>996</v>
      </c>
      <c r="B13" t="s">
        <v>484</v>
      </c>
      <c r="C13" t="s">
        <v>997</v>
      </c>
    </row>
    <row r="14" spans="1:3" hidden="1" x14ac:dyDescent="0.25">
      <c r="A14" t="s">
        <v>998</v>
      </c>
      <c r="B14" t="s">
        <v>251</v>
      </c>
      <c r="C14" t="s">
        <v>999</v>
      </c>
    </row>
    <row r="15" spans="1:3" hidden="1" x14ac:dyDescent="0.25">
      <c r="A15" t="s">
        <v>1000</v>
      </c>
      <c r="B15" t="s">
        <v>319</v>
      </c>
      <c r="C15" t="s">
        <v>1001</v>
      </c>
    </row>
    <row r="16" spans="1:3" hidden="1" x14ac:dyDescent="0.25">
      <c r="A16" t="s">
        <v>1002</v>
      </c>
      <c r="B16" t="s">
        <v>307</v>
      </c>
      <c r="C16" t="s">
        <v>1003</v>
      </c>
    </row>
    <row r="17" spans="1:3" hidden="1" x14ac:dyDescent="0.25">
      <c r="A17" t="s">
        <v>1004</v>
      </c>
      <c r="B17" t="s">
        <v>429</v>
      </c>
      <c r="C17" t="s">
        <v>1005</v>
      </c>
    </row>
    <row r="18" spans="1:3" hidden="1" x14ac:dyDescent="0.25">
      <c r="A18" t="s">
        <v>1006</v>
      </c>
      <c r="B18" t="s">
        <v>414</v>
      </c>
      <c r="C18" t="s">
        <v>1007</v>
      </c>
    </row>
    <row r="19" spans="1:3" hidden="1" x14ac:dyDescent="0.25">
      <c r="A19" t="s">
        <v>1008</v>
      </c>
      <c r="B19" t="s">
        <v>404</v>
      </c>
      <c r="C19" t="s">
        <v>1009</v>
      </c>
    </row>
    <row r="20" spans="1:3" hidden="1" x14ac:dyDescent="0.25">
      <c r="A20" t="s">
        <v>1010</v>
      </c>
      <c r="B20" t="s">
        <v>383</v>
      </c>
      <c r="C20" t="s">
        <v>1011</v>
      </c>
    </row>
    <row r="21" spans="1:3" hidden="1" x14ac:dyDescent="0.25">
      <c r="A21" t="s">
        <v>1012</v>
      </c>
      <c r="B21" t="s">
        <v>267</v>
      </c>
      <c r="C21" t="s">
        <v>1013</v>
      </c>
    </row>
    <row r="22" spans="1:3" hidden="1" x14ac:dyDescent="0.25">
      <c r="A22" t="s">
        <v>1014</v>
      </c>
      <c r="B22" t="s">
        <v>286</v>
      </c>
      <c r="C22" t="s">
        <v>1015</v>
      </c>
    </row>
    <row r="23" spans="1:3" hidden="1" x14ac:dyDescent="0.25">
      <c r="A23" t="s">
        <v>1016</v>
      </c>
      <c r="B23" t="s">
        <v>289</v>
      </c>
      <c r="C23" t="s">
        <v>1017</v>
      </c>
    </row>
    <row r="24" spans="1:3" hidden="1" x14ac:dyDescent="0.25">
      <c r="A24" t="s">
        <v>1018</v>
      </c>
      <c r="B24" t="s">
        <v>444</v>
      </c>
      <c r="C24" t="s">
        <v>1019</v>
      </c>
    </row>
    <row r="25" spans="1:3" hidden="1" x14ac:dyDescent="0.25">
      <c r="A25" t="s">
        <v>1020</v>
      </c>
      <c r="B25" t="s">
        <v>348</v>
      </c>
      <c r="C25" t="s">
        <v>1021</v>
      </c>
    </row>
    <row r="26" spans="1:3" hidden="1" x14ac:dyDescent="0.25">
      <c r="A26" t="s">
        <v>1022</v>
      </c>
      <c r="B26" t="s">
        <v>435</v>
      </c>
      <c r="C26" t="s">
        <v>1023</v>
      </c>
    </row>
    <row r="27" spans="1:3" hidden="1" x14ac:dyDescent="0.25">
      <c r="A27" t="s">
        <v>1024</v>
      </c>
      <c r="B27" t="s">
        <v>283</v>
      </c>
      <c r="C27" t="s">
        <v>1025</v>
      </c>
    </row>
    <row r="28" spans="1:3" hidden="1" x14ac:dyDescent="0.25">
      <c r="A28" t="s">
        <v>1026</v>
      </c>
      <c r="B28" t="s">
        <v>403</v>
      </c>
      <c r="C28" t="s">
        <v>1027</v>
      </c>
    </row>
    <row r="29" spans="1:3" hidden="1" x14ac:dyDescent="0.25">
      <c r="A29" t="s">
        <v>1028</v>
      </c>
      <c r="B29" t="s">
        <v>403</v>
      </c>
      <c r="C29" t="s">
        <v>1027</v>
      </c>
    </row>
    <row r="30" spans="1:3" hidden="1" x14ac:dyDescent="0.25">
      <c r="A30" t="s">
        <v>1029</v>
      </c>
      <c r="B30" t="s">
        <v>466</v>
      </c>
      <c r="C30" t="s">
        <v>1030</v>
      </c>
    </row>
    <row r="31" spans="1:3" hidden="1" x14ac:dyDescent="0.25">
      <c r="A31" t="s">
        <v>1031</v>
      </c>
      <c r="B31" t="s">
        <v>245</v>
      </c>
      <c r="C31" t="s">
        <v>909</v>
      </c>
    </row>
    <row r="32" spans="1:3" hidden="1" x14ac:dyDescent="0.25">
      <c r="A32" t="s">
        <v>1032</v>
      </c>
      <c r="B32" t="s">
        <v>272</v>
      </c>
      <c r="C32" t="s">
        <v>1033</v>
      </c>
    </row>
    <row r="33" spans="1:3" hidden="1" x14ac:dyDescent="0.25">
      <c r="A33" t="s">
        <v>1034</v>
      </c>
      <c r="B33" t="s">
        <v>357</v>
      </c>
      <c r="C33" t="s">
        <v>1035</v>
      </c>
    </row>
    <row r="34" spans="1:3" hidden="1" x14ac:dyDescent="0.25">
      <c r="A34" t="s">
        <v>1036</v>
      </c>
      <c r="B34" t="s">
        <v>226</v>
      </c>
      <c r="C34" t="s">
        <v>902</v>
      </c>
    </row>
    <row r="35" spans="1:3" hidden="1" x14ac:dyDescent="0.25">
      <c r="A35" t="s">
        <v>1037</v>
      </c>
      <c r="B35" t="s">
        <v>457</v>
      </c>
      <c r="C35" t="s">
        <v>1038</v>
      </c>
    </row>
    <row r="36" spans="1:3" hidden="1" x14ac:dyDescent="0.25">
      <c r="A36" t="s">
        <v>1039</v>
      </c>
      <c r="B36" t="s">
        <v>309</v>
      </c>
      <c r="C36" t="s">
        <v>1040</v>
      </c>
    </row>
    <row r="37" spans="1:3" hidden="1" x14ac:dyDescent="0.25">
      <c r="A37" t="s">
        <v>1041</v>
      </c>
      <c r="B37" t="s">
        <v>475</v>
      </c>
      <c r="C37" t="s">
        <v>1042</v>
      </c>
    </row>
    <row r="38" spans="1:3" hidden="1" x14ac:dyDescent="0.25">
      <c r="A38" t="s">
        <v>1043</v>
      </c>
      <c r="B38" t="s">
        <v>240</v>
      </c>
      <c r="C38" t="s">
        <v>905</v>
      </c>
    </row>
    <row r="39" spans="1:3" hidden="1" x14ac:dyDescent="0.25">
      <c r="A39" t="s">
        <v>1044</v>
      </c>
      <c r="B39" t="s">
        <v>418</v>
      </c>
      <c r="C39" t="s">
        <v>1045</v>
      </c>
    </row>
    <row r="40" spans="1:3" hidden="1" x14ac:dyDescent="0.25">
      <c r="A40" t="s">
        <v>1046</v>
      </c>
      <c r="B40" t="s">
        <v>423</v>
      </c>
      <c r="C40" t="s">
        <v>1047</v>
      </c>
    </row>
    <row r="41" spans="1:3" hidden="1" x14ac:dyDescent="0.25">
      <c r="A41" t="s">
        <v>1048</v>
      </c>
      <c r="B41" t="s">
        <v>463</v>
      </c>
      <c r="C41" t="s">
        <v>1049</v>
      </c>
    </row>
    <row r="42" spans="1:3" hidden="1" x14ac:dyDescent="0.25">
      <c r="A42" t="s">
        <v>1050</v>
      </c>
      <c r="B42" t="s">
        <v>302</v>
      </c>
      <c r="C42" t="s">
        <v>1051</v>
      </c>
    </row>
    <row r="43" spans="1:3" hidden="1" x14ac:dyDescent="0.25">
      <c r="A43" t="s">
        <v>1052</v>
      </c>
      <c r="B43" t="s">
        <v>293</v>
      </c>
      <c r="C43" t="s">
        <v>1053</v>
      </c>
    </row>
    <row r="44" spans="1:3" hidden="1" x14ac:dyDescent="0.25">
      <c r="A44" t="s">
        <v>1054</v>
      </c>
      <c r="B44" t="s">
        <v>450</v>
      </c>
      <c r="C44" t="s">
        <v>1055</v>
      </c>
    </row>
    <row r="45" spans="1:3" hidden="1" x14ac:dyDescent="0.25">
      <c r="A45" t="s">
        <v>1056</v>
      </c>
      <c r="B45" t="s">
        <v>300</v>
      </c>
      <c r="C45" t="s">
        <v>1057</v>
      </c>
    </row>
    <row r="46" spans="1:3" hidden="1" x14ac:dyDescent="0.25">
      <c r="A46" t="s">
        <v>1058</v>
      </c>
      <c r="B46" t="s">
        <v>446</v>
      </c>
      <c r="C46" t="s">
        <v>1059</v>
      </c>
    </row>
    <row r="47" spans="1:3" hidden="1" x14ac:dyDescent="0.25">
      <c r="A47" t="s">
        <v>1060</v>
      </c>
      <c r="B47" t="s">
        <v>446</v>
      </c>
      <c r="C47" t="s">
        <v>1059</v>
      </c>
    </row>
    <row r="48" spans="1:3" hidden="1" x14ac:dyDescent="0.25">
      <c r="A48" t="s">
        <v>1061</v>
      </c>
      <c r="B48" t="s">
        <v>292</v>
      </c>
      <c r="C48" t="s">
        <v>1062</v>
      </c>
    </row>
    <row r="49" spans="1:3" hidden="1" x14ac:dyDescent="0.25">
      <c r="A49" t="s">
        <v>1063</v>
      </c>
      <c r="B49" t="s">
        <v>277</v>
      </c>
      <c r="C49" t="s">
        <v>1064</v>
      </c>
    </row>
    <row r="50" spans="1:3" hidden="1" x14ac:dyDescent="0.25">
      <c r="A50" t="s">
        <v>1065</v>
      </c>
      <c r="B50" t="s">
        <v>279</v>
      </c>
      <c r="C50" t="s">
        <v>1066</v>
      </c>
    </row>
    <row r="51" spans="1:3" hidden="1" x14ac:dyDescent="0.25">
      <c r="A51" t="s">
        <v>1067</v>
      </c>
      <c r="B51" t="s">
        <v>473</v>
      </c>
      <c r="C51" t="s">
        <v>1068</v>
      </c>
    </row>
    <row r="52" spans="1:3" hidden="1" x14ac:dyDescent="0.25">
      <c r="A52" t="s">
        <v>1069</v>
      </c>
      <c r="B52" t="s">
        <v>490</v>
      </c>
      <c r="C52" t="s">
        <v>1070</v>
      </c>
    </row>
    <row r="53" spans="1:3" hidden="1" x14ac:dyDescent="0.25">
      <c r="A53" t="s">
        <v>1071</v>
      </c>
      <c r="B53" t="s">
        <v>329</v>
      </c>
      <c r="C53" t="s">
        <v>1072</v>
      </c>
    </row>
    <row r="54" spans="1:3" hidden="1" x14ac:dyDescent="0.25">
      <c r="A54" t="s">
        <v>1073</v>
      </c>
      <c r="B54" t="s">
        <v>407</v>
      </c>
      <c r="C54" t="s">
        <v>1074</v>
      </c>
    </row>
    <row r="55" spans="1:3" hidden="1" x14ac:dyDescent="0.25">
      <c r="A55" t="s">
        <v>1075</v>
      </c>
      <c r="B55" t="s">
        <v>413</v>
      </c>
      <c r="C55" t="s">
        <v>1076</v>
      </c>
    </row>
    <row r="56" spans="1:3" hidden="1" x14ac:dyDescent="0.25">
      <c r="A56" t="s">
        <v>1077</v>
      </c>
      <c r="B56" t="s">
        <v>410</v>
      </c>
      <c r="C56" t="s">
        <v>1078</v>
      </c>
    </row>
    <row r="57" spans="1:3" hidden="1" x14ac:dyDescent="0.25">
      <c r="A57" t="s">
        <v>1079</v>
      </c>
      <c r="B57" t="s">
        <v>188</v>
      </c>
      <c r="C57" t="s">
        <v>906</v>
      </c>
    </row>
    <row r="58" spans="1:3" hidden="1" x14ac:dyDescent="0.25">
      <c r="A58" t="s">
        <v>1080</v>
      </c>
      <c r="B58" t="s">
        <v>188</v>
      </c>
      <c r="C58" t="s">
        <v>906</v>
      </c>
    </row>
    <row r="59" spans="1:3" hidden="1" x14ac:dyDescent="0.25">
      <c r="A59" t="s">
        <v>1081</v>
      </c>
      <c r="B59" t="s">
        <v>188</v>
      </c>
      <c r="C59" t="s">
        <v>906</v>
      </c>
    </row>
    <row r="60" spans="1:3" hidden="1" x14ac:dyDescent="0.25">
      <c r="A60" t="s">
        <v>1082</v>
      </c>
      <c r="B60" t="s">
        <v>353</v>
      </c>
      <c r="C60" t="s">
        <v>1083</v>
      </c>
    </row>
    <row r="61" spans="1:3" hidden="1" x14ac:dyDescent="0.25">
      <c r="A61" t="s">
        <v>1084</v>
      </c>
      <c r="B61" t="s">
        <v>287</v>
      </c>
      <c r="C61" t="s">
        <v>1085</v>
      </c>
    </row>
    <row r="62" spans="1:3" hidden="1" x14ac:dyDescent="0.25">
      <c r="A62" t="s">
        <v>1086</v>
      </c>
      <c r="B62" t="s">
        <v>470</v>
      </c>
      <c r="C62" t="s">
        <v>1087</v>
      </c>
    </row>
    <row r="63" spans="1:3" hidden="1" x14ac:dyDescent="0.25">
      <c r="A63" t="s">
        <v>1088</v>
      </c>
      <c r="B63" t="s">
        <v>261</v>
      </c>
      <c r="C63" t="s">
        <v>1089</v>
      </c>
    </row>
    <row r="64" spans="1:3" hidden="1" x14ac:dyDescent="0.25">
      <c r="A64" t="s">
        <v>1090</v>
      </c>
      <c r="B64" t="s">
        <v>395</v>
      </c>
      <c r="C64" t="s">
        <v>1091</v>
      </c>
    </row>
    <row r="65" spans="1:3" hidden="1" x14ac:dyDescent="0.25">
      <c r="A65" t="s">
        <v>1092</v>
      </c>
      <c r="B65" t="s">
        <v>322</v>
      </c>
      <c r="C65" t="s">
        <v>1093</v>
      </c>
    </row>
    <row r="66" spans="1:3" hidden="1" x14ac:dyDescent="0.25">
      <c r="A66" t="s">
        <v>1094</v>
      </c>
      <c r="B66" t="s">
        <v>252</v>
      </c>
      <c r="C66" t="s">
        <v>1095</v>
      </c>
    </row>
    <row r="67" spans="1:3" hidden="1" x14ac:dyDescent="0.25">
      <c r="A67" t="s">
        <v>1096</v>
      </c>
      <c r="B67" t="s">
        <v>262</v>
      </c>
      <c r="C67" t="s">
        <v>1097</v>
      </c>
    </row>
    <row r="68" spans="1:3" hidden="1" x14ac:dyDescent="0.25">
      <c r="A68" t="s">
        <v>1098</v>
      </c>
      <c r="B68" t="s">
        <v>340</v>
      </c>
      <c r="C68" t="s">
        <v>1099</v>
      </c>
    </row>
    <row r="69" spans="1:3" hidden="1" x14ac:dyDescent="0.25">
      <c r="A69" t="s">
        <v>1100</v>
      </c>
      <c r="B69" t="s">
        <v>376</v>
      </c>
      <c r="C69" t="s">
        <v>1101</v>
      </c>
    </row>
    <row r="70" spans="1:3" hidden="1" x14ac:dyDescent="0.25">
      <c r="A70" t="s">
        <v>1102</v>
      </c>
      <c r="B70" t="s">
        <v>347</v>
      </c>
      <c r="C70" t="s">
        <v>1103</v>
      </c>
    </row>
    <row r="71" spans="1:3" hidden="1" x14ac:dyDescent="0.25">
      <c r="A71" t="s">
        <v>1104</v>
      </c>
      <c r="B71" t="s">
        <v>384</v>
      </c>
      <c r="C71" t="s">
        <v>1105</v>
      </c>
    </row>
    <row r="72" spans="1:3" hidden="1" x14ac:dyDescent="0.25">
      <c r="A72" t="s">
        <v>1106</v>
      </c>
      <c r="B72" t="s">
        <v>259</v>
      </c>
      <c r="C72" t="s">
        <v>1107</v>
      </c>
    </row>
    <row r="73" spans="1:3" hidden="1" x14ac:dyDescent="0.25">
      <c r="A73" t="s">
        <v>1108</v>
      </c>
      <c r="B73" t="s">
        <v>304</v>
      </c>
      <c r="C73" t="s">
        <v>1109</v>
      </c>
    </row>
    <row r="74" spans="1:3" hidden="1" x14ac:dyDescent="0.25">
      <c r="A74" t="s">
        <v>1110</v>
      </c>
      <c r="B74" t="s">
        <v>304</v>
      </c>
      <c r="C74" t="s">
        <v>1109</v>
      </c>
    </row>
    <row r="75" spans="1:3" hidden="1" x14ac:dyDescent="0.25">
      <c r="A75" t="s">
        <v>1111</v>
      </c>
      <c r="B75" t="s">
        <v>200</v>
      </c>
      <c r="C75" t="s">
        <v>954</v>
      </c>
    </row>
    <row r="76" spans="1:3" hidden="1" x14ac:dyDescent="0.25">
      <c r="A76" t="s">
        <v>1112</v>
      </c>
      <c r="B76" t="s">
        <v>200</v>
      </c>
      <c r="C76" t="s">
        <v>954</v>
      </c>
    </row>
    <row r="77" spans="1:3" hidden="1" x14ac:dyDescent="0.25">
      <c r="A77" t="s">
        <v>1113</v>
      </c>
      <c r="B77" t="s">
        <v>439</v>
      </c>
      <c r="C77" t="s">
        <v>1114</v>
      </c>
    </row>
    <row r="78" spans="1:3" hidden="1" x14ac:dyDescent="0.25">
      <c r="A78" t="s">
        <v>1115</v>
      </c>
      <c r="B78" t="s">
        <v>314</v>
      </c>
      <c r="C78" t="s">
        <v>1116</v>
      </c>
    </row>
    <row r="79" spans="1:3" hidden="1" x14ac:dyDescent="0.25">
      <c r="A79" t="s">
        <v>1117</v>
      </c>
      <c r="B79" t="s">
        <v>314</v>
      </c>
      <c r="C79" t="s">
        <v>1116</v>
      </c>
    </row>
    <row r="80" spans="1:3" hidden="1" x14ac:dyDescent="0.25">
      <c r="A80" t="s">
        <v>1118</v>
      </c>
      <c r="B80" t="s">
        <v>274</v>
      </c>
      <c r="C80" t="s">
        <v>1119</v>
      </c>
    </row>
    <row r="81" spans="1:3" hidden="1" x14ac:dyDescent="0.25">
      <c r="A81" t="s">
        <v>1120</v>
      </c>
      <c r="B81" t="s">
        <v>398</v>
      </c>
      <c r="C81" t="s">
        <v>1121</v>
      </c>
    </row>
    <row r="82" spans="1:3" hidden="1" x14ac:dyDescent="0.25">
      <c r="A82" t="s">
        <v>1122</v>
      </c>
      <c r="B82" t="s">
        <v>425</v>
      </c>
      <c r="C82" t="s">
        <v>1123</v>
      </c>
    </row>
    <row r="83" spans="1:3" hidden="1" x14ac:dyDescent="0.25">
      <c r="A83" t="s">
        <v>1124</v>
      </c>
      <c r="B83" t="s">
        <v>420</v>
      </c>
      <c r="C83" t="s">
        <v>1125</v>
      </c>
    </row>
    <row r="84" spans="1:3" hidden="1" x14ac:dyDescent="0.25">
      <c r="A84" t="s">
        <v>1126</v>
      </c>
      <c r="B84" t="s">
        <v>420</v>
      </c>
      <c r="C84" t="s">
        <v>1125</v>
      </c>
    </row>
    <row r="85" spans="1:3" hidden="1" x14ac:dyDescent="0.25">
      <c r="A85" t="s">
        <v>1127</v>
      </c>
      <c r="B85" t="s">
        <v>420</v>
      </c>
      <c r="C85" t="s">
        <v>1125</v>
      </c>
    </row>
    <row r="86" spans="1:3" hidden="1" x14ac:dyDescent="0.25">
      <c r="A86" t="s">
        <v>1128</v>
      </c>
      <c r="B86" t="s">
        <v>264</v>
      </c>
      <c r="C86" t="s">
        <v>1129</v>
      </c>
    </row>
    <row r="87" spans="1:3" hidden="1" x14ac:dyDescent="0.25">
      <c r="A87" t="s">
        <v>1130</v>
      </c>
      <c r="B87" t="s">
        <v>258</v>
      </c>
      <c r="C87" t="s">
        <v>1131</v>
      </c>
    </row>
    <row r="88" spans="1:3" hidden="1" x14ac:dyDescent="0.25">
      <c r="A88" t="s">
        <v>1132</v>
      </c>
      <c r="B88" t="s">
        <v>229</v>
      </c>
      <c r="C88" t="s">
        <v>892</v>
      </c>
    </row>
    <row r="89" spans="1:3" hidden="1" x14ac:dyDescent="0.25">
      <c r="A89" t="s">
        <v>1133</v>
      </c>
      <c r="B89" t="s">
        <v>299</v>
      </c>
      <c r="C89" t="s">
        <v>1134</v>
      </c>
    </row>
    <row r="90" spans="1:3" hidden="1" x14ac:dyDescent="0.25">
      <c r="A90" t="s">
        <v>1135</v>
      </c>
      <c r="B90" t="s">
        <v>455</v>
      </c>
      <c r="C90" t="s">
        <v>1136</v>
      </c>
    </row>
    <row r="91" spans="1:3" hidden="1" x14ac:dyDescent="0.25">
      <c r="A91" t="s">
        <v>1137</v>
      </c>
      <c r="B91" t="s">
        <v>380</v>
      </c>
      <c r="C91" t="s">
        <v>1138</v>
      </c>
    </row>
    <row r="92" spans="1:3" hidden="1" x14ac:dyDescent="0.25">
      <c r="A92" t="s">
        <v>1139</v>
      </c>
      <c r="B92" t="s">
        <v>379</v>
      </c>
      <c r="C92" t="s">
        <v>1140</v>
      </c>
    </row>
    <row r="93" spans="1:3" hidden="1" x14ac:dyDescent="0.25">
      <c r="A93" t="s">
        <v>1141</v>
      </c>
      <c r="B93" t="s">
        <v>203</v>
      </c>
      <c r="C93" t="s">
        <v>891</v>
      </c>
    </row>
    <row r="94" spans="1:3" hidden="1" x14ac:dyDescent="0.25">
      <c r="A94" t="s">
        <v>1142</v>
      </c>
      <c r="B94" t="s">
        <v>424</v>
      </c>
      <c r="C94" t="s">
        <v>1143</v>
      </c>
    </row>
    <row r="95" spans="1:3" hidden="1" x14ac:dyDescent="0.25">
      <c r="A95" t="s">
        <v>1144</v>
      </c>
      <c r="B95" t="s">
        <v>191</v>
      </c>
      <c r="C95" t="s">
        <v>889</v>
      </c>
    </row>
    <row r="96" spans="1:3" hidden="1" x14ac:dyDescent="0.25">
      <c r="A96" t="s">
        <v>1145</v>
      </c>
      <c r="B96" t="s">
        <v>432</v>
      </c>
      <c r="C96" t="s">
        <v>1146</v>
      </c>
    </row>
    <row r="97" spans="1:3" hidden="1" x14ac:dyDescent="0.25">
      <c r="A97" t="s">
        <v>1147</v>
      </c>
      <c r="B97" t="s">
        <v>479</v>
      </c>
      <c r="C97" t="s">
        <v>1148</v>
      </c>
    </row>
    <row r="98" spans="1:3" hidden="1" x14ac:dyDescent="0.25">
      <c r="A98" t="s">
        <v>1149</v>
      </c>
      <c r="B98" t="s">
        <v>417</v>
      </c>
      <c r="C98" t="s">
        <v>1150</v>
      </c>
    </row>
    <row r="99" spans="1:3" hidden="1" x14ac:dyDescent="0.25">
      <c r="A99" t="s">
        <v>1151</v>
      </c>
      <c r="B99" t="s">
        <v>471</v>
      </c>
      <c r="C99" t="s">
        <v>1152</v>
      </c>
    </row>
    <row r="100" spans="1:3" hidden="1" x14ac:dyDescent="0.25">
      <c r="A100" t="s">
        <v>1153</v>
      </c>
      <c r="B100" t="s">
        <v>400</v>
      </c>
      <c r="C100" t="s">
        <v>1154</v>
      </c>
    </row>
    <row r="101" spans="1:3" hidden="1" x14ac:dyDescent="0.25">
      <c r="A101" t="s">
        <v>1155</v>
      </c>
      <c r="B101" t="s">
        <v>291</v>
      </c>
      <c r="C101" t="s">
        <v>1156</v>
      </c>
    </row>
    <row r="102" spans="1:3" hidden="1" x14ac:dyDescent="0.25">
      <c r="A102" t="s">
        <v>1157</v>
      </c>
      <c r="B102" t="s">
        <v>451</v>
      </c>
      <c r="C102" t="s">
        <v>1158</v>
      </c>
    </row>
    <row r="103" spans="1:3" hidden="1" x14ac:dyDescent="0.25">
      <c r="A103" t="s">
        <v>1159</v>
      </c>
      <c r="B103" t="s">
        <v>312</v>
      </c>
      <c r="C103" t="s">
        <v>1160</v>
      </c>
    </row>
    <row r="104" spans="1:3" hidden="1" x14ac:dyDescent="0.25">
      <c r="A104" t="s">
        <v>1161</v>
      </c>
      <c r="B104" t="s">
        <v>310</v>
      </c>
      <c r="C104" t="s">
        <v>1162</v>
      </c>
    </row>
    <row r="105" spans="1:3" hidden="1" x14ac:dyDescent="0.25">
      <c r="A105" t="s">
        <v>1163</v>
      </c>
      <c r="B105" t="s">
        <v>214</v>
      </c>
      <c r="C105" t="s">
        <v>955</v>
      </c>
    </row>
    <row r="106" spans="1:3" hidden="1" x14ac:dyDescent="0.25">
      <c r="A106" t="s">
        <v>1164</v>
      </c>
      <c r="B106" t="s">
        <v>366</v>
      </c>
      <c r="C106" t="s">
        <v>1165</v>
      </c>
    </row>
    <row r="107" spans="1:3" hidden="1" x14ac:dyDescent="0.25">
      <c r="A107" t="s">
        <v>1166</v>
      </c>
      <c r="B107" t="s">
        <v>428</v>
      </c>
      <c r="C107" t="s">
        <v>1167</v>
      </c>
    </row>
    <row r="108" spans="1:3" hidden="1" x14ac:dyDescent="0.25">
      <c r="A108" t="s">
        <v>1168</v>
      </c>
      <c r="B108" t="s">
        <v>468</v>
      </c>
      <c r="C108" t="s">
        <v>1169</v>
      </c>
    </row>
    <row r="109" spans="1:3" hidden="1" x14ac:dyDescent="0.25">
      <c r="A109" t="s">
        <v>1170</v>
      </c>
      <c r="B109" t="s">
        <v>345</v>
      </c>
      <c r="C109" t="s">
        <v>1171</v>
      </c>
    </row>
    <row r="110" spans="1:3" hidden="1" x14ac:dyDescent="0.25">
      <c r="A110" t="s">
        <v>1172</v>
      </c>
      <c r="B110" t="s">
        <v>412</v>
      </c>
      <c r="C110" t="s">
        <v>1173</v>
      </c>
    </row>
    <row r="111" spans="1:3" hidden="1" x14ac:dyDescent="0.25">
      <c r="A111" t="s">
        <v>1174</v>
      </c>
      <c r="B111" t="s">
        <v>419</v>
      </c>
      <c r="C111" t="s">
        <v>1175</v>
      </c>
    </row>
    <row r="112" spans="1:3" hidden="1" x14ac:dyDescent="0.25">
      <c r="A112" t="s">
        <v>1176</v>
      </c>
      <c r="B112" t="s">
        <v>419</v>
      </c>
      <c r="C112" t="s">
        <v>1175</v>
      </c>
    </row>
    <row r="113" spans="1:3" hidden="1" x14ac:dyDescent="0.25">
      <c r="A113" t="s">
        <v>1177</v>
      </c>
      <c r="B113" t="s">
        <v>419</v>
      </c>
      <c r="C113" t="s">
        <v>1175</v>
      </c>
    </row>
    <row r="114" spans="1:3" hidden="1" x14ac:dyDescent="0.25">
      <c r="A114" t="s">
        <v>1178</v>
      </c>
      <c r="B114" t="s">
        <v>419</v>
      </c>
      <c r="C114" t="s">
        <v>1175</v>
      </c>
    </row>
    <row r="115" spans="1:3" hidden="1" x14ac:dyDescent="0.25">
      <c r="A115" t="s">
        <v>1179</v>
      </c>
      <c r="B115" t="s">
        <v>419</v>
      </c>
      <c r="C115" t="s">
        <v>1175</v>
      </c>
    </row>
    <row r="116" spans="1:3" hidden="1" x14ac:dyDescent="0.25">
      <c r="A116" t="s">
        <v>1180</v>
      </c>
      <c r="B116" t="s">
        <v>449</v>
      </c>
      <c r="C116" t="s">
        <v>1181</v>
      </c>
    </row>
    <row r="117" spans="1:3" hidden="1" x14ac:dyDescent="0.25">
      <c r="A117" t="s">
        <v>1182</v>
      </c>
      <c r="B117" t="s">
        <v>461</v>
      </c>
      <c r="C117" t="s">
        <v>1183</v>
      </c>
    </row>
    <row r="118" spans="1:3" hidden="1" x14ac:dyDescent="0.25">
      <c r="A118" t="s">
        <v>1184</v>
      </c>
      <c r="B118" t="s">
        <v>370</v>
      </c>
      <c r="C118" t="s">
        <v>1185</v>
      </c>
    </row>
    <row r="119" spans="1:3" hidden="1" x14ac:dyDescent="0.25">
      <c r="A119" t="s">
        <v>1186</v>
      </c>
      <c r="B119" t="s">
        <v>397</v>
      </c>
      <c r="C119" t="s">
        <v>1187</v>
      </c>
    </row>
    <row r="120" spans="1:3" hidden="1" x14ac:dyDescent="0.25">
      <c r="A120" t="s">
        <v>1188</v>
      </c>
      <c r="B120" t="s">
        <v>427</v>
      </c>
      <c r="C120" t="s">
        <v>1189</v>
      </c>
    </row>
    <row r="121" spans="1:3" hidden="1" x14ac:dyDescent="0.25">
      <c r="A121" t="s">
        <v>1190</v>
      </c>
      <c r="B121" t="s">
        <v>427</v>
      </c>
      <c r="C121" t="s">
        <v>1189</v>
      </c>
    </row>
    <row r="122" spans="1:3" hidden="1" x14ac:dyDescent="0.25">
      <c r="A122" t="s">
        <v>1191</v>
      </c>
      <c r="B122" t="s">
        <v>443</v>
      </c>
      <c r="C122" t="s">
        <v>1192</v>
      </c>
    </row>
    <row r="123" spans="1:3" hidden="1" x14ac:dyDescent="0.25">
      <c r="A123" t="s">
        <v>1193</v>
      </c>
      <c r="B123" t="s">
        <v>334</v>
      </c>
      <c r="C123" t="s">
        <v>1194</v>
      </c>
    </row>
    <row r="124" spans="1:3" hidden="1" x14ac:dyDescent="0.25">
      <c r="A124" t="s">
        <v>1195</v>
      </c>
      <c r="B124" t="s">
        <v>327</v>
      </c>
      <c r="C124" t="s">
        <v>1196</v>
      </c>
    </row>
    <row r="125" spans="1:3" hidden="1" x14ac:dyDescent="0.25">
      <c r="A125" t="s">
        <v>1197</v>
      </c>
      <c r="B125" t="s">
        <v>223</v>
      </c>
      <c r="C125" t="s">
        <v>922</v>
      </c>
    </row>
    <row r="126" spans="1:3" hidden="1" x14ac:dyDescent="0.25">
      <c r="A126" t="s">
        <v>1198</v>
      </c>
      <c r="B126" t="s">
        <v>441</v>
      </c>
      <c r="C126" t="s">
        <v>1199</v>
      </c>
    </row>
    <row r="127" spans="1:3" hidden="1" x14ac:dyDescent="0.25">
      <c r="A127" t="s">
        <v>1200</v>
      </c>
      <c r="B127" t="s">
        <v>364</v>
      </c>
      <c r="C127" t="s">
        <v>1201</v>
      </c>
    </row>
    <row r="128" spans="1:3" hidden="1" x14ac:dyDescent="0.25">
      <c r="A128" t="s">
        <v>1202</v>
      </c>
      <c r="B128" t="s">
        <v>320</v>
      </c>
      <c r="C128" t="s">
        <v>1203</v>
      </c>
    </row>
    <row r="129" spans="1:3" hidden="1" x14ac:dyDescent="0.25">
      <c r="A129" t="s">
        <v>1204</v>
      </c>
      <c r="B129" t="s">
        <v>344</v>
      </c>
      <c r="C129" t="s">
        <v>1205</v>
      </c>
    </row>
    <row r="130" spans="1:3" hidden="1" x14ac:dyDescent="0.25">
      <c r="A130" t="s">
        <v>1206</v>
      </c>
      <c r="B130" t="s">
        <v>447</v>
      </c>
      <c r="C130" t="s">
        <v>1207</v>
      </c>
    </row>
    <row r="131" spans="1:3" hidden="1" x14ac:dyDescent="0.25">
      <c r="A131" t="s">
        <v>1208</v>
      </c>
      <c r="B131" t="s">
        <v>330</v>
      </c>
      <c r="C131" t="s">
        <v>1209</v>
      </c>
    </row>
    <row r="132" spans="1:3" hidden="1" x14ac:dyDescent="0.25">
      <c r="A132" t="s">
        <v>1210</v>
      </c>
      <c r="B132" t="s">
        <v>330</v>
      </c>
      <c r="C132" t="s">
        <v>1209</v>
      </c>
    </row>
    <row r="133" spans="1:3" hidden="1" x14ac:dyDescent="0.25">
      <c r="A133" t="s">
        <v>1211</v>
      </c>
      <c r="B133" t="s">
        <v>465</v>
      </c>
      <c r="C133" t="s">
        <v>1212</v>
      </c>
    </row>
    <row r="134" spans="1:3" hidden="1" x14ac:dyDescent="0.25">
      <c r="A134" t="s">
        <v>1213</v>
      </c>
      <c r="B134" t="s">
        <v>378</v>
      </c>
      <c r="C134" t="s">
        <v>1214</v>
      </c>
    </row>
    <row r="135" spans="1:3" hidden="1" x14ac:dyDescent="0.25">
      <c r="A135" t="s">
        <v>1215</v>
      </c>
      <c r="B135" t="s">
        <v>458</v>
      </c>
      <c r="C135" t="s">
        <v>1216</v>
      </c>
    </row>
    <row r="136" spans="1:3" hidden="1" x14ac:dyDescent="0.25">
      <c r="A136" t="s">
        <v>1217</v>
      </c>
      <c r="B136" t="s">
        <v>391</v>
      </c>
      <c r="C136" t="s">
        <v>1218</v>
      </c>
    </row>
    <row r="137" spans="1:3" hidden="1" x14ac:dyDescent="0.25">
      <c r="A137" t="s">
        <v>1219</v>
      </c>
      <c r="B137" t="s">
        <v>335</v>
      </c>
      <c r="C137" t="s">
        <v>1220</v>
      </c>
    </row>
    <row r="138" spans="1:3" hidden="1" x14ac:dyDescent="0.25">
      <c r="A138" t="s">
        <v>1221</v>
      </c>
      <c r="B138" t="s">
        <v>374</v>
      </c>
      <c r="C138" t="s">
        <v>1222</v>
      </c>
    </row>
    <row r="139" spans="1:3" hidden="1" x14ac:dyDescent="0.25">
      <c r="A139" t="s">
        <v>1223</v>
      </c>
      <c r="B139" t="s">
        <v>248</v>
      </c>
      <c r="C139" t="s">
        <v>1224</v>
      </c>
    </row>
    <row r="140" spans="1:3" hidden="1" x14ac:dyDescent="0.25">
      <c r="A140" t="s">
        <v>1225</v>
      </c>
      <c r="B140" t="s">
        <v>486</v>
      </c>
      <c r="C140" t="s">
        <v>1226</v>
      </c>
    </row>
    <row r="141" spans="1:3" hidden="1" x14ac:dyDescent="0.25">
      <c r="A141" t="s">
        <v>1227</v>
      </c>
      <c r="B141" t="s">
        <v>194</v>
      </c>
      <c r="C141" t="s">
        <v>950</v>
      </c>
    </row>
    <row r="142" spans="1:3" hidden="1" x14ac:dyDescent="0.25">
      <c r="A142" t="s">
        <v>1228</v>
      </c>
      <c r="B142" t="s">
        <v>278</v>
      </c>
      <c r="C142" t="s">
        <v>1229</v>
      </c>
    </row>
    <row r="143" spans="1:3" hidden="1" x14ac:dyDescent="0.25">
      <c r="A143" t="s">
        <v>1230</v>
      </c>
      <c r="B143" t="s">
        <v>487</v>
      </c>
      <c r="C143" t="s">
        <v>1231</v>
      </c>
    </row>
    <row r="144" spans="1:3" hidden="1" x14ac:dyDescent="0.25">
      <c r="A144" t="s">
        <v>1232</v>
      </c>
      <c r="B144" t="s">
        <v>349</v>
      </c>
      <c r="C144" t="s">
        <v>1233</v>
      </c>
    </row>
    <row r="145" spans="1:3" hidden="1" x14ac:dyDescent="0.25">
      <c r="A145" t="s">
        <v>1234</v>
      </c>
      <c r="B145" t="s">
        <v>317</v>
      </c>
      <c r="C145" t="s">
        <v>1235</v>
      </c>
    </row>
    <row r="146" spans="1:3" hidden="1" x14ac:dyDescent="0.25">
      <c r="A146" t="s">
        <v>1236</v>
      </c>
      <c r="B146" t="s">
        <v>406</v>
      </c>
      <c r="C146" t="s">
        <v>1237</v>
      </c>
    </row>
    <row r="147" spans="1:3" hidden="1" x14ac:dyDescent="0.25">
      <c r="A147" t="s">
        <v>1238</v>
      </c>
      <c r="B147" t="s">
        <v>393</v>
      </c>
      <c r="C147" t="s">
        <v>1239</v>
      </c>
    </row>
    <row r="148" spans="1:3" hidden="1" x14ac:dyDescent="0.25">
      <c r="A148" t="s">
        <v>1240</v>
      </c>
      <c r="B148" t="s">
        <v>437</v>
      </c>
      <c r="C148" t="s">
        <v>1241</v>
      </c>
    </row>
    <row r="149" spans="1:3" hidden="1" x14ac:dyDescent="0.25">
      <c r="A149" t="s">
        <v>1242</v>
      </c>
      <c r="B149" t="s">
        <v>295</v>
      </c>
      <c r="C149" t="s">
        <v>1243</v>
      </c>
    </row>
    <row r="150" spans="1:3" hidden="1" x14ac:dyDescent="0.25">
      <c r="A150" t="s">
        <v>1244</v>
      </c>
      <c r="B150" t="s">
        <v>295</v>
      </c>
      <c r="C150" t="s">
        <v>1243</v>
      </c>
    </row>
    <row r="151" spans="1:3" hidden="1" x14ac:dyDescent="0.25">
      <c r="A151" t="s">
        <v>1245</v>
      </c>
      <c r="B151" t="s">
        <v>430</v>
      </c>
      <c r="C151" t="s">
        <v>1246</v>
      </c>
    </row>
    <row r="152" spans="1:3" hidden="1" x14ac:dyDescent="0.25">
      <c r="A152" t="s">
        <v>1247</v>
      </c>
      <c r="B152" t="s">
        <v>266</v>
      </c>
      <c r="C152" t="s">
        <v>1248</v>
      </c>
    </row>
    <row r="153" spans="1:3" hidden="1" x14ac:dyDescent="0.25">
      <c r="A153" t="s">
        <v>1249</v>
      </c>
      <c r="B153" t="s">
        <v>282</v>
      </c>
      <c r="C153" t="s">
        <v>1250</v>
      </c>
    </row>
    <row r="154" spans="1:3" hidden="1" x14ac:dyDescent="0.25">
      <c r="A154" t="s">
        <v>1251</v>
      </c>
      <c r="B154" t="s">
        <v>372</v>
      </c>
      <c r="C154" t="s">
        <v>1252</v>
      </c>
    </row>
    <row r="155" spans="1:3" hidden="1" x14ac:dyDescent="0.25">
      <c r="A155" t="s">
        <v>1253</v>
      </c>
      <c r="B155" t="s">
        <v>355</v>
      </c>
      <c r="C155" t="s">
        <v>1254</v>
      </c>
    </row>
    <row r="156" spans="1:3" hidden="1" x14ac:dyDescent="0.25">
      <c r="A156" t="s">
        <v>1255</v>
      </c>
      <c r="B156" t="s">
        <v>185</v>
      </c>
      <c r="C156" t="s">
        <v>890</v>
      </c>
    </row>
    <row r="157" spans="1:3" hidden="1" x14ac:dyDescent="0.25">
      <c r="A157" t="s">
        <v>1256</v>
      </c>
      <c r="B157" t="s">
        <v>185</v>
      </c>
      <c r="C157" t="s">
        <v>890</v>
      </c>
    </row>
    <row r="158" spans="1:3" hidden="1" x14ac:dyDescent="0.25">
      <c r="A158" t="s">
        <v>1257</v>
      </c>
      <c r="B158" t="s">
        <v>185</v>
      </c>
      <c r="C158" t="s">
        <v>890</v>
      </c>
    </row>
    <row r="159" spans="1:3" hidden="1" x14ac:dyDescent="0.25">
      <c r="A159" t="s">
        <v>1258</v>
      </c>
      <c r="B159" t="s">
        <v>445</v>
      </c>
      <c r="C159" t="s">
        <v>1259</v>
      </c>
    </row>
    <row r="160" spans="1:3" hidden="1" x14ac:dyDescent="0.25">
      <c r="A160" t="s">
        <v>1260</v>
      </c>
      <c r="B160" t="s">
        <v>381</v>
      </c>
      <c r="C160" t="s">
        <v>1261</v>
      </c>
    </row>
    <row r="161" spans="1:3" hidden="1" x14ac:dyDescent="0.25">
      <c r="A161" t="s">
        <v>1262</v>
      </c>
      <c r="B161" t="s">
        <v>377</v>
      </c>
      <c r="C161" t="s">
        <v>1263</v>
      </c>
    </row>
    <row r="162" spans="1:3" hidden="1" x14ac:dyDescent="0.25">
      <c r="A162" t="s">
        <v>1264</v>
      </c>
      <c r="B162" t="s">
        <v>206</v>
      </c>
      <c r="C162" t="s">
        <v>917</v>
      </c>
    </row>
    <row r="163" spans="1:3" hidden="1" x14ac:dyDescent="0.25">
      <c r="A163" t="s">
        <v>1265</v>
      </c>
      <c r="B163" t="s">
        <v>415</v>
      </c>
      <c r="C163" t="s">
        <v>1266</v>
      </c>
    </row>
    <row r="164" spans="1:3" hidden="1" x14ac:dyDescent="0.25">
      <c r="A164" t="s">
        <v>1267</v>
      </c>
      <c r="B164" t="s">
        <v>250</v>
      </c>
      <c r="C164" t="s">
        <v>1268</v>
      </c>
    </row>
    <row r="165" spans="1:3" hidden="1" x14ac:dyDescent="0.25">
      <c r="A165" t="s">
        <v>1269</v>
      </c>
      <c r="B165" t="s">
        <v>243</v>
      </c>
      <c r="C165" t="s">
        <v>943</v>
      </c>
    </row>
    <row r="166" spans="1:3" hidden="1" x14ac:dyDescent="0.25">
      <c r="A166" t="s">
        <v>1270</v>
      </c>
      <c r="B166" t="s">
        <v>359</v>
      </c>
      <c r="C166" t="s">
        <v>1271</v>
      </c>
    </row>
    <row r="167" spans="1:3" hidden="1" x14ac:dyDescent="0.25">
      <c r="A167" t="s">
        <v>1272</v>
      </c>
      <c r="B167" t="s">
        <v>255</v>
      </c>
      <c r="C167" t="s">
        <v>1273</v>
      </c>
    </row>
    <row r="168" spans="1:3" hidden="1" x14ac:dyDescent="0.25">
      <c r="A168" t="s">
        <v>1274</v>
      </c>
      <c r="B168" t="s">
        <v>208</v>
      </c>
      <c r="C168" t="s">
        <v>888</v>
      </c>
    </row>
    <row r="169" spans="1:3" hidden="1" x14ac:dyDescent="0.25">
      <c r="A169" t="s">
        <v>1275</v>
      </c>
      <c r="B169" t="s">
        <v>208</v>
      </c>
      <c r="C169" t="s">
        <v>888</v>
      </c>
    </row>
    <row r="170" spans="1:3" hidden="1" x14ac:dyDescent="0.25">
      <c r="A170" t="s">
        <v>1276</v>
      </c>
      <c r="B170" t="s">
        <v>208</v>
      </c>
      <c r="C170" t="s">
        <v>888</v>
      </c>
    </row>
    <row r="171" spans="1:3" s="16" customFormat="1" x14ac:dyDescent="0.25">
      <c r="A171" s="16" t="s">
        <v>1277</v>
      </c>
      <c r="B171" s="16" t="s">
        <v>220</v>
      </c>
      <c r="C171" s="16" t="s">
        <v>936</v>
      </c>
    </row>
    <row r="172" spans="1:3" s="16" customFormat="1" x14ac:dyDescent="0.25">
      <c r="A172" s="16" t="s">
        <v>1278</v>
      </c>
      <c r="B172" s="16" t="s">
        <v>220</v>
      </c>
      <c r="C172" s="16" t="s">
        <v>936</v>
      </c>
    </row>
    <row r="173" spans="1:3" hidden="1" x14ac:dyDescent="0.25">
      <c r="A173" t="s">
        <v>1279</v>
      </c>
      <c r="B173" t="s">
        <v>197</v>
      </c>
      <c r="C173" t="s">
        <v>894</v>
      </c>
    </row>
    <row r="174" spans="1:3" hidden="1" x14ac:dyDescent="0.25">
      <c r="A174" t="s">
        <v>1280</v>
      </c>
      <c r="B174" t="s">
        <v>459</v>
      </c>
      <c r="C174" t="s">
        <v>1281</v>
      </c>
    </row>
    <row r="175" spans="1:3" hidden="1" x14ac:dyDescent="0.25">
      <c r="A175" t="s">
        <v>1282</v>
      </c>
      <c r="B175" t="s">
        <v>434</v>
      </c>
      <c r="C175" t="s">
        <v>1283</v>
      </c>
    </row>
    <row r="176" spans="1:3" hidden="1" x14ac:dyDescent="0.25">
      <c r="A176" t="s">
        <v>1284</v>
      </c>
      <c r="B176" t="s">
        <v>273</v>
      </c>
      <c r="C176" t="s">
        <v>1285</v>
      </c>
    </row>
    <row r="177" spans="1:3" hidden="1" x14ac:dyDescent="0.25">
      <c r="A177" t="s">
        <v>1286</v>
      </c>
      <c r="B177" t="s">
        <v>288</v>
      </c>
      <c r="C177" t="s">
        <v>1287</v>
      </c>
    </row>
    <row r="178" spans="1:3" hidden="1" x14ac:dyDescent="0.25">
      <c r="A178" t="s">
        <v>1288</v>
      </c>
      <c r="B178" t="s">
        <v>409</v>
      </c>
      <c r="C178" t="s">
        <v>1289</v>
      </c>
    </row>
    <row r="179" spans="1:3" hidden="1" x14ac:dyDescent="0.25">
      <c r="A179" t="s">
        <v>1290</v>
      </c>
      <c r="B179" t="s">
        <v>237</v>
      </c>
      <c r="C179" t="s">
        <v>911</v>
      </c>
    </row>
    <row r="180" spans="1:3" hidden="1" x14ac:dyDescent="0.25">
      <c r="A180" t="s">
        <v>1291</v>
      </c>
      <c r="B180" t="s">
        <v>237</v>
      </c>
      <c r="C180" t="s">
        <v>911</v>
      </c>
    </row>
    <row r="181" spans="1:3" hidden="1" x14ac:dyDescent="0.25">
      <c r="A181" t="s">
        <v>1292</v>
      </c>
      <c r="B181" t="s">
        <v>482</v>
      </c>
      <c r="C181" t="s">
        <v>1293</v>
      </c>
    </row>
    <row r="182" spans="1:3" hidden="1" x14ac:dyDescent="0.25">
      <c r="A182" t="s">
        <v>1294</v>
      </c>
      <c r="B182" t="s">
        <v>268</v>
      </c>
      <c r="C182" t="s">
        <v>1295</v>
      </c>
    </row>
    <row r="183" spans="1:3" hidden="1" x14ac:dyDescent="0.25">
      <c r="A183" t="s">
        <v>1296</v>
      </c>
      <c r="B183" t="s">
        <v>275</v>
      </c>
      <c r="C183" t="s">
        <v>1297</v>
      </c>
    </row>
    <row r="184" spans="1:3" hidden="1" x14ac:dyDescent="0.25">
      <c r="A184" t="s">
        <v>1298</v>
      </c>
      <c r="B184" t="s">
        <v>269</v>
      </c>
      <c r="C184" t="s">
        <v>1299</v>
      </c>
    </row>
    <row r="185" spans="1:3" hidden="1" x14ac:dyDescent="0.25">
      <c r="A185" t="s">
        <v>1300</v>
      </c>
      <c r="B185" t="s">
        <v>211</v>
      </c>
      <c r="C185" t="s">
        <v>895</v>
      </c>
    </row>
    <row r="186" spans="1:3" hidden="1" x14ac:dyDescent="0.25">
      <c r="A186" t="s">
        <v>1301</v>
      </c>
      <c r="B186" t="s">
        <v>440</v>
      </c>
      <c r="C186" t="s">
        <v>1302</v>
      </c>
    </row>
    <row r="187" spans="1:3" hidden="1" x14ac:dyDescent="0.25">
      <c r="A187" t="s">
        <v>1303</v>
      </c>
      <c r="B187" t="s">
        <v>297</v>
      </c>
      <c r="C187" t="s">
        <v>1304</v>
      </c>
    </row>
    <row r="188" spans="1:3" hidden="1" x14ac:dyDescent="0.25">
      <c r="A188" t="s">
        <v>1305</v>
      </c>
      <c r="B188" t="s">
        <v>485</v>
      </c>
      <c r="C188" t="s">
        <v>1306</v>
      </c>
    </row>
    <row r="189" spans="1:3" hidden="1" x14ac:dyDescent="0.25">
      <c r="A189" t="s">
        <v>1307</v>
      </c>
      <c r="B189" t="s">
        <v>453</v>
      </c>
      <c r="C189" t="s">
        <v>1308</v>
      </c>
    </row>
    <row r="190" spans="1:3" hidden="1" x14ac:dyDescent="0.25">
      <c r="A190" t="s">
        <v>1309</v>
      </c>
      <c r="B190" t="s">
        <v>422</v>
      </c>
      <c r="C190" t="s">
        <v>1310</v>
      </c>
    </row>
    <row r="191" spans="1:3" hidden="1" x14ac:dyDescent="0.25">
      <c r="A191" t="s">
        <v>1311</v>
      </c>
      <c r="B191" t="s">
        <v>342</v>
      </c>
      <c r="C191" t="s">
        <v>1312</v>
      </c>
    </row>
    <row r="192" spans="1:3" hidden="1" x14ac:dyDescent="0.25">
      <c r="A192" t="s">
        <v>1313</v>
      </c>
      <c r="B192" t="s">
        <v>448</v>
      </c>
      <c r="C192" t="s">
        <v>1314</v>
      </c>
    </row>
    <row r="193" spans="1:3" hidden="1" x14ac:dyDescent="0.25">
      <c r="A193" t="s">
        <v>1315</v>
      </c>
      <c r="B193" t="s">
        <v>328</v>
      </c>
      <c r="C193" t="s">
        <v>1316</v>
      </c>
    </row>
    <row r="194" spans="1:3" hidden="1" x14ac:dyDescent="0.25">
      <c r="A194" t="s">
        <v>1317</v>
      </c>
      <c r="B194" t="s">
        <v>389</v>
      </c>
      <c r="C194" t="s">
        <v>1318</v>
      </c>
    </row>
    <row r="195" spans="1:3" hidden="1" x14ac:dyDescent="0.25">
      <c r="A195" t="s">
        <v>1319</v>
      </c>
      <c r="B195" t="s">
        <v>280</v>
      </c>
      <c r="C195" t="s">
        <v>1320</v>
      </c>
    </row>
    <row r="196" spans="1:3" hidden="1" x14ac:dyDescent="0.25">
      <c r="A196" t="s">
        <v>1321</v>
      </c>
      <c r="B196" t="s">
        <v>316</v>
      </c>
      <c r="C196" t="s">
        <v>1322</v>
      </c>
    </row>
    <row r="197" spans="1:3" hidden="1" x14ac:dyDescent="0.25">
      <c r="A197" t="s">
        <v>1323</v>
      </c>
      <c r="B197" t="s">
        <v>408</v>
      </c>
      <c r="C197" t="s">
        <v>1324</v>
      </c>
    </row>
    <row r="198" spans="1:3" hidden="1" x14ac:dyDescent="0.25">
      <c r="A198" t="s">
        <v>1325</v>
      </c>
      <c r="B198" t="s">
        <v>433</v>
      </c>
      <c r="C198" t="s">
        <v>1326</v>
      </c>
    </row>
    <row r="199" spans="1:3" hidden="1" x14ac:dyDescent="0.25">
      <c r="A199" t="s">
        <v>1327</v>
      </c>
      <c r="B199" t="s">
        <v>253</v>
      </c>
      <c r="C199" t="s">
        <v>1328</v>
      </c>
    </row>
    <row r="200" spans="1:3" hidden="1" x14ac:dyDescent="0.25">
      <c r="A200" t="s">
        <v>1329</v>
      </c>
      <c r="B200" t="s">
        <v>480</v>
      </c>
      <c r="C200" t="s">
        <v>1330</v>
      </c>
    </row>
    <row r="201" spans="1:3" hidden="1" x14ac:dyDescent="0.25">
      <c r="A201" t="s">
        <v>1331</v>
      </c>
      <c r="B201" t="s">
        <v>351</v>
      </c>
      <c r="C201" t="s">
        <v>1332</v>
      </c>
    </row>
    <row r="202" spans="1:3" hidden="1" x14ac:dyDescent="0.25">
      <c r="A202" t="s">
        <v>1333</v>
      </c>
      <c r="B202" t="s">
        <v>481</v>
      </c>
      <c r="C202" t="s">
        <v>1334</v>
      </c>
    </row>
    <row r="203" spans="1:3" hidden="1" x14ac:dyDescent="0.25">
      <c r="A203" t="s">
        <v>1335</v>
      </c>
      <c r="B203" t="s">
        <v>405</v>
      </c>
      <c r="C203" t="s">
        <v>1336</v>
      </c>
    </row>
    <row r="204" spans="1:3" hidden="1" x14ac:dyDescent="0.25">
      <c r="A204" t="s">
        <v>1337</v>
      </c>
      <c r="B204" t="s">
        <v>232</v>
      </c>
      <c r="C204" t="s">
        <v>949</v>
      </c>
    </row>
    <row r="205" spans="1:3" hidden="1" x14ac:dyDescent="0.25">
      <c r="A205" t="s">
        <v>1338</v>
      </c>
      <c r="B205" t="s">
        <v>265</v>
      </c>
      <c r="C205" t="s">
        <v>1339</v>
      </c>
    </row>
    <row r="206" spans="1:3" hidden="1" x14ac:dyDescent="0.25">
      <c r="A206" t="s">
        <v>1340</v>
      </c>
      <c r="B206" t="s">
        <v>276</v>
      </c>
      <c r="C206" t="s">
        <v>1341</v>
      </c>
    </row>
    <row r="207" spans="1:3" hidden="1" x14ac:dyDescent="0.25">
      <c r="A207" t="s">
        <v>1342</v>
      </c>
      <c r="B207" t="s">
        <v>454</v>
      </c>
      <c r="C207" t="s">
        <v>1343</v>
      </c>
    </row>
    <row r="208" spans="1:3" hidden="1" x14ac:dyDescent="0.25">
      <c r="A208" t="s">
        <v>1344</v>
      </c>
      <c r="B208" t="s">
        <v>416</v>
      </c>
      <c r="C208" t="s">
        <v>1345</v>
      </c>
    </row>
    <row r="209" spans="1:3" hidden="1" x14ac:dyDescent="0.25">
      <c r="A209" t="s">
        <v>1346</v>
      </c>
      <c r="B209" t="s">
        <v>368</v>
      </c>
      <c r="C209" t="s">
        <v>1347</v>
      </c>
    </row>
    <row r="210" spans="1:3" hidden="1" x14ac:dyDescent="0.25">
      <c r="A210" t="s">
        <v>1348</v>
      </c>
      <c r="B210" t="s">
        <v>284</v>
      </c>
      <c r="C210" t="s">
        <v>1349</v>
      </c>
    </row>
    <row r="211" spans="1:3" hidden="1" x14ac:dyDescent="0.25">
      <c r="A211" t="s">
        <v>1350</v>
      </c>
      <c r="B211" t="s">
        <v>436</v>
      </c>
      <c r="C211" t="s">
        <v>1351</v>
      </c>
    </row>
    <row r="212" spans="1:3" s="16" customFormat="1" x14ac:dyDescent="0.25">
      <c r="A212" s="16" t="s">
        <v>1352</v>
      </c>
      <c r="B212" s="16" t="s">
        <v>217</v>
      </c>
      <c r="C212" s="16" t="s">
        <v>958</v>
      </c>
    </row>
    <row r="213" spans="1:3" hidden="1" x14ac:dyDescent="0.25">
      <c r="A213" t="s">
        <v>1353</v>
      </c>
      <c r="B213" t="s">
        <v>421</v>
      </c>
      <c r="C213" t="s">
        <v>1354</v>
      </c>
    </row>
    <row r="214" spans="1:3" hidden="1" x14ac:dyDescent="0.25">
      <c r="A214" t="s">
        <v>1355</v>
      </c>
      <c r="B214" t="s">
        <v>324</v>
      </c>
      <c r="C214" t="s">
        <v>1356</v>
      </c>
    </row>
    <row r="215" spans="1:3" hidden="1" x14ac:dyDescent="0.25">
      <c r="A215" t="s">
        <v>1357</v>
      </c>
      <c r="B215" t="s">
        <v>452</v>
      </c>
      <c r="C215" t="s">
        <v>1358</v>
      </c>
    </row>
    <row r="216" spans="1:3" hidden="1" x14ac:dyDescent="0.25">
      <c r="A216" t="s">
        <v>1359</v>
      </c>
      <c r="B216" t="s">
        <v>306</v>
      </c>
      <c r="C216" t="s">
        <v>1360</v>
      </c>
    </row>
    <row r="217" spans="1:3" hidden="1" x14ac:dyDescent="0.25">
      <c r="A217" t="s">
        <v>1361</v>
      </c>
      <c r="B217" t="s">
        <v>281</v>
      </c>
      <c r="C217" t="s">
        <v>1362</v>
      </c>
    </row>
    <row r="218" spans="1:3" hidden="1" x14ac:dyDescent="0.25">
      <c r="A218" t="s">
        <v>1363</v>
      </c>
      <c r="B218" t="s">
        <v>260</v>
      </c>
      <c r="C218" t="s">
        <v>1364</v>
      </c>
    </row>
    <row r="219" spans="1:3" hidden="1" x14ac:dyDescent="0.25">
      <c r="A219" t="s">
        <v>1365</v>
      </c>
      <c r="B219" t="s">
        <v>339</v>
      </c>
      <c r="C219" t="s">
        <v>1366</v>
      </c>
    </row>
    <row r="220" spans="1:3" hidden="1" x14ac:dyDescent="0.25">
      <c r="A220" t="s">
        <v>1367</v>
      </c>
      <c r="B220" t="s">
        <v>350</v>
      </c>
      <c r="C220" t="s">
        <v>1368</v>
      </c>
    </row>
    <row r="221" spans="1:3" hidden="1" x14ac:dyDescent="0.25">
      <c r="A221" t="s">
        <v>1369</v>
      </c>
      <c r="B221" t="s">
        <v>263</v>
      </c>
      <c r="C221" t="s">
        <v>1370</v>
      </c>
    </row>
    <row r="222" spans="1:3" hidden="1" x14ac:dyDescent="0.25">
      <c r="A222" t="s">
        <v>1371</v>
      </c>
      <c r="B222" t="s">
        <v>285</v>
      </c>
      <c r="C222" t="s">
        <v>1372</v>
      </c>
    </row>
    <row r="223" spans="1:3" hidden="1" x14ac:dyDescent="0.25">
      <c r="A223" t="s">
        <v>1373</v>
      </c>
      <c r="B223" t="s">
        <v>477</v>
      </c>
      <c r="C223" t="s">
        <v>1374</v>
      </c>
    </row>
    <row r="224" spans="1:3" hidden="1" x14ac:dyDescent="0.25">
      <c r="A224" t="s">
        <v>1375</v>
      </c>
      <c r="B224" t="s">
        <v>271</v>
      </c>
      <c r="C224" t="s">
        <v>1376</v>
      </c>
    </row>
    <row r="225" spans="1:3" hidden="1" x14ac:dyDescent="0.25">
      <c r="A225" t="s">
        <v>1377</v>
      </c>
      <c r="B225" t="s">
        <v>337</v>
      </c>
      <c r="C225" t="s">
        <v>1378</v>
      </c>
    </row>
    <row r="226" spans="1:3" hidden="1" x14ac:dyDescent="0.25">
      <c r="A226" t="s">
        <v>1379</v>
      </c>
      <c r="B226" t="s">
        <v>362</v>
      </c>
      <c r="C226" t="s">
        <v>1380</v>
      </c>
    </row>
    <row r="227" spans="1:3" hidden="1" x14ac:dyDescent="0.25">
      <c r="A227" t="s">
        <v>1381</v>
      </c>
      <c r="B227" t="s">
        <v>254</v>
      </c>
      <c r="C227" t="s">
        <v>1382</v>
      </c>
    </row>
    <row r="228" spans="1:3" hidden="1" x14ac:dyDescent="0.25">
      <c r="A228" t="s">
        <v>1383</v>
      </c>
      <c r="B228" t="s">
        <v>456</v>
      </c>
      <c r="C228" t="s">
        <v>1384</v>
      </c>
    </row>
    <row r="229" spans="1:3" hidden="1" x14ac:dyDescent="0.25">
      <c r="A229" t="s">
        <v>1385</v>
      </c>
      <c r="B229" t="s">
        <v>456</v>
      </c>
      <c r="C229" t="s">
        <v>1384</v>
      </c>
    </row>
    <row r="230" spans="1:3" hidden="1" x14ac:dyDescent="0.25">
      <c r="A230" t="s">
        <v>1386</v>
      </c>
      <c r="B230" t="s">
        <v>411</v>
      </c>
      <c r="C230" t="s">
        <v>1387</v>
      </c>
    </row>
    <row r="231" spans="1:3" hidden="1" x14ac:dyDescent="0.25">
      <c r="A231" t="s">
        <v>1388</v>
      </c>
      <c r="B231" t="s">
        <v>234</v>
      </c>
      <c r="C231" t="s">
        <v>916</v>
      </c>
    </row>
    <row r="232" spans="1:3" hidden="1" x14ac:dyDescent="0.25">
      <c r="A232" t="s">
        <v>1389</v>
      </c>
      <c r="B232" t="s">
        <v>361</v>
      </c>
      <c r="C232" t="s">
        <v>1390</v>
      </c>
    </row>
    <row r="233" spans="1:3" hidden="1" x14ac:dyDescent="0.25">
      <c r="A233" t="s">
        <v>1391</v>
      </c>
      <c r="B233" t="s">
        <v>332</v>
      </c>
      <c r="C233" t="s">
        <v>1392</v>
      </c>
    </row>
    <row r="234" spans="1:3" hidden="1" x14ac:dyDescent="0.25">
      <c r="A234" t="s">
        <v>1393</v>
      </c>
      <c r="B234" t="s">
        <v>483</v>
      </c>
      <c r="C234" t="s">
        <v>1394</v>
      </c>
    </row>
    <row r="235" spans="1:3" hidden="1" x14ac:dyDescent="0.25">
      <c r="A235" t="s">
        <v>1395</v>
      </c>
      <c r="B235" t="s">
        <v>402</v>
      </c>
      <c r="C235" t="s">
        <v>1396</v>
      </c>
    </row>
    <row r="236" spans="1:3" hidden="1" x14ac:dyDescent="0.25">
      <c r="A236" t="s">
        <v>1397</v>
      </c>
      <c r="B236" t="s">
        <v>270</v>
      </c>
      <c r="C236" t="s">
        <v>1398</v>
      </c>
    </row>
    <row r="237" spans="1:3" hidden="1" x14ac:dyDescent="0.25">
      <c r="A237" t="s">
        <v>1399</v>
      </c>
      <c r="B237" t="s">
        <v>489</v>
      </c>
      <c r="C237" t="s">
        <v>1400</v>
      </c>
    </row>
  </sheetData>
  <autoFilter ref="A1:C237" xr:uid="{00000000-0001-0000-0900-000000000000}">
    <filterColumn colId="0">
      <colorFilter dxfId="4"/>
    </filterColumn>
  </autoFilter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84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14</vt:i4>
      </vt:variant>
    </vt:vector>
  </HeadingPairs>
  <TitlesOfParts>
    <vt:vector size="14" baseType="lpstr">
      <vt:lpstr>Summary</vt:lpstr>
      <vt:lpstr>abund ASV isolat in microbiote</vt:lpstr>
      <vt:lpstr>itol</vt:lpstr>
      <vt:lpstr>Sheet1</vt:lpstr>
      <vt:lpstr>asvMicrobioteTaxPreAbsIsolats</vt:lpstr>
      <vt:lpstr>asvIsolatsTaxAbsPreMicrobiote</vt:lpstr>
      <vt:lpstr>ASVMicrobiotePresentIsolats</vt:lpstr>
      <vt:lpstr>Feuil1</vt:lpstr>
      <vt:lpstr>ASVMicrobioteAbsentIsolats</vt:lpstr>
      <vt:lpstr>ASVIsolatsPresentMicrobiote</vt:lpstr>
      <vt:lpstr>ASVIsolatsAbsentMicrobiote</vt:lpstr>
      <vt:lpstr>ASVEchMicrobiote</vt:lpstr>
      <vt:lpstr>Allmd5Isolats</vt:lpstr>
      <vt:lpstr>microbioteMd5Haplotype160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mmarchi</dc:creator>
  <dc:description/>
  <cp:lastModifiedBy>Muriel Marchi</cp:lastModifiedBy>
  <cp:revision>9</cp:revision>
  <dcterms:created xsi:type="dcterms:W3CDTF">2025-01-16T10:12:31Z</dcterms:created>
  <dcterms:modified xsi:type="dcterms:W3CDTF">2025-01-16T11:18:55Z</dcterms:modified>
  <dc:language>fr-FR</dc:language>
</cp:coreProperties>
</file>